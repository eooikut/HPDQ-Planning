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uviec_XuanHieu\Project\PKH_Pro\templates\excel\"/>
    </mc:Choice>
  </mc:AlternateContent>
  <xr:revisionPtr revIDLastSave="0" documentId="13_ncr:1_{92E9F2C7-3E80-49C8-A53F-F69B00FA1378}" xr6:coauthVersionLast="36" xr6:coauthVersionMax="47" xr10:uidLastSave="{00000000-0000-0000-0000-000000000000}"/>
  <bookViews>
    <workbookView xWindow="0" yWindow="0" windowWidth="28800" windowHeight="12105" firstSheet="4" activeTab="4" xr2:uid="{4CD2422E-1749-4792-BA5D-D7094197B1C0}"/>
  </bookViews>
  <sheets>
    <sheet name="PXD 04.10.25 cũ" sheetId="19" state="hidden" r:id="rId1"/>
    <sheet name="PXC 04.10.25 cũ" sheetId="18" state="hidden" r:id="rId2"/>
    <sheet name="mvt" sheetId="4" state="hidden" r:id="rId3"/>
    <sheet name="Theo dõi thực tế" sheetId="11" state="hidden" r:id="rId4"/>
    <sheet name="PXC 05.10.25" sheetId="1" r:id="rId5"/>
    <sheet name="Order" sheetId="13" state="hidden" r:id="rId6"/>
    <sheet name="DH_T10.5" sheetId="17" state="hidden" r:id="rId7"/>
    <sheet name="ort9" sheetId="10" state="hidden" r:id="rId8"/>
  </sheets>
  <definedNames>
    <definedName name="_xlnm._FilterDatabase" localSheetId="6" hidden="1">DH_T10.5!$B$3:$Q$26</definedName>
    <definedName name="_xlnm._FilterDatabase" localSheetId="7" hidden="1">'ort9'!$E$1:$L$36</definedName>
    <definedName name="_xlnm._FilterDatabase" localSheetId="1" hidden="1">'PXC 04.10.25 cũ'!$A$3:$AH$41</definedName>
    <definedName name="_xlnm._FilterDatabase" localSheetId="4" hidden="1">'PXC 05.10.25'!$A$3:$T$18</definedName>
    <definedName name="_xlnm._FilterDatabase" localSheetId="3" hidden="1">'Theo dõi thực tế'!$A$3:$AL$47</definedName>
    <definedName name="_xlnm.Print_Area" localSheetId="1">'PXC 04.10.25 cũ'!$A$1:$AD$44</definedName>
    <definedName name="_xlnm.Print_Area" localSheetId="4">'PXC 05.10.25'!$A$1:$T$20</definedName>
    <definedName name="_xlnm.Print_Area" localSheetId="0">'PXD 04.10.25 cũ'!$A$1:$K$19</definedName>
    <definedName name="_xlnm.Print_Area" localSheetId="3">'Theo dõi thực tế'!$A$1:$X$46</definedName>
    <definedName name="_xlnm.Print_Titles" localSheetId="1">'PXC 04.10.25 cũ'!$7:$9</definedName>
    <definedName name="_xlnm.Print_Titles" localSheetId="4">'PXC 05.10.25'!$7:$9</definedName>
    <definedName name="_xlnm.Print_Titles" localSheetId="3">'Theo dõi thực tế'!$7:$9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A123" i="13"/>
  <c r="A147" i="13"/>
  <c r="A146" i="13"/>
  <c r="A145" i="13"/>
  <c r="A144" i="13"/>
  <c r="A143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S60" i="17"/>
  <c r="S61" i="17"/>
  <c r="S62" i="17"/>
  <c r="S63" i="17"/>
  <c r="S64" i="17"/>
  <c r="S65" i="17"/>
  <c r="S66" i="17"/>
  <c r="S67" i="17"/>
  <c r="S68" i="17"/>
  <c r="S69" i="17"/>
  <c r="S70" i="17"/>
  <c r="S71" i="17"/>
  <c r="S72" i="17"/>
  <c r="S73" i="17"/>
  <c r="S74" i="17"/>
  <c r="S75" i="17"/>
  <c r="S76" i="17"/>
  <c r="S77" i="17"/>
  <c r="S78" i="17"/>
  <c r="S79" i="17"/>
  <c r="S80" i="17"/>
  <c r="S81" i="17"/>
  <c r="S82" i="17"/>
  <c r="S83" i="17"/>
  <c r="S59" i="17"/>
  <c r="A118" i="13"/>
  <c r="A117" i="13"/>
  <c r="A116" i="13"/>
  <c r="S32" i="17"/>
  <c r="S33" i="17"/>
  <c r="S34" i="17"/>
  <c r="S35" i="17"/>
  <c r="S36" i="17"/>
  <c r="S37" i="17"/>
  <c r="S38" i="17"/>
  <c r="S39" i="17"/>
  <c r="S40" i="17"/>
  <c r="S41" i="17"/>
  <c r="S42" i="17"/>
  <c r="S43" i="17"/>
  <c r="S44" i="17"/>
  <c r="S45" i="17"/>
  <c r="S46" i="17"/>
  <c r="S47" i="17"/>
  <c r="S48" i="17"/>
  <c r="S49" i="17"/>
  <c r="S50" i="17"/>
  <c r="S51" i="17"/>
  <c r="S52" i="17"/>
  <c r="S31" i="17"/>
  <c r="F14" i="19"/>
  <c r="F11" i="19"/>
  <c r="A11" i="19"/>
  <c r="F10" i="19"/>
  <c r="A10" i="19"/>
  <c r="F9" i="19"/>
  <c r="A9" i="19"/>
  <c r="A6" i="19"/>
  <c r="AE35" i="18"/>
  <c r="AG35" i="18" s="1"/>
  <c r="AK34" i="18"/>
  <c r="AJ34" i="18"/>
  <c r="F34" i="18"/>
  <c r="E34" i="18"/>
  <c r="AE34" i="18" s="1"/>
  <c r="AG34" i="18" s="1"/>
  <c r="AH34" i="18" s="1"/>
  <c r="A34" i="18"/>
  <c r="AJ33" i="18"/>
  <c r="AD33" i="18"/>
  <c r="AC33" i="18"/>
  <c r="AA33" i="18"/>
  <c r="P33" i="18" s="1"/>
  <c r="Z33" i="18"/>
  <c r="V33" i="18"/>
  <c r="Y33" i="18" s="1"/>
  <c r="A33" i="18"/>
  <c r="AD32" i="18"/>
  <c r="Z32" i="18"/>
  <c r="AA32" i="18" s="1"/>
  <c r="V32" i="18"/>
  <c r="Y32" i="18" s="1"/>
  <c r="A32" i="18"/>
  <c r="AD31" i="18"/>
  <c r="Z31" i="18"/>
  <c r="AJ31" i="18" s="1"/>
  <c r="Y31" i="18"/>
  <c r="V31" i="18"/>
  <c r="X31" i="18" s="1"/>
  <c r="A31" i="18"/>
  <c r="AD30" i="18"/>
  <c r="Z30" i="18"/>
  <c r="AJ30" i="18" s="1"/>
  <c r="Y30" i="18"/>
  <c r="AE30" i="18" s="1"/>
  <c r="AG30" i="18" s="1"/>
  <c r="AH30" i="18" s="1"/>
  <c r="H30" i="18" s="1"/>
  <c r="X30" i="18"/>
  <c r="V30" i="18"/>
  <c r="W30" i="18" s="1"/>
  <c r="G30" i="18" s="1"/>
  <c r="A30" i="18"/>
  <c r="AD29" i="18"/>
  <c r="Z29" i="18"/>
  <c r="AC29" i="18" s="1"/>
  <c r="Y29" i="18"/>
  <c r="AE29" i="18" s="1"/>
  <c r="AG29" i="18" s="1"/>
  <c r="AH29" i="18" s="1"/>
  <c r="H29" i="18" s="1"/>
  <c r="X29" i="18"/>
  <c r="W29" i="18"/>
  <c r="V29" i="18"/>
  <c r="G29" i="18"/>
  <c r="A29" i="18"/>
  <c r="AD28" i="18"/>
  <c r="Z28" i="18"/>
  <c r="AJ28" i="18" s="1"/>
  <c r="V28" i="18"/>
  <c r="W28" i="18" s="1"/>
  <c r="G28" i="18" s="1"/>
  <c r="A28" i="18"/>
  <c r="AD27" i="18"/>
  <c r="Z27" i="18"/>
  <c r="AJ27" i="18" s="1"/>
  <c r="V27" i="18"/>
  <c r="Y27" i="18" s="1"/>
  <c r="A27" i="18"/>
  <c r="AJ26" i="18"/>
  <c r="AD26" i="18"/>
  <c r="Z26" i="18"/>
  <c r="AA26" i="18" s="1"/>
  <c r="V26" i="18"/>
  <c r="X26" i="18" s="1"/>
  <c r="A26" i="18"/>
  <c r="AJ25" i="18"/>
  <c r="AD25" i="18"/>
  <c r="Z25" i="18"/>
  <c r="AC25" i="18" s="1"/>
  <c r="V25" i="18"/>
  <c r="W25" i="18" s="1"/>
  <c r="G25" i="18" s="1"/>
  <c r="A25" i="18"/>
  <c r="AJ24" i="18"/>
  <c r="AD24" i="18"/>
  <c r="Z24" i="18"/>
  <c r="AC24" i="18" s="1"/>
  <c r="V24" i="18"/>
  <c r="X24" i="18" s="1"/>
  <c r="A24" i="18"/>
  <c r="AJ23" i="18"/>
  <c r="AD23" i="18"/>
  <c r="Z23" i="18"/>
  <c r="AC23" i="18" s="1"/>
  <c r="V23" i="18"/>
  <c r="Y23" i="18" s="1"/>
  <c r="A23" i="18"/>
  <c r="AD22" i="18"/>
  <c r="Z22" i="18"/>
  <c r="AJ22" i="18" s="1"/>
  <c r="V22" i="18"/>
  <c r="W22" i="18" s="1"/>
  <c r="G22" i="18" s="1"/>
  <c r="A22" i="18"/>
  <c r="AJ21" i="18"/>
  <c r="AD21" i="18"/>
  <c r="AC21" i="18"/>
  <c r="AA21" i="18"/>
  <c r="AB21" i="18" s="1"/>
  <c r="Q21" i="18" s="1"/>
  <c r="Z21" i="18"/>
  <c r="V21" i="18"/>
  <c r="Y21" i="18" s="1"/>
  <c r="A21" i="18"/>
  <c r="AJ20" i="18"/>
  <c r="AD20" i="18"/>
  <c r="AC20" i="18"/>
  <c r="Z20" i="18"/>
  <c r="AA20" i="18" s="1"/>
  <c r="V20" i="18"/>
  <c r="Y20" i="18" s="1"/>
  <c r="A20" i="18"/>
  <c r="AJ19" i="18"/>
  <c r="AD19" i="18"/>
  <c r="AC19" i="18"/>
  <c r="AA19" i="18"/>
  <c r="AB19" i="18" s="1"/>
  <c r="Q19" i="18" s="1"/>
  <c r="Z19" i="18"/>
  <c r="Y19" i="18"/>
  <c r="V19" i="18"/>
  <c r="X19" i="18" s="1"/>
  <c r="A19" i="18"/>
  <c r="AD18" i="18"/>
  <c r="Z18" i="18"/>
  <c r="AC18" i="18" s="1"/>
  <c r="X18" i="18"/>
  <c r="V18" i="18"/>
  <c r="Y18" i="18" s="1"/>
  <c r="AE18" i="18" s="1"/>
  <c r="AG18" i="18" s="1"/>
  <c r="AH18" i="18" s="1"/>
  <c r="H18" i="18" s="1"/>
  <c r="A18" i="18"/>
  <c r="AD17" i="18"/>
  <c r="Z17" i="18"/>
  <c r="AC17" i="18" s="1"/>
  <c r="Y17" i="18"/>
  <c r="W17" i="18"/>
  <c r="V17" i="18"/>
  <c r="X17" i="18" s="1"/>
  <c r="G17" i="18"/>
  <c r="A17" i="18"/>
  <c r="AD16" i="18"/>
  <c r="AC16" i="18"/>
  <c r="Z16" i="18"/>
  <c r="AA16" i="18" s="1"/>
  <c r="Y16" i="18"/>
  <c r="AE16" i="18" s="1"/>
  <c r="AG16" i="18" s="1"/>
  <c r="AH16" i="18" s="1"/>
  <c r="H16" i="18" s="1"/>
  <c r="X16" i="18"/>
  <c r="V16" i="18"/>
  <c r="W16" i="18" s="1"/>
  <c r="G16" i="18" s="1"/>
  <c r="A16" i="18"/>
  <c r="AD15" i="18"/>
  <c r="AC15" i="18"/>
  <c r="Z15" i="18"/>
  <c r="Y15" i="18"/>
  <c r="AE15" i="18" s="1"/>
  <c r="AG15" i="18" s="1"/>
  <c r="AH15" i="18" s="1"/>
  <c r="H15" i="18" s="1"/>
  <c r="X15" i="18"/>
  <c r="W15" i="18"/>
  <c r="G15" i="18" s="1"/>
  <c r="V15" i="18"/>
  <c r="A15" i="18"/>
  <c r="AJ14" i="18"/>
  <c r="AD14" i="18"/>
  <c r="AC14" i="18"/>
  <c r="AA14" i="18"/>
  <c r="P14" i="18" s="1"/>
  <c r="Z14" i="18"/>
  <c r="V14" i="18"/>
  <c r="Y14" i="18" s="1"/>
  <c r="A14" i="18"/>
  <c r="AD13" i="18"/>
  <c r="Z13" i="18"/>
  <c r="AJ13" i="18" s="1"/>
  <c r="V13" i="18"/>
  <c r="Y13" i="18" s="1"/>
  <c r="A13" i="18"/>
  <c r="AD12" i="18"/>
  <c r="Z12" i="18"/>
  <c r="AJ12" i="18" s="1"/>
  <c r="Y12" i="18"/>
  <c r="V12" i="18"/>
  <c r="X12" i="18" s="1"/>
  <c r="A12" i="18"/>
  <c r="AD11" i="18"/>
  <c r="Z11" i="18"/>
  <c r="AJ11" i="18" s="1"/>
  <c r="Y11" i="18"/>
  <c r="AE11" i="18" s="1"/>
  <c r="AG11" i="18" s="1"/>
  <c r="AH11" i="18" s="1"/>
  <c r="H11" i="18" s="1"/>
  <c r="X11" i="18"/>
  <c r="V11" i="18"/>
  <c r="W11" i="18" s="1"/>
  <c r="G11" i="18" s="1"/>
  <c r="A11" i="18"/>
  <c r="AD10" i="18"/>
  <c r="Z10" i="18"/>
  <c r="AJ10" i="18" s="1"/>
  <c r="Y10" i="18"/>
  <c r="AE10" i="18" s="1"/>
  <c r="AG10" i="18" s="1"/>
  <c r="AH10" i="18" s="1"/>
  <c r="H10" i="18" s="1"/>
  <c r="X10" i="18"/>
  <c r="W10" i="18"/>
  <c r="V10" i="18"/>
  <c r="G10" i="18"/>
  <c r="A10" i="18"/>
  <c r="A93" i="13"/>
  <c r="A94" i="13"/>
  <c r="A95" i="13"/>
  <c r="A96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92" i="13"/>
  <c r="S5" i="17"/>
  <c r="S6" i="17"/>
  <c r="S7" i="17"/>
  <c r="S8" i="17"/>
  <c r="S9" i="17"/>
  <c r="S10" i="17"/>
  <c r="S11" i="17"/>
  <c r="S12" i="17"/>
  <c r="S13" i="17"/>
  <c r="S14" i="17"/>
  <c r="S15" i="17"/>
  <c r="S16" i="17"/>
  <c r="S17" i="17"/>
  <c r="S18" i="17"/>
  <c r="S19" i="17"/>
  <c r="S20" i="17"/>
  <c r="S21" i="17"/>
  <c r="S22" i="17"/>
  <c r="S23" i="17"/>
  <c r="S24" i="17"/>
  <c r="S25" i="17"/>
  <c r="S26" i="17"/>
  <c r="S27" i="17"/>
  <c r="S4" i="17"/>
  <c r="AA15" i="18" l="1"/>
  <c r="AB15" i="18" s="1"/>
  <c r="Q15" i="18" s="1"/>
  <c r="AE19" i="18"/>
  <c r="AG19" i="18" s="1"/>
  <c r="AH19" i="18" s="1"/>
  <c r="H19" i="18" s="1"/>
  <c r="AE13" i="18"/>
  <c r="AG13" i="18" s="1"/>
  <c r="AH13" i="18" s="1"/>
  <c r="H13" i="18" s="1"/>
  <c r="AE20" i="18"/>
  <c r="AG20" i="18" s="1"/>
  <c r="AH20" i="18" s="1"/>
  <c r="H20" i="18" s="1"/>
  <c r="AB20" i="18"/>
  <c r="Q20" i="18" s="1"/>
  <c r="AK20" i="18"/>
  <c r="P20" i="18"/>
  <c r="P32" i="18"/>
  <c r="AK32" i="18"/>
  <c r="AB32" i="18"/>
  <c r="Q32" i="18" s="1"/>
  <c r="AE31" i="18"/>
  <c r="AG31" i="18" s="1"/>
  <c r="AH31" i="18" s="1"/>
  <c r="H31" i="18" s="1"/>
  <c r="AE17" i="18"/>
  <c r="AG17" i="18" s="1"/>
  <c r="AH17" i="18" s="1"/>
  <c r="H17" i="18" s="1"/>
  <c r="AE12" i="18"/>
  <c r="AG12" i="18" s="1"/>
  <c r="AH12" i="18" s="1"/>
  <c r="H12" i="18" s="1"/>
  <c r="AK26" i="18"/>
  <c r="AB26" i="18"/>
  <c r="Q26" i="18" s="1"/>
  <c r="P26" i="18"/>
  <c r="AB16" i="18"/>
  <c r="Q16" i="18" s="1"/>
  <c r="P16" i="18"/>
  <c r="AK16" i="18"/>
  <c r="AE27" i="18"/>
  <c r="AG27" i="18" s="1"/>
  <c r="AH27" i="18" s="1"/>
  <c r="H27" i="18" s="1"/>
  <c r="AA30" i="18"/>
  <c r="AC11" i="18"/>
  <c r="AJ16" i="18"/>
  <c r="AA29" i="18"/>
  <c r="AC31" i="18"/>
  <c r="AC10" i="18"/>
  <c r="AJ15" i="18"/>
  <c r="P21" i="18"/>
  <c r="W24" i="18"/>
  <c r="G24" i="18" s="1"/>
  <c r="X25" i="18"/>
  <c r="Y26" i="18"/>
  <c r="AE26" i="18" s="1"/>
  <c r="AG26" i="18" s="1"/>
  <c r="AH26" i="18" s="1"/>
  <c r="H26" i="18" s="1"/>
  <c r="AA28" i="18"/>
  <c r="AC30" i="18"/>
  <c r="W23" i="18"/>
  <c r="G23" i="18" s="1"/>
  <c r="Y25" i="18"/>
  <c r="AE25" i="18" s="1"/>
  <c r="AG25" i="18" s="1"/>
  <c r="AH25" i="18" s="1"/>
  <c r="H25" i="18" s="1"/>
  <c r="Y24" i="18"/>
  <c r="AE24" i="18" s="1"/>
  <c r="AG24" i="18" s="1"/>
  <c r="AH24" i="18" s="1"/>
  <c r="H24" i="18" s="1"/>
  <c r="AK21" i="18"/>
  <c r="AA12" i="18"/>
  <c r="AB33" i="18"/>
  <c r="Q33" i="18" s="1"/>
  <c r="AA11" i="18"/>
  <c r="AC13" i="18"/>
  <c r="AJ18" i="18"/>
  <c r="AK19" i="18"/>
  <c r="W27" i="18"/>
  <c r="G27" i="18" s="1"/>
  <c r="X28" i="18"/>
  <c r="AA31" i="18"/>
  <c r="AA10" i="18"/>
  <c r="AC12" i="18"/>
  <c r="AJ17" i="18"/>
  <c r="W26" i="18"/>
  <c r="G26" i="18" s="1"/>
  <c r="X27" i="18"/>
  <c r="Y28" i="18"/>
  <c r="AE28" i="18" s="1"/>
  <c r="AG28" i="18" s="1"/>
  <c r="AH28" i="18" s="1"/>
  <c r="H28" i="18" s="1"/>
  <c r="AC32" i="18"/>
  <c r="W21" i="18"/>
  <c r="G21" i="18" s="1"/>
  <c r="X22" i="18"/>
  <c r="AA25" i="18"/>
  <c r="AC27" i="18"/>
  <c r="AJ32" i="18"/>
  <c r="AK33" i="18"/>
  <c r="W20" i="18"/>
  <c r="G20" i="18" s="1"/>
  <c r="X21" i="18"/>
  <c r="AE21" i="18" s="1"/>
  <c r="AG21" i="18" s="1"/>
  <c r="AH21" i="18" s="1"/>
  <c r="H21" i="18" s="1"/>
  <c r="Y22" i="18"/>
  <c r="AA24" i="18"/>
  <c r="AC26" i="18"/>
  <c r="W19" i="18"/>
  <c r="G19" i="18" s="1"/>
  <c r="X20" i="18"/>
  <c r="AA23" i="18"/>
  <c r="W18" i="18"/>
  <c r="G18" i="18" s="1"/>
  <c r="AA22" i="18"/>
  <c r="AJ29" i="18"/>
  <c r="AA13" i="18"/>
  <c r="AB14" i="18"/>
  <c r="Q14" i="18" s="1"/>
  <c r="AA27" i="18"/>
  <c r="AK14" i="18"/>
  <c r="P19" i="18"/>
  <c r="X23" i="18"/>
  <c r="AE23" i="18" s="1"/>
  <c r="AG23" i="18" s="1"/>
  <c r="AH23" i="18" s="1"/>
  <c r="H23" i="18" s="1"/>
  <c r="AC28" i="18"/>
  <c r="AC22" i="18"/>
  <c r="W14" i="18"/>
  <c r="G14" i="18" s="1"/>
  <c r="AA18" i="18"/>
  <c r="AA17" i="18"/>
  <c r="W13" i="18"/>
  <c r="G13" i="18" s="1"/>
  <c r="G34" i="18" s="1"/>
  <c r="X14" i="18"/>
  <c r="AE14" i="18" s="1"/>
  <c r="AG14" i="18" s="1"/>
  <c r="AH14" i="18" s="1"/>
  <c r="H14" i="18" s="1"/>
  <c r="W33" i="18"/>
  <c r="G33" i="18" s="1"/>
  <c r="W12" i="18"/>
  <c r="G12" i="18" s="1"/>
  <c r="X13" i="18"/>
  <c r="W32" i="18"/>
  <c r="G32" i="18" s="1"/>
  <c r="X33" i="18"/>
  <c r="AE33" i="18" s="1"/>
  <c r="AG33" i="18" s="1"/>
  <c r="AH33" i="18" s="1"/>
  <c r="H33" i="18" s="1"/>
  <c r="W31" i="18"/>
  <c r="G31" i="18" s="1"/>
  <c r="X32" i="18"/>
  <c r="AE32" i="18" s="1"/>
  <c r="AG32" i="18" s="1"/>
  <c r="AH32" i="18" s="1"/>
  <c r="H32" i="18" s="1"/>
  <c r="AK15" i="18" l="1"/>
  <c r="P15" i="18"/>
  <c r="AK25" i="18"/>
  <c r="P25" i="18"/>
  <c r="AB25" i="18"/>
  <c r="Q25" i="18" s="1"/>
  <c r="P28" i="18"/>
  <c r="AK28" i="18"/>
  <c r="AB28" i="18"/>
  <c r="Q28" i="18" s="1"/>
  <c r="P13" i="18"/>
  <c r="AK13" i="18"/>
  <c r="AB13" i="18"/>
  <c r="Q13" i="18" s="1"/>
  <c r="P10" i="18"/>
  <c r="AK10" i="18"/>
  <c r="AB10" i="18"/>
  <c r="Q10" i="18" s="1"/>
  <c r="P31" i="18"/>
  <c r="AK31" i="18"/>
  <c r="AB31" i="18"/>
  <c r="Q31" i="18" s="1"/>
  <c r="AK22" i="18"/>
  <c r="AB22" i="18"/>
  <c r="Q22" i="18" s="1"/>
  <c r="P22" i="18"/>
  <c r="AK23" i="18"/>
  <c r="AB23" i="18"/>
  <c r="Q23" i="18" s="1"/>
  <c r="P23" i="18"/>
  <c r="P29" i="18"/>
  <c r="AK29" i="18"/>
  <c r="AB29" i="18"/>
  <c r="Q29" i="18" s="1"/>
  <c r="AK24" i="18"/>
  <c r="AB24" i="18"/>
  <c r="Q24" i="18" s="1"/>
  <c r="P24" i="18"/>
  <c r="AE22" i="18"/>
  <c r="AG22" i="18" s="1"/>
  <c r="AH22" i="18" s="1"/>
  <c r="H22" i="18" s="1"/>
  <c r="P27" i="18"/>
  <c r="AK27" i="18"/>
  <c r="AB27" i="18"/>
  <c r="Q27" i="18" s="1"/>
  <c r="AB17" i="18"/>
  <c r="Q17" i="18" s="1"/>
  <c r="P17" i="18"/>
  <c r="AK17" i="18"/>
  <c r="P30" i="18"/>
  <c r="AK30" i="18"/>
  <c r="AB30" i="18"/>
  <c r="Q30" i="18" s="1"/>
  <c r="P11" i="18"/>
  <c r="AK11" i="18"/>
  <c r="AB11" i="18"/>
  <c r="Q11" i="18" s="1"/>
  <c r="AB18" i="18"/>
  <c r="Q18" i="18" s="1"/>
  <c r="P18" i="18"/>
  <c r="AK18" i="18"/>
  <c r="AK12" i="18"/>
  <c r="P12" i="18"/>
  <c r="AB12" i="18"/>
  <c r="Q12" i="18" s="1"/>
  <c r="A86" i="13"/>
  <c r="A87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48" i="13"/>
  <c r="A4" i="13" l="1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3" i="13"/>
  <c r="E1" i="13" l="1"/>
  <c r="H37" i="10" l="1"/>
  <c r="AD37" i="10"/>
  <c r="C12" i="10" l="1"/>
  <c r="C19" i="10"/>
  <c r="C20" i="10"/>
  <c r="C22" i="10"/>
  <c r="C23" i="10"/>
  <c r="C27" i="10"/>
  <c r="C33" i="10"/>
  <c r="C34" i="10"/>
  <c r="E3" i="10"/>
  <c r="C3" i="10" s="1"/>
  <c r="E4" i="10"/>
  <c r="C4" i="10" s="1"/>
  <c r="E5" i="10"/>
  <c r="C5" i="10" s="1"/>
  <c r="E6" i="10"/>
  <c r="C6" i="10" s="1"/>
  <c r="E7" i="10"/>
  <c r="C7" i="10" s="1"/>
  <c r="E8" i="10"/>
  <c r="C8" i="10" s="1"/>
  <c r="E9" i="10"/>
  <c r="C9" i="10" s="1"/>
  <c r="E10" i="10"/>
  <c r="C10" i="10" s="1"/>
  <c r="E11" i="10"/>
  <c r="C11" i="10" s="1"/>
  <c r="E13" i="10"/>
  <c r="C13" i="10" s="1"/>
  <c r="E14" i="10"/>
  <c r="C14" i="10" s="1"/>
  <c r="E15" i="10"/>
  <c r="C15" i="10" s="1"/>
  <c r="E16" i="10"/>
  <c r="C16" i="10" s="1"/>
  <c r="E17" i="10"/>
  <c r="C17" i="10" s="1"/>
  <c r="E18" i="10"/>
  <c r="C18" i="10" s="1"/>
  <c r="E21" i="10"/>
  <c r="C21" i="10" s="1"/>
  <c r="E24" i="10"/>
  <c r="C24" i="10" s="1"/>
  <c r="E25" i="10"/>
  <c r="C25" i="10" s="1"/>
  <c r="E26" i="10"/>
  <c r="C26" i="10" s="1"/>
  <c r="E28" i="10"/>
  <c r="C28" i="10" s="1"/>
  <c r="E29" i="10"/>
  <c r="C29" i="10" s="1"/>
  <c r="E30" i="10"/>
  <c r="C30" i="10" s="1"/>
  <c r="E31" i="10"/>
  <c r="C31" i="10" s="1"/>
  <c r="E32" i="10"/>
  <c r="C32" i="10" s="1"/>
  <c r="E35" i="10"/>
  <c r="C35" i="10" s="1"/>
  <c r="E36" i="10"/>
  <c r="C36" i="10" s="1"/>
  <c r="E2" i="10"/>
  <c r="C2" i="10" s="1"/>
  <c r="H11" i="10"/>
  <c r="H13" i="10"/>
  <c r="H14" i="10"/>
  <c r="H15" i="10"/>
  <c r="H16" i="10"/>
  <c r="H17" i="10"/>
  <c r="H18" i="10"/>
  <c r="H21" i="10"/>
  <c r="H24" i="10"/>
  <c r="H25" i="10"/>
  <c r="H26" i="10"/>
  <c r="H28" i="10"/>
  <c r="H29" i="10"/>
  <c r="H30" i="10"/>
  <c r="H31" i="10"/>
  <c r="H32" i="10"/>
  <c r="H35" i="10"/>
  <c r="H36" i="10"/>
  <c r="H3" i="10"/>
  <c r="H4" i="10"/>
  <c r="H5" i="10"/>
  <c r="H6" i="10"/>
  <c r="H7" i="10"/>
  <c r="H8" i="10"/>
  <c r="H9" i="10"/>
  <c r="H10" i="10"/>
  <c r="H2" i="10"/>
  <c r="AD36" i="10"/>
  <c r="AD35" i="10"/>
  <c r="AD34" i="10"/>
  <c r="AD33" i="10"/>
  <c r="AD32" i="10"/>
  <c r="AD31" i="10"/>
  <c r="AD30" i="10"/>
  <c r="AD29" i="10"/>
  <c r="AD28" i="10"/>
  <c r="AD27" i="10"/>
  <c r="AD26" i="10"/>
  <c r="AD25" i="10"/>
  <c r="AD24" i="10"/>
  <c r="AD23" i="10"/>
  <c r="AD22" i="10"/>
  <c r="AD21" i="10"/>
  <c r="AD20" i="10"/>
  <c r="AD19" i="10"/>
  <c r="AD18" i="10"/>
  <c r="AD17" i="10"/>
  <c r="AD16" i="10"/>
  <c r="AD15" i="10"/>
  <c r="AD14" i="10"/>
  <c r="AD13" i="10"/>
  <c r="AD12" i="10"/>
  <c r="AD11" i="10"/>
  <c r="AD10" i="10"/>
  <c r="AD9" i="10"/>
  <c r="AD8" i="10"/>
  <c r="AD7" i="10"/>
  <c r="AD6" i="10"/>
  <c r="AD5" i="10"/>
  <c r="AD4" i="10"/>
  <c r="AD3" i="10"/>
  <c r="AD2" i="10"/>
  <c r="G11" i="19" l="1"/>
  <c r="G10" i="19"/>
  <c r="G9" i="19"/>
  <c r="G12" i="19" s="1"/>
  <c r="K11" i="11" l="1"/>
  <c r="K10" i="11"/>
  <c r="AD40" i="11"/>
  <c r="H40" i="11"/>
  <c r="F40" i="11"/>
  <c r="E40" i="11"/>
  <c r="A40" i="11"/>
  <c r="AD39" i="11"/>
  <c r="Z39" i="11"/>
  <c r="A39" i="11"/>
  <c r="AD38" i="11"/>
  <c r="Z38" i="11"/>
  <c r="A38" i="11"/>
  <c r="AD37" i="11"/>
  <c r="Z37" i="11"/>
  <c r="A37" i="11"/>
  <c r="AD36" i="11"/>
  <c r="Z36" i="11"/>
  <c r="A36" i="11"/>
  <c r="AD35" i="11"/>
  <c r="Z35" i="11"/>
  <c r="A35" i="11"/>
  <c r="AD34" i="11"/>
  <c r="Z34" i="11"/>
  <c r="A34" i="11"/>
  <c r="AD33" i="11"/>
  <c r="Z33" i="11"/>
  <c r="A33" i="11"/>
  <c r="AD32" i="11"/>
  <c r="Z32" i="11"/>
  <c r="AD31" i="11"/>
  <c r="Z31" i="11"/>
  <c r="A31" i="11"/>
  <c r="AD30" i="11"/>
  <c r="Z30" i="11"/>
  <c r="A30" i="11"/>
  <c r="AD29" i="11"/>
  <c r="Z29" i="11"/>
  <c r="A29" i="11"/>
  <c r="AD28" i="11"/>
  <c r="Z28" i="11"/>
  <c r="A28" i="11"/>
  <c r="AD27" i="11"/>
  <c r="Z27" i="11"/>
  <c r="A27" i="11"/>
  <c r="AD26" i="11"/>
  <c r="Z26" i="11"/>
  <c r="A26" i="11"/>
  <c r="AD25" i="11"/>
  <c r="Z25" i="11"/>
  <c r="A25" i="11"/>
  <c r="AD24" i="11"/>
  <c r="Z24" i="11"/>
  <c r="A24" i="11"/>
  <c r="AD23" i="11"/>
  <c r="Z23" i="11"/>
  <c r="A23" i="11"/>
  <c r="AD22" i="11"/>
  <c r="Z22" i="11"/>
  <c r="A22" i="11"/>
  <c r="AD21" i="11"/>
  <c r="Z21" i="11"/>
  <c r="A21" i="11"/>
  <c r="AD20" i="11"/>
  <c r="Z20" i="11"/>
  <c r="A20" i="11"/>
  <c r="AD19" i="11"/>
  <c r="Z19" i="11"/>
  <c r="A19" i="11"/>
  <c r="AD18" i="11"/>
  <c r="Z18" i="11"/>
  <c r="A18" i="11"/>
  <c r="AD17" i="11"/>
  <c r="Z17" i="11"/>
  <c r="A17" i="11"/>
  <c r="AD16" i="11"/>
  <c r="Z16" i="11"/>
  <c r="A16" i="11"/>
  <c r="AD15" i="11"/>
  <c r="Z15" i="11"/>
  <c r="A15" i="11"/>
  <c r="AD14" i="11"/>
  <c r="Z14" i="11"/>
  <c r="A14" i="11"/>
  <c r="AD13" i="11"/>
  <c r="Z13" i="11"/>
  <c r="A13" i="11"/>
  <c r="AD12" i="11"/>
  <c r="Z12" i="11"/>
  <c r="A12" i="11"/>
  <c r="AD11" i="11"/>
  <c r="Z11" i="11"/>
  <c r="A11" i="11"/>
  <c r="AD10" i="11"/>
  <c r="Z10" i="11"/>
  <c r="A10" i="11"/>
  <c r="AC10" i="11" l="1"/>
  <c r="AB10" i="11"/>
  <c r="AA10" i="11"/>
  <c r="G10" i="11" s="1"/>
  <c r="L10" i="11" s="1"/>
  <c r="AG10" i="11"/>
  <c r="V10" i="11" s="1"/>
  <c r="AF10" i="11"/>
  <c r="U10" i="11" s="1"/>
  <c r="AE10" i="11"/>
  <c r="AC11" i="11"/>
  <c r="AB11" i="11"/>
  <c r="AA11" i="11"/>
  <c r="G11" i="11" s="1"/>
  <c r="L11" i="11" s="1"/>
  <c r="AG11" i="11"/>
  <c r="V11" i="11" s="1"/>
  <c r="AF11" i="11"/>
  <c r="U11" i="11" s="1"/>
  <c r="AE11" i="11"/>
  <c r="AC12" i="11"/>
  <c r="AB12" i="11"/>
  <c r="AA12" i="11"/>
  <c r="G12" i="11" s="1"/>
  <c r="AG12" i="11"/>
  <c r="V12" i="11" s="1"/>
  <c r="AF12" i="11"/>
  <c r="U12" i="11" s="1"/>
  <c r="AE12" i="11"/>
  <c r="AC13" i="11"/>
  <c r="AB13" i="11"/>
  <c r="AA13" i="11"/>
  <c r="G13" i="11" s="1"/>
  <c r="AG13" i="11"/>
  <c r="V13" i="11" s="1"/>
  <c r="AF13" i="11"/>
  <c r="U13" i="11" s="1"/>
  <c r="AE13" i="11"/>
  <c r="AC14" i="11"/>
  <c r="AB14" i="11"/>
  <c r="AA14" i="11"/>
  <c r="G14" i="11" s="1"/>
  <c r="AG14" i="11"/>
  <c r="V14" i="11" s="1"/>
  <c r="AF14" i="11"/>
  <c r="U14" i="11" s="1"/>
  <c r="AE14" i="11"/>
  <c r="AC15" i="11"/>
  <c r="AB15" i="11"/>
  <c r="AA15" i="11"/>
  <c r="G15" i="11" s="1"/>
  <c r="AG15" i="11"/>
  <c r="V15" i="11" s="1"/>
  <c r="AF15" i="11"/>
  <c r="U15" i="11" s="1"/>
  <c r="AE15" i="11"/>
  <c r="AC16" i="11"/>
  <c r="AB16" i="11"/>
  <c r="AA16" i="11"/>
  <c r="G16" i="11" s="1"/>
  <c r="AG16" i="11"/>
  <c r="V16" i="11" s="1"/>
  <c r="AF16" i="11"/>
  <c r="U16" i="11" s="1"/>
  <c r="AE16" i="11"/>
  <c r="AC17" i="11"/>
  <c r="AB17" i="11"/>
  <c r="AA17" i="11"/>
  <c r="G17" i="11" s="1"/>
  <c r="AG17" i="11"/>
  <c r="V17" i="11" s="1"/>
  <c r="AF17" i="11"/>
  <c r="U17" i="11" s="1"/>
  <c r="AE17" i="11"/>
  <c r="AC18" i="11"/>
  <c r="AB18" i="11"/>
  <c r="AA18" i="11"/>
  <c r="G18" i="11" s="1"/>
  <c r="AG18" i="11"/>
  <c r="V18" i="11" s="1"/>
  <c r="AF18" i="11"/>
  <c r="U18" i="11" s="1"/>
  <c r="AE18" i="11"/>
  <c r="AC19" i="11"/>
  <c r="AB19" i="11"/>
  <c r="AA19" i="11"/>
  <c r="G19" i="11" s="1"/>
  <c r="AG19" i="11"/>
  <c r="V19" i="11" s="1"/>
  <c r="AF19" i="11"/>
  <c r="U19" i="11" s="1"/>
  <c r="AE19" i="11"/>
  <c r="AC20" i="11"/>
  <c r="AB20" i="11"/>
  <c r="AA20" i="11"/>
  <c r="G20" i="11" s="1"/>
  <c r="AG20" i="11"/>
  <c r="V20" i="11" s="1"/>
  <c r="AF20" i="11"/>
  <c r="U20" i="11" s="1"/>
  <c r="AE20" i="11"/>
  <c r="AC21" i="11"/>
  <c r="AB21" i="11"/>
  <c r="AA21" i="11"/>
  <c r="G21" i="11" s="1"/>
  <c r="AG21" i="11"/>
  <c r="V21" i="11" s="1"/>
  <c r="AF21" i="11"/>
  <c r="U21" i="11" s="1"/>
  <c r="AE21" i="11"/>
  <c r="AC22" i="11"/>
  <c r="AB22" i="11"/>
  <c r="AA22" i="11"/>
  <c r="G22" i="11" s="1"/>
  <c r="AG22" i="11"/>
  <c r="V22" i="11" s="1"/>
  <c r="AF22" i="11"/>
  <c r="U22" i="11" s="1"/>
  <c r="AE22" i="11"/>
  <c r="AC23" i="11"/>
  <c r="AB23" i="11"/>
  <c r="AA23" i="11"/>
  <c r="G23" i="11" s="1"/>
  <c r="AG23" i="11"/>
  <c r="V23" i="11" s="1"/>
  <c r="AF23" i="11"/>
  <c r="U23" i="11" s="1"/>
  <c r="AE23" i="11"/>
  <c r="AC24" i="11"/>
  <c r="AB24" i="11"/>
  <c r="AA24" i="11"/>
  <c r="G24" i="11" s="1"/>
  <c r="AG24" i="11"/>
  <c r="V24" i="11" s="1"/>
  <c r="AF24" i="11"/>
  <c r="U24" i="11" s="1"/>
  <c r="AE24" i="11"/>
  <c r="AC25" i="11"/>
  <c r="AB25" i="11"/>
  <c r="AA25" i="11"/>
  <c r="G25" i="11" s="1"/>
  <c r="AG25" i="11"/>
  <c r="V25" i="11" s="1"/>
  <c r="AF25" i="11"/>
  <c r="U25" i="11" s="1"/>
  <c r="AE25" i="11"/>
  <c r="AC26" i="11"/>
  <c r="AB26" i="11"/>
  <c r="AA26" i="11"/>
  <c r="G26" i="11" s="1"/>
  <c r="AG26" i="11"/>
  <c r="V26" i="11" s="1"/>
  <c r="AF26" i="11"/>
  <c r="U26" i="11" s="1"/>
  <c r="AE26" i="11"/>
  <c r="AC27" i="11"/>
  <c r="AB27" i="11"/>
  <c r="AA27" i="11"/>
  <c r="G27" i="11" s="1"/>
  <c r="AG27" i="11"/>
  <c r="V27" i="11" s="1"/>
  <c r="AF27" i="11"/>
  <c r="U27" i="11" s="1"/>
  <c r="AE27" i="11"/>
  <c r="AC28" i="11"/>
  <c r="AB28" i="11"/>
  <c r="AA28" i="11"/>
  <c r="G28" i="11" s="1"/>
  <c r="AG28" i="11"/>
  <c r="V28" i="11" s="1"/>
  <c r="AF28" i="11"/>
  <c r="U28" i="11" s="1"/>
  <c r="AE28" i="11"/>
  <c r="AC29" i="11"/>
  <c r="AB29" i="11"/>
  <c r="AA29" i="11"/>
  <c r="G29" i="11" s="1"/>
  <c r="AG29" i="11"/>
  <c r="V29" i="11" s="1"/>
  <c r="AF29" i="11"/>
  <c r="U29" i="11" s="1"/>
  <c r="AE29" i="11"/>
  <c r="AC30" i="11"/>
  <c r="AB30" i="11"/>
  <c r="AA30" i="11"/>
  <c r="G30" i="11" s="1"/>
  <c r="AG30" i="11"/>
  <c r="V30" i="11" s="1"/>
  <c r="AF30" i="11"/>
  <c r="U30" i="11" s="1"/>
  <c r="AE30" i="11"/>
  <c r="AC31" i="11"/>
  <c r="AB31" i="11"/>
  <c r="AA31" i="11"/>
  <c r="G31" i="11" s="1"/>
  <c r="AG31" i="11"/>
  <c r="V31" i="11" s="1"/>
  <c r="AF31" i="11"/>
  <c r="U31" i="11" s="1"/>
  <c r="AE31" i="11"/>
  <c r="AC32" i="11"/>
  <c r="AB32" i="11"/>
  <c r="AA32" i="11"/>
  <c r="G32" i="11" s="1"/>
  <c r="AG32" i="11"/>
  <c r="V32" i="11" s="1"/>
  <c r="AF32" i="11"/>
  <c r="U32" i="11" s="1"/>
  <c r="AE32" i="11"/>
  <c r="AC33" i="11"/>
  <c r="AB33" i="11"/>
  <c r="AA33" i="11"/>
  <c r="G33" i="11" s="1"/>
  <c r="AG33" i="11"/>
  <c r="V33" i="11" s="1"/>
  <c r="AF33" i="11"/>
  <c r="U33" i="11" s="1"/>
  <c r="AE33" i="11"/>
  <c r="AC34" i="11"/>
  <c r="AB34" i="11"/>
  <c r="AA34" i="11"/>
  <c r="G34" i="11" s="1"/>
  <c r="AG34" i="11"/>
  <c r="V34" i="11" s="1"/>
  <c r="AF34" i="11"/>
  <c r="U34" i="11" s="1"/>
  <c r="AE34" i="11"/>
  <c r="AC35" i="11"/>
  <c r="AB35" i="11"/>
  <c r="AA35" i="11"/>
  <c r="G35" i="11" s="1"/>
  <c r="AG35" i="11"/>
  <c r="V35" i="11" s="1"/>
  <c r="AF35" i="11"/>
  <c r="U35" i="11" s="1"/>
  <c r="AE35" i="11"/>
  <c r="AC36" i="11"/>
  <c r="AB36" i="11"/>
  <c r="AA36" i="11"/>
  <c r="G36" i="11" s="1"/>
  <c r="AG36" i="11"/>
  <c r="V36" i="11" s="1"/>
  <c r="AF36" i="11"/>
  <c r="U36" i="11" s="1"/>
  <c r="AE36" i="11"/>
  <c r="AC37" i="11"/>
  <c r="AB37" i="11"/>
  <c r="AA37" i="11"/>
  <c r="G37" i="11" s="1"/>
  <c r="AG37" i="11"/>
  <c r="V37" i="11" s="1"/>
  <c r="AF37" i="11"/>
  <c r="U37" i="11" s="1"/>
  <c r="AE37" i="11"/>
  <c r="AC38" i="11"/>
  <c r="AB38" i="11"/>
  <c r="AA38" i="11"/>
  <c r="G38" i="11" s="1"/>
  <c r="AG38" i="11"/>
  <c r="V38" i="11" s="1"/>
  <c r="AF38" i="11"/>
  <c r="U38" i="11" s="1"/>
  <c r="AE38" i="11"/>
  <c r="AC39" i="11"/>
  <c r="AB39" i="11"/>
  <c r="AA39" i="11"/>
  <c r="G39" i="11" s="1"/>
  <c r="AG39" i="11"/>
  <c r="V39" i="11" s="1"/>
  <c r="AF39" i="11"/>
  <c r="U39" i="11" s="1"/>
  <c r="AE39" i="11"/>
  <c r="AG40" i="11"/>
  <c r="AF40" i="11"/>
  <c r="AE40" i="11"/>
  <c r="AI39" i="11" l="1"/>
  <c r="AK39" i="11" s="1"/>
  <c r="AL39" i="11" s="1"/>
  <c r="AI38" i="11"/>
  <c r="AK38" i="11" s="1"/>
  <c r="AL38" i="11" s="1"/>
  <c r="AI37" i="11"/>
  <c r="AK37" i="11" s="1"/>
  <c r="AL37" i="11" s="1"/>
  <c r="AI36" i="11"/>
  <c r="AK36" i="11" s="1"/>
  <c r="AL36" i="11" s="1"/>
  <c r="AI35" i="11"/>
  <c r="AK35" i="11" s="1"/>
  <c r="AL35" i="11" s="1"/>
  <c r="AI34" i="11"/>
  <c r="AK34" i="11" s="1"/>
  <c r="AL34" i="11" s="1"/>
  <c r="AI33" i="11"/>
  <c r="AK33" i="11" s="1"/>
  <c r="AL33" i="11" s="1"/>
  <c r="AI32" i="11"/>
  <c r="AK32" i="11" s="1"/>
  <c r="AL32" i="11" s="1"/>
  <c r="AI31" i="11"/>
  <c r="AK31" i="11" s="1"/>
  <c r="AL31" i="11" s="1"/>
  <c r="AI30" i="11"/>
  <c r="AK30" i="11" s="1"/>
  <c r="AL30" i="11" s="1"/>
  <c r="AI29" i="11"/>
  <c r="AK29" i="11" s="1"/>
  <c r="AL29" i="11" s="1"/>
  <c r="AI28" i="11"/>
  <c r="AK28" i="11" s="1"/>
  <c r="AL28" i="11" s="1"/>
  <c r="AI27" i="11"/>
  <c r="AK27" i="11" s="1"/>
  <c r="AL27" i="11" s="1"/>
  <c r="AI26" i="11"/>
  <c r="AK26" i="11" s="1"/>
  <c r="AL26" i="11" s="1"/>
  <c r="AI25" i="11"/>
  <c r="AK25" i="11" s="1"/>
  <c r="AL25" i="11" s="1"/>
  <c r="AI24" i="11"/>
  <c r="AK24" i="11" s="1"/>
  <c r="AL24" i="11" s="1"/>
  <c r="AI23" i="11"/>
  <c r="AK23" i="11" s="1"/>
  <c r="AL23" i="11" s="1"/>
  <c r="AI22" i="11"/>
  <c r="AK22" i="11" s="1"/>
  <c r="AL22" i="11" s="1"/>
  <c r="AI21" i="11"/>
  <c r="AK21" i="11" s="1"/>
  <c r="AL21" i="11" s="1"/>
  <c r="AI20" i="11"/>
  <c r="AK20" i="11" s="1"/>
  <c r="AL20" i="11" s="1"/>
  <c r="AI19" i="11"/>
  <c r="AK19" i="11" s="1"/>
  <c r="AL19" i="11" s="1"/>
  <c r="AI18" i="11"/>
  <c r="AK18" i="11" s="1"/>
  <c r="AL18" i="11" s="1"/>
  <c r="AI17" i="11"/>
  <c r="AK17" i="11" s="1"/>
  <c r="AL17" i="11" s="1"/>
  <c r="AI16" i="11"/>
  <c r="AK16" i="11" s="1"/>
  <c r="AL16" i="11" s="1"/>
  <c r="AI15" i="11"/>
  <c r="AK15" i="11" s="1"/>
  <c r="AL15" i="11" s="1"/>
  <c r="AI14" i="11"/>
  <c r="AK14" i="11" s="1"/>
  <c r="AL14" i="11" s="1"/>
  <c r="AI13" i="11"/>
  <c r="AK13" i="11" s="1"/>
  <c r="AL13" i="11" s="1"/>
  <c r="AI12" i="11"/>
  <c r="AK12" i="11" s="1"/>
  <c r="AL12" i="11" s="1"/>
  <c r="AI11" i="11"/>
  <c r="AK11" i="11" s="1"/>
  <c r="AL11" i="11" s="1"/>
  <c r="G40" i="11"/>
  <c r="AI10" i="11"/>
  <c r="AK10" i="11" s="1"/>
  <c r="AL10" i="11" s="1"/>
  <c r="A11" i="1" l="1"/>
</calcChain>
</file>

<file path=xl/sharedStrings.xml><?xml version="1.0" encoding="utf-8"?>
<sst xmlns="http://schemas.openxmlformats.org/spreadsheetml/2006/main" count="44614" uniqueCount="24399">
  <si>
    <r>
      <t xml:space="preserve">BM.04F/QT.05
</t>
    </r>
    <r>
      <rPr>
        <b/>
        <i/>
        <sz val="12"/>
        <color theme="1"/>
        <rFont val="Times New Roman"/>
        <family val="1"/>
      </rPr>
      <t xml:space="preserve">  Ngày hiệu lực:</t>
    </r>
    <r>
      <rPr>
        <b/>
        <sz val="12"/>
        <color theme="1"/>
        <rFont val="Times New Roman"/>
        <family val="1"/>
      </rPr>
      <t xml:space="preserve"> 06/06/2025
</t>
    </r>
    <r>
      <rPr>
        <b/>
        <i/>
        <sz val="12"/>
        <color theme="1"/>
        <rFont val="Times New Roman"/>
        <family val="1"/>
      </rPr>
      <t>Lần sửa đổi:</t>
    </r>
    <r>
      <rPr>
        <b/>
        <sz val="12"/>
        <color theme="1"/>
        <rFont val="Times New Roman"/>
        <family val="1"/>
      </rPr>
      <t xml:space="preserve"> 02</t>
    </r>
  </si>
  <si>
    <t>LỆNH SẢN XUẤT</t>
  </si>
  <si>
    <t>- Bộ phận thực hiện: XĐ-NM.HRC1</t>
  </si>
  <si>
    <t>STT</t>
  </si>
  <si>
    <t>Máy đúc</t>
  </si>
  <si>
    <t>Mác phôi</t>
  </si>
  <si>
    <t>Kích thước</t>
  </si>
  <si>
    <t>Sản lượng yêu cầu
(Tấn)</t>
  </si>
  <si>
    <t>Thời gian SX 
dự kiến</t>
  </si>
  <si>
    <t>Order</t>
  </si>
  <si>
    <t>Ghi chú</t>
  </si>
  <si>
    <t>Tiết diện
(mm x mm)</t>
  </si>
  <si>
    <t xml:space="preserve">Chiều dài
(mm) </t>
  </si>
  <si>
    <t xml:space="preserve">Khối lượng phôi (tấn) </t>
  </si>
  <si>
    <t>TSC 1 &amp; 2</t>
  </si>
  <si>
    <t>SAE1006-Al</t>
  </si>
  <si>
    <t>(1)</t>
  </si>
  <si>
    <t>65x1240</t>
  </si>
  <si>
    <t>65x1220</t>
  </si>
  <si>
    <t>Tổng</t>
  </si>
  <si>
    <r>
      <rPr>
        <b/>
        <u/>
        <sz val="10"/>
        <color rgb="FF000000"/>
        <rFont val="Times New Roman"/>
        <family val="1"/>
      </rPr>
      <t>*Ghi chú</t>
    </r>
    <r>
      <rPr>
        <sz val="10"/>
        <color rgb="FF000000"/>
        <rFont val="Times New Roman"/>
        <family val="1"/>
      </rPr>
      <t xml:space="preserve">  
(1): - Thành phần mẻ đúc mác SAE1006-Al như sau: [C]≤0,055%; [Si]≤0,030%; [Mn]=(0,15 ÷0,18)%; [P]≤0,020%; [S]≤0,008%, [Altot]=(200÷400)ppm, [Ca]=(20-35)ppm.</t>
    </r>
  </si>
  <si>
    <t>BGĐ</t>
  </si>
  <si>
    <t>T/P P.KH</t>
  </si>
  <si>
    <r>
      <t xml:space="preserve"> </t>
    </r>
    <r>
      <rPr>
        <sz val="10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>Nơi nhận</t>
    </r>
    <r>
      <rPr>
        <b/>
        <sz val="10"/>
        <color theme="1"/>
        <rFont val="Times New Roman"/>
        <family val="1"/>
      </rPr>
      <t xml:space="preserve">: </t>
    </r>
  </si>
  <si>
    <t>- BGĐ (thay BC);</t>
  </si>
  <si>
    <t>- Các BP/NM;</t>
  </si>
  <si>
    <t>- Lưu P.KH (EO).</t>
  </si>
  <si>
    <t>Material Description</t>
  </si>
  <si>
    <t>Quy cách</t>
  </si>
  <si>
    <t>Ngày hết hạng đăng ký</t>
  </si>
  <si>
    <t>Material</t>
  </si>
  <si>
    <t>Thép cuộn cán nóng 3.95x123X SS400 II</t>
  </si>
  <si>
    <t>3.95×1232×C</t>
  </si>
  <si>
    <t>JIS G3101-2017</t>
  </si>
  <si>
    <t>1251121972977</t>
  </si>
  <si>
    <t>Thép cuộn cán nóng 3.95x123X SS400</t>
  </si>
  <si>
    <t>1251121972960</t>
  </si>
  <si>
    <t>Thép cuộn cán nóng 3.50x123X SS400 II</t>
  </si>
  <si>
    <t>3.50×1232×C</t>
  </si>
  <si>
    <t>1251121972953</t>
  </si>
  <si>
    <t>Thép cuộn cán nóng 3.50x123X SS400</t>
  </si>
  <si>
    <t>1251121972946</t>
  </si>
  <si>
    <t>Thép cuộn cán nóng 5.00x150X ASTM A36 II</t>
  </si>
  <si>
    <t>5.00×1502×C</t>
  </si>
  <si>
    <t>ASTM A36/A36M</t>
  </si>
  <si>
    <t>1251121972939</t>
  </si>
  <si>
    <t>Thép cuộn cán nóng 5.00x150X ASTM A36</t>
  </si>
  <si>
    <t>1251121972922</t>
  </si>
  <si>
    <t>Thép cuộn cán nóng 2.70x150X SS400 II</t>
  </si>
  <si>
    <t>2.70×1502×C</t>
  </si>
  <si>
    <t>1251121972915</t>
  </si>
  <si>
    <t>Thép cuộn cán nóng 2.70x150X SS400</t>
  </si>
  <si>
    <t>1251121972908</t>
  </si>
  <si>
    <t>Thép cuộn cán nóng 2.40x150X SS400 II</t>
  </si>
  <si>
    <t>2.40×1502×C</t>
  </si>
  <si>
    <t>1251121972892</t>
  </si>
  <si>
    <t>Thép cuộn cán nóng 2.40x150X SS400</t>
  </si>
  <si>
    <t>1251121972885</t>
  </si>
  <si>
    <t>Thép cuộn cán nóng 2.20x125X SS400 II</t>
  </si>
  <si>
    <t>2.20×1252×C</t>
  </si>
  <si>
    <t>1251121972878</t>
  </si>
  <si>
    <t>Thép cuộn cán nóng 2.20x125X SS400</t>
  </si>
  <si>
    <t>1251121972861</t>
  </si>
  <si>
    <t>Thép cuộn cán nóng 1.70x121X SAE1006 II</t>
  </si>
  <si>
    <t>1.70×1212×C</t>
  </si>
  <si>
    <t>SAE J403-2014</t>
  </si>
  <si>
    <t>1251121972854</t>
  </si>
  <si>
    <t>Thép cuộn cán nóng 1.70x121X SAE1006</t>
  </si>
  <si>
    <t>1251121972847</t>
  </si>
  <si>
    <t>Thép cuộn cán nóng 3.80x104X SAE1006 II</t>
  </si>
  <si>
    <t>3.80×1042×C</t>
  </si>
  <si>
    <t>1251121972830</t>
  </si>
  <si>
    <t>Thép cuộn cán nóng 3.80x104X SAE1006</t>
  </si>
  <si>
    <t>1251121972823</t>
  </si>
  <si>
    <t>Thép cuộn cán nóng 3.50x104X SAE1006 II</t>
  </si>
  <si>
    <t>3.50×1042×C</t>
  </si>
  <si>
    <t>1251121972816</t>
  </si>
  <si>
    <t>Thép cuộn cán nóng 3.50x104X SAE1006</t>
  </si>
  <si>
    <t>1251121972809</t>
  </si>
  <si>
    <t>Thép cuộn cán nóng 3.00x104X SAE1006 II</t>
  </si>
  <si>
    <t>3.00×1042×C</t>
  </si>
  <si>
    <t>1251121972793</t>
  </si>
  <si>
    <t>Thép cuộn cán nóng 3.00x104X SAE1006</t>
  </si>
  <si>
    <t>1251121972786</t>
  </si>
  <si>
    <t>Thép cuộn cán nóng 2.80x104X SAE1006 II</t>
  </si>
  <si>
    <t>2.80×1042×C</t>
  </si>
  <si>
    <t>1251121972779</t>
  </si>
  <si>
    <t>Thép cuộn cán nóng 2.80x104X SAE1006</t>
  </si>
  <si>
    <t>1251121972762</t>
  </si>
  <si>
    <t>Thép cuộn cán nóng 2.50x104X SAE1006 II</t>
  </si>
  <si>
    <t>2.50×1042×C</t>
  </si>
  <si>
    <t>1251121972755</t>
  </si>
  <si>
    <t>Thép cuộn cán nóng 2.50x104X SAE1006</t>
  </si>
  <si>
    <t>1251121972748</t>
  </si>
  <si>
    <t>Thép cuộn cán nóng 11.90x120X SPHT-1 II</t>
  </si>
  <si>
    <t>11.90×1202×C</t>
  </si>
  <si>
    <t>JIS G 3132 - 2018</t>
  </si>
  <si>
    <t>1251121972717</t>
  </si>
  <si>
    <t>Thép cuộn cán nóng 11.90x120X SPHT-1</t>
  </si>
  <si>
    <t>1251121972700</t>
  </si>
  <si>
    <t>Thép cuộn cán nóng 1.80x122Y SPHT-1 II</t>
  </si>
  <si>
    <t>1.80×1227×C</t>
  </si>
  <si>
    <t>1251121972694</t>
  </si>
  <si>
    <t>Thép cuộn cán nóng 1.80x122Y SPHT-1</t>
  </si>
  <si>
    <t>1251121972687</t>
  </si>
  <si>
    <t>Thép cuộn cán nóng 11.90x150X SPHT-1 II</t>
  </si>
  <si>
    <t>11.90×1502×C</t>
  </si>
  <si>
    <t>1251121972670</t>
  </si>
  <si>
    <t>Thép cuộn cán nóng 11.90x150X SPHT-1</t>
  </si>
  <si>
    <t>1251121972663</t>
  </si>
  <si>
    <t>Thép cuộn cán nóng 4.70x121X S275JR II</t>
  </si>
  <si>
    <t>4.70×1212×C</t>
  </si>
  <si>
    <t>MS EN 10025-2:2011</t>
  </si>
  <si>
    <t>1251121972656</t>
  </si>
  <si>
    <t>Thép cuộn cán nóng 4.70x121X S275JR</t>
  </si>
  <si>
    <t>1251121972649</t>
  </si>
  <si>
    <t>Thép cuộn cán nóng 2.45x119X SAE1006 II</t>
  </si>
  <si>
    <t>2.45×1192×C</t>
  </si>
  <si>
    <t>1251121971819</t>
  </si>
  <si>
    <t>Thép cuộn cán nóng 2.45x119X SAE1006</t>
  </si>
  <si>
    <t>1251121971802</t>
  </si>
  <si>
    <t>Thép cuộn cán nóng 3.20x120X S355JR II</t>
  </si>
  <si>
    <t>3.20×1202×C</t>
  </si>
  <si>
    <t>BS EN 10025-2</t>
  </si>
  <si>
    <t>1251121971796</t>
  </si>
  <si>
    <t>Thép cuộn cán nóng 3.50x121Y SPHC II</t>
  </si>
  <si>
    <t>3.50×1217×C</t>
  </si>
  <si>
    <t>JIS G3131-2018</t>
  </si>
  <si>
    <t>1251121971789</t>
  </si>
  <si>
    <t>Thép cuộn cán nóng 3.50x121Y SPHC</t>
  </si>
  <si>
    <t>1251121971772</t>
  </si>
  <si>
    <t>Thép cuộn cán nóng 2.85x121Y SPHC II</t>
  </si>
  <si>
    <t>2.85×1217×C</t>
  </si>
  <si>
    <t>1251121971765</t>
  </si>
  <si>
    <t>Thép cuộn cán nóng 2.85x121Y SPHC</t>
  </si>
  <si>
    <t>1251121971758</t>
  </si>
  <si>
    <t>Thép cuộn cán nóng 2.60x121Y SPHC II</t>
  </si>
  <si>
    <t>2.60×1217×C</t>
  </si>
  <si>
    <t>1251121971741</t>
  </si>
  <si>
    <t>Thép cuộn cán nóng 2.60x121Y SPHC</t>
  </si>
  <si>
    <t>1251121971734</t>
  </si>
  <si>
    <t>Thép cuộn cán nóng 2.55x121Y SPHC II</t>
  </si>
  <si>
    <t>2.55×1217×C</t>
  </si>
  <si>
    <t>1251121971727</t>
  </si>
  <si>
    <t>Thép cuộn cán nóng 2.55x121Y SPHC</t>
  </si>
  <si>
    <t>1251121971710</t>
  </si>
  <si>
    <t>Thép cuộn cán nóng 2.30x121Y SPHC II</t>
  </si>
  <si>
    <t>2.30×1217×C</t>
  </si>
  <si>
    <t>1251121971703</t>
  </si>
  <si>
    <t>Thép cuộn cán nóng 2.30x121Y SPHC</t>
  </si>
  <si>
    <t>1251121971697</t>
  </si>
  <si>
    <t>Thép cuộn cán nóng 3.20x120X S355JR</t>
  </si>
  <si>
    <t>1251121971680</t>
  </si>
  <si>
    <t>Thép cuộn cán nóng 2.75x120X S355JR II</t>
  </si>
  <si>
    <t>2.75×1202×C</t>
  </si>
  <si>
    <t>1251121971673</t>
  </si>
  <si>
    <t>Thép cuộn cán nóng 2.75x120X S355JR</t>
  </si>
  <si>
    <t>1251121971666</t>
  </si>
  <si>
    <t>Thép cuộn cán nóng 2.85x143Y S235JR  II</t>
  </si>
  <si>
    <t>2.85×1437×C</t>
  </si>
  <si>
    <t>1251121971659</t>
  </si>
  <si>
    <t>Thép cuộn cán nóng 2.85x143Y S235JR</t>
  </si>
  <si>
    <t>1251121971642</t>
  </si>
  <si>
    <t>Thép cuộn cán nóng 2.58x143Y S235JR  II</t>
  </si>
  <si>
    <t>2.58×1437×C</t>
  </si>
  <si>
    <t>1251121971635</t>
  </si>
  <si>
    <t>Thép cuộn cán nóng 2.58x143Y S235JR</t>
  </si>
  <si>
    <t>1251121971628</t>
  </si>
  <si>
    <t>Thép cuộn cán nóng 2.30x143Y S235JR  II</t>
  </si>
  <si>
    <t>2.30×1437×C</t>
  </si>
  <si>
    <t>1251121971611</t>
  </si>
  <si>
    <t>Thép cuộn cán nóng 2.80x150X SAE1008</t>
  </si>
  <si>
    <t>2.80×1502×C</t>
  </si>
  <si>
    <t>1251121970911</t>
  </si>
  <si>
    <t>Thép cuộn cán nóng 2.90x122Y SAE1008 II</t>
  </si>
  <si>
    <t>2.90×1227×C</t>
  </si>
  <si>
    <t>1251121970904</t>
  </si>
  <si>
    <t>Thép cuộn cán nóng 2.90x122Y SAE1008</t>
  </si>
  <si>
    <t>1251121970898</t>
  </si>
  <si>
    <t>Thép cuộn cán nóng 2.40x122Y SAE1008 II</t>
  </si>
  <si>
    <t>2.40×1227×C</t>
  </si>
  <si>
    <t>1251121970881</t>
  </si>
  <si>
    <t>Thép cuộn cán nóng 2.40x122Y SAE1008</t>
  </si>
  <si>
    <t>1251121970874</t>
  </si>
  <si>
    <t>Thép cuộn cán nóng 12.00x150X SPHT-1 II</t>
  </si>
  <si>
    <t>12.00×1502×C</t>
  </si>
  <si>
    <t>JIS G 3132</t>
  </si>
  <si>
    <t>1251121970867</t>
  </si>
  <si>
    <t>Thép cuộn cán nóng 12.00x150X SPHT-1</t>
  </si>
  <si>
    <t>1251121970850</t>
  </si>
  <si>
    <t>Thép cuộn cán nóng 12.00x120X SPHT-1 II</t>
  </si>
  <si>
    <t>12.00×1202×C</t>
  </si>
  <si>
    <t>1251121970843</t>
  </si>
  <si>
    <t>Thép cuộn cán nóng 12.00x120X SPHT-1</t>
  </si>
  <si>
    <t>1251121970836</t>
  </si>
  <si>
    <t>Thép cuộn cán nóng 9.90x150X SPHT-1 II</t>
  </si>
  <si>
    <t>9.90×1502×C</t>
  </si>
  <si>
    <t>1251121970829</t>
  </si>
  <si>
    <t>Thép cuộn cán nóng 9.90x150X SPHT-1</t>
  </si>
  <si>
    <t>1251121970812</t>
  </si>
  <si>
    <t>Thép cuộn cán nóng 5.90x150X SPHT-1 II</t>
  </si>
  <si>
    <t>5.90×1502×C</t>
  </si>
  <si>
    <t>1251121970805</t>
  </si>
  <si>
    <t>Thép cuộn cán nóng 5.90x150X SPHT-1</t>
  </si>
  <si>
    <t>1251121970799</t>
  </si>
  <si>
    <t>Thép cuộn cán nóng 4.90x150X SPHT-1 II</t>
  </si>
  <si>
    <t>4.90×1502×C</t>
  </si>
  <si>
    <t>1251121970782</t>
  </si>
  <si>
    <t>Thép cuộn cán nóng 4.90x150X SPHT-1</t>
  </si>
  <si>
    <t>1251121970775</t>
  </si>
  <si>
    <t>Thép cuộn cán nóng 4.00x122Y SPHT-1 II</t>
  </si>
  <si>
    <t>4.00×1227×C</t>
  </si>
  <si>
    <t>1251121970768</t>
  </si>
  <si>
    <t>Thép cuộn cán nóng 4.00x122Y SPHT-1</t>
  </si>
  <si>
    <t>1251121970751</t>
  </si>
  <si>
    <t>Thép cuộn cán nóng 2.90x122Y SPHT-1 II</t>
  </si>
  <si>
    <t>1251121970744</t>
  </si>
  <si>
    <t>Thép cuộn cán nóng 2.90x122Y SPHT-1</t>
  </si>
  <si>
    <t>1251121970737</t>
  </si>
  <si>
    <t>Thép cuộn cán nóng 2.75x150X SPHT-1 II</t>
  </si>
  <si>
    <t>2.75×1502×C</t>
  </si>
  <si>
    <t>1251121970720</t>
  </si>
  <si>
    <t>Thép cuộn cán nóng 2.75x150X SPHT-1</t>
  </si>
  <si>
    <t>1251121970713</t>
  </si>
  <si>
    <t>Thép cuộn cán nóng 2.40x122Y SPHT-1 II</t>
  </si>
  <si>
    <t>1251121970706</t>
  </si>
  <si>
    <t>Thép cuộn cán nóng 2.40x122Y SPHT-1</t>
  </si>
  <si>
    <t>1251121970690</t>
  </si>
  <si>
    <t>Thép cuộn cán nóng 1.90x121Y SPHT-1 II</t>
  </si>
  <si>
    <t>1.90×1217×C</t>
  </si>
  <si>
    <t>1251121970683</t>
  </si>
  <si>
    <t>Thép cuộn cán nóng 1.90x121Y SPHT-1</t>
  </si>
  <si>
    <t>1251121970676</t>
  </si>
  <si>
    <t>Thép cuộn cán nóng 12.00x150X SAE1008 II</t>
  </si>
  <si>
    <t>1251121970669</t>
  </si>
  <si>
    <t>Thép cuộn cán nóng 12.00x150X SAE1008</t>
  </si>
  <si>
    <t>1251121970652</t>
  </si>
  <si>
    <t>Thép cuộn cán nóng 6.00x150X SAE1008 II</t>
  </si>
  <si>
    <t>6.00×1502×C</t>
  </si>
  <si>
    <t>1251121970645</t>
  </si>
  <si>
    <t>Thép cuộn cán nóng 6.00x150X SAE1008</t>
  </si>
  <si>
    <t>1251121970638</t>
  </si>
  <si>
    <t>Thép cuộn cán nóng 4.50x150X SAE1008 II</t>
  </si>
  <si>
    <t>4.50×1502×C</t>
  </si>
  <si>
    <t>1251121970621</t>
  </si>
  <si>
    <t>Thép cuộn cán nóng 4.50x150X SAE1008</t>
  </si>
  <si>
    <t>1251121970614</t>
  </si>
  <si>
    <t>Thép cuộn cán nóng 3.00x150X SAE1008 II</t>
  </si>
  <si>
    <t>3.00×1502×C</t>
  </si>
  <si>
    <t>1251121970607</t>
  </si>
  <si>
    <t>Thép cuộn cán nóng 3.00x150X SAE1008</t>
  </si>
  <si>
    <t>1251121970591</t>
  </si>
  <si>
    <t>Thép cuộn cán nóng 12.00x120X SAE1008 II</t>
  </si>
  <si>
    <t>1251121970584</t>
  </si>
  <si>
    <t>Thép cuộn cán nóng 12.00x120X SAE1008</t>
  </si>
  <si>
    <t>1251121970577</t>
  </si>
  <si>
    <t>Thép cuộn cán nóng 4.75x137X SS400</t>
  </si>
  <si>
    <t>4.75×1372×C</t>
  </si>
  <si>
    <t>1251121970393</t>
  </si>
  <si>
    <t>Thép cuộn cán nóng 4.35x137X SS400 II</t>
  </si>
  <si>
    <t>4.35×1372×C</t>
  </si>
  <si>
    <t>1251121970386</t>
  </si>
  <si>
    <t>Thép cuộn cán nóng 4.35x137X SS400</t>
  </si>
  <si>
    <t>1251121970379</t>
  </si>
  <si>
    <t>Thép cuộn cán nóng 2.58x130Y SS400 II</t>
  </si>
  <si>
    <t>2.58×1307×C</t>
  </si>
  <si>
    <t>1251121970225</t>
  </si>
  <si>
    <t>Thép cuộn cán nóng 2.58x130Y SS400</t>
  </si>
  <si>
    <t>1251121970218</t>
  </si>
  <si>
    <t>Thép cuộn cán nóng 5.15x126Y SS400 II</t>
  </si>
  <si>
    <t>5.15×1267×C</t>
  </si>
  <si>
    <t>1251121970201</t>
  </si>
  <si>
    <t>Thép cuộn cán nóng 5.15x126Y SS400</t>
  </si>
  <si>
    <t>1251121970195</t>
  </si>
  <si>
    <t>Thép cuộn cán nóng 3.55x126Y SS400 II</t>
  </si>
  <si>
    <t>3.55×1267×C</t>
  </si>
  <si>
    <t>1251121970188</t>
  </si>
  <si>
    <t>Thép cuộn cán nóng 3.55x126Y SS400</t>
  </si>
  <si>
    <t>1251121970171</t>
  </si>
  <si>
    <t>Thép cuộn cán nóng 5.40x120Y SS400 II</t>
  </si>
  <si>
    <t>5.40×1207×C</t>
  </si>
  <si>
    <t>1251121970164</t>
  </si>
  <si>
    <t>Thép cuộn cán nóng 5.40x120Y SS400</t>
  </si>
  <si>
    <t>1251121970157</t>
  </si>
  <si>
    <t>Thép cuộn cán nóng 3.30x120Y SS400 II</t>
  </si>
  <si>
    <t>3.30×1207×C</t>
  </si>
  <si>
    <t>1251121970140</t>
  </si>
  <si>
    <t>Thép cuộn cán nóng 3.30x120Y SS400</t>
  </si>
  <si>
    <t>1251121970133</t>
  </si>
  <si>
    <t>Thép cuộn cán nóng 2.50x120Y SS400 II</t>
  </si>
  <si>
    <t>2.50×1207×C</t>
  </si>
  <si>
    <t>1251121970126</t>
  </si>
  <si>
    <t>Thép cuộn cán nóng 2.50x120Y SS400</t>
  </si>
  <si>
    <t>1251121970119</t>
  </si>
  <si>
    <t>Thép cuộn cán nóng 3.00x132Y SAE1006 II</t>
  </si>
  <si>
    <t>3.00×1327×C</t>
  </si>
  <si>
    <t>1251121969984</t>
  </si>
  <si>
    <t>Thép cuộn cán nóng 3.00x132Y SAE1006</t>
  </si>
  <si>
    <t>1251121969977</t>
  </si>
  <si>
    <t>Thép cuộn cán nóng 2.75x132Y SAE1006 II</t>
  </si>
  <si>
    <t>2.75×1327×C</t>
  </si>
  <si>
    <t>1251121969960</t>
  </si>
  <si>
    <t>Thép cuộn cán nóng 2.75x132Y SAE1006</t>
  </si>
  <si>
    <t>1251121969953</t>
  </si>
  <si>
    <t>Thép cuộn cán nóng 2.50x132Y SAE1006 II</t>
  </si>
  <si>
    <t>2.50×1327×C</t>
  </si>
  <si>
    <t>1251121969946</t>
  </si>
  <si>
    <t>Thép cuộn cán nóng 2.50x132Y SAE1006</t>
  </si>
  <si>
    <t>1251121969939</t>
  </si>
  <si>
    <t>Thép cuộn cán nóng 2.45x121Y SAE1017 II</t>
  </si>
  <si>
    <t>2.45×1217×C</t>
  </si>
  <si>
    <t>1251121969922</t>
  </si>
  <si>
    <t>Thép cuộn cán nóng 2.45x121Y SAE1017</t>
  </si>
  <si>
    <t>1251121969915</t>
  </si>
  <si>
    <t>Thép cuộn cán nóng 3.00x1230 SPA-H II</t>
  </si>
  <si>
    <t>3.00×1230×C</t>
  </si>
  <si>
    <t>JIS G3125</t>
  </si>
  <si>
    <t>1251121967478</t>
  </si>
  <si>
    <t>Thép cuộn cán nóng 3.00x1230 SPA-H</t>
  </si>
  <si>
    <t>1251121967461</t>
  </si>
  <si>
    <t>Thép cuộn cán nóng 1.78x1250 SAE1006 II</t>
  </si>
  <si>
    <t>1.78×1250×C</t>
  </si>
  <si>
    <t>1251121967454</t>
  </si>
  <si>
    <t>Thép cuộn cán nóng 1.78x1250 SAE1006</t>
  </si>
  <si>
    <t>1251121967447</t>
  </si>
  <si>
    <t>Thép HRC HSPM 1.80x125X S235JR II</t>
  </si>
  <si>
    <t>1.80×1252×C</t>
  </si>
  <si>
    <t>1251122101147</t>
  </si>
  <si>
    <t>Thép HRC HSPM 2.00x125X S235JR II</t>
  </si>
  <si>
    <t>2.00×1252×C</t>
  </si>
  <si>
    <t>1251122101161</t>
  </si>
  <si>
    <t>Thép HRC HSPM 2.50x125X S235JR II</t>
  </si>
  <si>
    <t>2.50×1252×C</t>
  </si>
  <si>
    <t>1251122101185</t>
  </si>
  <si>
    <t>Thép HRC HSPM 3.00x125X S235JR II</t>
  </si>
  <si>
    <t>3.00×1252×C</t>
  </si>
  <si>
    <t>1251122101208</t>
  </si>
  <si>
    <t>Thép HRC HSPM 2.00x125X SS400 II</t>
  </si>
  <si>
    <t>1251122101222</t>
  </si>
  <si>
    <t>Thép HRC HSPM 2.45x125X SS400 II</t>
  </si>
  <si>
    <t>2.45×1252×C</t>
  </si>
  <si>
    <t>1251122101246</t>
  </si>
  <si>
    <t>Thép HRC HSPM 4.80x150X SS400 II</t>
  </si>
  <si>
    <t>4.80×1502×C</t>
  </si>
  <si>
    <t>1251122101260</t>
  </si>
  <si>
    <t>Thép HRC HSPM 2.78x121Y SS400 II</t>
  </si>
  <si>
    <t>2.78×1217×C</t>
  </si>
  <si>
    <t>1251122101284</t>
  </si>
  <si>
    <t>Thép HRC HSPM 2.35x121Y S275JR II</t>
  </si>
  <si>
    <t>2.35×1217×C</t>
  </si>
  <si>
    <t>1251122101307</t>
  </si>
  <si>
    <t>Thép HRC HSPM 2.78x121Y S275JR II</t>
  </si>
  <si>
    <t>1251122101321</t>
  </si>
  <si>
    <t>Thép HRC HSPM 3.30x121Y S275JR II</t>
  </si>
  <si>
    <t>3.30×1217×C</t>
  </si>
  <si>
    <t>1251122101345</t>
  </si>
  <si>
    <t>Thép HRC HSPM 2.00x126X SAE1006 II</t>
  </si>
  <si>
    <t>2.00×1262×C</t>
  </si>
  <si>
    <t>1251122101369</t>
  </si>
  <si>
    <t>Thép HRC HSPM 2.40x115Y SAE1006 II</t>
  </si>
  <si>
    <t>2.40×1157×C</t>
  </si>
  <si>
    <t>1251122101383</t>
  </si>
  <si>
    <t>Thép HRC HSPM 2.00x125X SPHC II</t>
  </si>
  <si>
    <t>1251122101086</t>
  </si>
  <si>
    <t>Thép HRC HSPM 1.80x125X SPHC II</t>
  </si>
  <si>
    <t>1251122101062</t>
  </si>
  <si>
    <t>Thép HRC HSPM 2.50x125X SPHC II</t>
  </si>
  <si>
    <t>1251122101109</t>
  </si>
  <si>
    <t>Thép HRC HSPM 3.00x125X SPHC II</t>
  </si>
  <si>
    <t>1251122101123</t>
  </si>
  <si>
    <t>Thép HRC HSPM 3.50x126X SAE1006 II</t>
  </si>
  <si>
    <t>3.50×1262×C</t>
  </si>
  <si>
    <t>1251122110910</t>
  </si>
  <si>
    <t>Thép HRC HSPM 3.90x150X S275JR  II</t>
  </si>
  <si>
    <t>3.90×1502×C</t>
  </si>
  <si>
    <t>EN 10025-2:2011</t>
  </si>
  <si>
    <t>1251122110934</t>
  </si>
  <si>
    <t>Thép HRC HSPM 3.85x125X S275JR  II</t>
  </si>
  <si>
    <t>3.85×1252×C</t>
  </si>
  <si>
    <t>1251122110958</t>
  </si>
  <si>
    <t>Thép HRC HSPM 4.85x125X S275JR  II</t>
  </si>
  <si>
    <t>4.85×1252×C</t>
  </si>
  <si>
    <t>1251122110972</t>
  </si>
  <si>
    <t>Thép HRC HSPM 5.85x125X S275JR  II</t>
  </si>
  <si>
    <t>5.85×1252×C</t>
  </si>
  <si>
    <t>1251122110996</t>
  </si>
  <si>
    <t>Thép HRC HSPM 4.85x150X S275JR  II</t>
  </si>
  <si>
    <t>4.85×1502×C</t>
  </si>
  <si>
    <t>1251122111016</t>
  </si>
  <si>
    <t>Thép HRC HSPM 5.85x150X S275JR  II</t>
  </si>
  <si>
    <t>5.85×1502×C</t>
  </si>
  <si>
    <t>1251122111030</t>
  </si>
  <si>
    <t>Thép HRC HSPM 2.45x121Y SAE1017  II</t>
  </si>
  <si>
    <t>1251122111849</t>
  </si>
  <si>
    <t>Thép HRC HSPM 2.90x122Y SAE1008  II</t>
  </si>
  <si>
    <t>1251122111887</t>
  </si>
  <si>
    <t>Thép HRC HSPM 4.50x120X SAE1008  II</t>
  </si>
  <si>
    <t>4.50×1202×C</t>
  </si>
  <si>
    <t>1251122111900</t>
  </si>
  <si>
    <t>Thép HRC HSPM 5.00x120X SAE1008  II</t>
  </si>
  <si>
    <t>5.00×1202×C</t>
  </si>
  <si>
    <t>1251122111924</t>
  </si>
  <si>
    <t>Thép HRC HSPM 6.00x120X SAE1008  II</t>
  </si>
  <si>
    <t>6.00×1202×C</t>
  </si>
  <si>
    <t>1251122111948</t>
  </si>
  <si>
    <t>Thép HRC HSPM 3.00x150X SAE1008  II</t>
  </si>
  <si>
    <t>1251122111962</t>
  </si>
  <si>
    <t>Thép HRC HSPM 4.50x150X SAE1008  II</t>
  </si>
  <si>
    <t>1251122111986</t>
  </si>
  <si>
    <t>Thép HRC HSPM 6.00x150X SAE1008  II</t>
  </si>
  <si>
    <t>1251122112006</t>
  </si>
  <si>
    <t>Thép HRC HSPM 1.90x121Y SPHT-1  II</t>
  </si>
  <si>
    <t>1251122112020</t>
  </si>
  <si>
    <t>Thép HRC HSPM 2.40x122Y SPHT-1  II</t>
  </si>
  <si>
    <t>1251122112044</t>
  </si>
  <si>
    <t>Thép HRC HSPM 2.40x150X SPHT-1  II</t>
  </si>
  <si>
    <t>1251122112068</t>
  </si>
  <si>
    <t>Thép HRC HSPM 2.75x150X SPHT-1  II</t>
  </si>
  <si>
    <t>1251122112082</t>
  </si>
  <si>
    <t>Thép HRC HSPM 2.90x122Y SPHT-1  II</t>
  </si>
  <si>
    <t>1251122112105</t>
  </si>
  <si>
    <t>Thép HRC HSPM 2.90x150X SPHT-1  II</t>
  </si>
  <si>
    <t>2.90×1502×C</t>
  </si>
  <si>
    <t>1251122112129</t>
  </si>
  <si>
    <t>Thép HRC HSPM 3.85x150X S275JR  II</t>
  </si>
  <si>
    <t>3.85×1502×C</t>
  </si>
  <si>
    <t>1251122112143</t>
  </si>
  <si>
    <t>Thép HRC HSPM 2.75x125X SPHC II</t>
  </si>
  <si>
    <t>2.75×1252×C</t>
  </si>
  <si>
    <t>1251122112433</t>
  </si>
  <si>
    <t>Thép HRC HSPM 4.70x121X S275JR II</t>
  </si>
  <si>
    <t>1251122112457</t>
  </si>
  <si>
    <t>Thép HRC HSPM 1.80x122Y SPHT-1 II</t>
  </si>
  <si>
    <t>1251122112471</t>
  </si>
  <si>
    <t>Thép HRC HSPM  1.70x121X SAE1006 II</t>
  </si>
  <si>
    <t>1251122112549</t>
  </si>
  <si>
    <t>Thép HRC HSPM 1.60x121X SAE1006 II</t>
  </si>
  <si>
    <t>1.60×1212×C</t>
  </si>
  <si>
    <t>1251122112525</t>
  </si>
  <si>
    <t>Thép HRC HSPM 1.70x121X SAE1006</t>
  </si>
  <si>
    <t>1251122112532</t>
  </si>
  <si>
    <t>Thép HRC HSPM 1.60x121X SAE1006</t>
  </si>
  <si>
    <t>1251122112518</t>
  </si>
  <si>
    <t>Thép HRC HSPM 1.80x125X SPHC</t>
  </si>
  <si>
    <t>1251122101055</t>
  </si>
  <si>
    <t>Thép HRC HSPM 2.00x125X SPHC</t>
  </si>
  <si>
    <t>1251122101079</t>
  </si>
  <si>
    <t>Thép HRC HSPM 2.50x125X SPHC</t>
  </si>
  <si>
    <t>1251122101093</t>
  </si>
  <si>
    <t>Thép HRC HSPM 3.00x125X SPHC</t>
  </si>
  <si>
    <t>1251122101116</t>
  </si>
  <si>
    <t>Thép HRC HSPM 1.80x125X S235JR</t>
  </si>
  <si>
    <t>1251122101130</t>
  </si>
  <si>
    <t>Thép HRC HSPM 2.00x125X S235JR</t>
  </si>
  <si>
    <t>1251122101154</t>
  </si>
  <si>
    <t>Thép HRC HSPM 2.50x125X S235JR</t>
  </si>
  <si>
    <t>1251122101178</t>
  </si>
  <si>
    <t>Thép HRC HSPM 3.00x125X S235JR</t>
  </si>
  <si>
    <t>1251122101192</t>
  </si>
  <si>
    <t>Thép HRC HSPM 2.00x125X SS400</t>
  </si>
  <si>
    <t>1251122101215</t>
  </si>
  <si>
    <t>Thép HRC HSPM 2.45x125X SS400</t>
  </si>
  <si>
    <t>1251122101239</t>
  </si>
  <si>
    <t>Thép HRC HSPM 4.80x150X SS400</t>
  </si>
  <si>
    <t>1251122101253</t>
  </si>
  <si>
    <t>Thép HRC HSPM 2.78x121Y SS400</t>
  </si>
  <si>
    <t>1251122101277</t>
  </si>
  <si>
    <t>Thép HRC HSPM 2.35x121Y S275JR</t>
  </si>
  <si>
    <t>1251122101291</t>
  </si>
  <si>
    <t>Thép HRC HSPM 2.78x121Y S275JR</t>
  </si>
  <si>
    <t>1251122101314</t>
  </si>
  <si>
    <t>Thép HRC HSPM 3.30x121Y S275JR</t>
  </si>
  <si>
    <t>1251122101338</t>
  </si>
  <si>
    <t>Thép HRC HSPM 2.00x126X SAE1006</t>
  </si>
  <si>
    <t>1251122101352</t>
  </si>
  <si>
    <t>Thép HRC HSPM 2.40x115Y SAE1006</t>
  </si>
  <si>
    <t>1251122101376</t>
  </si>
  <si>
    <t>Thép HRC HSPM 3.90x150X S275JR</t>
  </si>
  <si>
    <t>1251122110927</t>
  </si>
  <si>
    <t>Thép HRC HSPM 3.85x125X S275JR</t>
  </si>
  <si>
    <t>1251122110941</t>
  </si>
  <si>
    <t>Thép HRC HSPM 4.85x125X S275JR</t>
  </si>
  <si>
    <t>1251122110965</t>
  </si>
  <si>
    <t>Thép HRC HSPM 5.85x125X S275JR</t>
  </si>
  <si>
    <t>1251122110989</t>
  </si>
  <si>
    <t>Thép HRC HSPM 4.85x150X S275JR</t>
  </si>
  <si>
    <t>1251122111009</t>
  </si>
  <si>
    <t>Thép HRC HSPM 5.85x150X S275JR</t>
  </si>
  <si>
    <t>1251122111023</t>
  </si>
  <si>
    <t>Thép HRC HSPM 2.45x121Y SAE1017</t>
  </si>
  <si>
    <t>1251122111832</t>
  </si>
  <si>
    <t>Thép HRC HSPM 2.40x150X SPHT-1</t>
  </si>
  <si>
    <t>1251122112051</t>
  </si>
  <si>
    <t>Thép HRC HSPM 2.75x150X SPHT-1</t>
  </si>
  <si>
    <t>1251122112075</t>
  </si>
  <si>
    <t>Thép HRC HSPM 2.90x122Y SPHT-1</t>
  </si>
  <si>
    <t>1251122112099</t>
  </si>
  <si>
    <t>Thép HRC HSPM 2.90x150X SPHT-1</t>
  </si>
  <si>
    <t>1251122112112</t>
  </si>
  <si>
    <t>Thép HRC HSPM 2.75x125X SPHC</t>
  </si>
  <si>
    <t>1251122112426</t>
  </si>
  <si>
    <t>Thép HRC HSPM 4.70x121X S275JR</t>
  </si>
  <si>
    <t>1251122112440</t>
  </si>
  <si>
    <t>Thép HRC HSPM 1.80x122Y SPHT-1</t>
  </si>
  <si>
    <t>1251122112464</t>
  </si>
  <si>
    <t>Thép HRC HSPM 3.85x150X S275JR</t>
  </si>
  <si>
    <t>1251122112136</t>
  </si>
  <si>
    <t>Thép HRC HSPM 2.90x122Y SAE1008</t>
  </si>
  <si>
    <t>1251122111870</t>
  </si>
  <si>
    <t>Thép HRC HSPM 4.50x120X SAE1008</t>
  </si>
  <si>
    <t>1251122111894</t>
  </si>
  <si>
    <t>Thép HRC HSPM 5.00x120X SAE1008</t>
  </si>
  <si>
    <t>1251122111917</t>
  </si>
  <si>
    <t>Thép HRC HSPM 6.00x120X SAE1008</t>
  </si>
  <si>
    <t>1251122111931</t>
  </si>
  <si>
    <t>Thép HRC HSPM 3.00x150X SAE1008</t>
  </si>
  <si>
    <t>1251122111955</t>
  </si>
  <si>
    <t>Thép HRC HSPM 4.50x150X SAE1008</t>
  </si>
  <si>
    <t>1251122111979</t>
  </si>
  <si>
    <t>Thép HRC HSPM 6.00x150X SAE1008</t>
  </si>
  <si>
    <t>1251122111993</t>
  </si>
  <si>
    <t>Thép HRC HSPM 1.90x121Y SPHT-1</t>
  </si>
  <si>
    <t>1251122112013</t>
  </si>
  <si>
    <t>Thép HRC HSPM 2.40x122Y SPHT-1</t>
  </si>
  <si>
    <t>1251122112037</t>
  </si>
  <si>
    <t>Thép HRC HSPM 3.50x126X SAE1006</t>
  </si>
  <si>
    <t>1251122110903</t>
  </si>
  <si>
    <t>Thép cuộn cán nóng 2.42x102X SAE1006 II</t>
  </si>
  <si>
    <t>2.42×1022×C</t>
  </si>
  <si>
    <t>1251121975787</t>
  </si>
  <si>
    <t>Thép cuộn cán nóng 2.42x122X SAE1006 II</t>
  </si>
  <si>
    <t>2.42×1222×C</t>
  </si>
  <si>
    <t>1251121975770</t>
  </si>
  <si>
    <t>Thép cuộn cán nóng 4.00x126X S235JR</t>
  </si>
  <si>
    <t>4.00×1262×C</t>
  </si>
  <si>
    <t>EN 10025-2</t>
  </si>
  <si>
    <t>1251121975763</t>
  </si>
  <si>
    <t>Thép cuộn cán nóng 2.85x126X S235JR</t>
  </si>
  <si>
    <t>2.85×1262×C</t>
  </si>
  <si>
    <t>1251121975756</t>
  </si>
  <si>
    <t>Thép cuộn cán nóng 2.50x126X S235JR</t>
  </si>
  <si>
    <t>2.50×1262×C</t>
  </si>
  <si>
    <t>1251121975749</t>
  </si>
  <si>
    <t>Thép cuộn cán nóng 2.35x126X S235JR</t>
  </si>
  <si>
    <t>2.35×1262×C</t>
  </si>
  <si>
    <t>1251121975732</t>
  </si>
  <si>
    <t>Thép cuộn cán nóng 3.00x126X S235JR</t>
  </si>
  <si>
    <t>3.00×1262×C</t>
  </si>
  <si>
    <t>1251121975725</t>
  </si>
  <si>
    <t>Thép cuộn cán nóng 2.00x126X S235JR</t>
  </si>
  <si>
    <t>1251121975718</t>
  </si>
  <si>
    <t>Thép cuộn cán nóng 1.80x126X S235JR</t>
  </si>
  <si>
    <t>1.80×1262×C</t>
  </si>
  <si>
    <t>1251121975701</t>
  </si>
  <si>
    <t>Thép cuộn cán nóng 4.55x101X S235JR</t>
  </si>
  <si>
    <t>4.55×1012×C</t>
  </si>
  <si>
    <t>1251121975695</t>
  </si>
  <si>
    <t>Thép cuộn cán nóng 4.00x101X S235JR</t>
  </si>
  <si>
    <t>4.00×1012×C</t>
  </si>
  <si>
    <t>1251121975688</t>
  </si>
  <si>
    <t>Thép cuộn cán nóng 3.00x101X S235JR</t>
  </si>
  <si>
    <t>3.00×1012×C</t>
  </si>
  <si>
    <t>1251121975671</t>
  </si>
  <si>
    <t>Thép cuộn cán nóng 2.50x101X S235JR</t>
  </si>
  <si>
    <t>2.50×1012×C</t>
  </si>
  <si>
    <t>1251121975664</t>
  </si>
  <si>
    <t>Thép cuộn cán nóng 2.35x101X S235JR</t>
  </si>
  <si>
    <t>2.35×1012×C</t>
  </si>
  <si>
    <t>1251121975657</t>
  </si>
  <si>
    <t>Thép cuộn cán nóng 2.00x101X S235JR</t>
  </si>
  <si>
    <t>2.00×1012×C</t>
  </si>
  <si>
    <t>1251121975640</t>
  </si>
  <si>
    <t>Thép cuộn cán nóng 2.42x102X SAE1006</t>
  </si>
  <si>
    <t>1251121975633</t>
  </si>
  <si>
    <t>Thép cuộn cán nóng 2.42x122X SAE1006</t>
  </si>
  <si>
    <t>1251121975626</t>
  </si>
  <si>
    <t>Thép cuộn cán nóng 3.20x117Y SPA-H II</t>
  </si>
  <si>
    <t>3.20×1177×C</t>
  </si>
  <si>
    <t>1251121975619</t>
  </si>
  <si>
    <t>Thép cuộn cán nóng 3.20x117Y SPA-H</t>
  </si>
  <si>
    <t>1251121975602</t>
  </si>
  <si>
    <t>Thép cuộn cán nóng 3.00x117Y SPA-H II</t>
  </si>
  <si>
    <t>3.00×1177×C</t>
  </si>
  <si>
    <t>1251121975596</t>
  </si>
  <si>
    <t>Thép cuộn cán nóng 3.00x117Y SPA-H</t>
  </si>
  <si>
    <t>1251121975589</t>
  </si>
  <si>
    <t>Thép cuộn cán nóng 2.50x117Y SPA-H II</t>
  </si>
  <si>
    <t>2.50×1177×C</t>
  </si>
  <si>
    <t>1251121975572</t>
  </si>
  <si>
    <t>Thép cuộn cán nóng 2.50x117Y SPA-H</t>
  </si>
  <si>
    <t>1251121975565</t>
  </si>
  <si>
    <t>Thép cuộn cán nóng 2.25x117Y SPA-H II</t>
  </si>
  <si>
    <t>2.25×1177×C</t>
  </si>
  <si>
    <t>1251121975558</t>
  </si>
  <si>
    <t>Thép cuộn cán nóng 2.25x117Y SPA-H</t>
  </si>
  <si>
    <t>1251121975541</t>
  </si>
  <si>
    <t>Thép cuộn cán nóng 1.80x118X SPA-H II</t>
  </si>
  <si>
    <t>1.80×1182×C</t>
  </si>
  <si>
    <t>1251121975435</t>
  </si>
  <si>
    <t>Thép cuộn cán nóng 1.80x118X SPA-H</t>
  </si>
  <si>
    <t>1251121975428</t>
  </si>
  <si>
    <t>Thép cuộn cán nóng 5.62x152X S275JR II</t>
  </si>
  <si>
    <t>5.62×1522×C</t>
  </si>
  <si>
    <t>MS-EN 10025-2: 201</t>
  </si>
  <si>
    <t>1251121975411</t>
  </si>
  <si>
    <t>Thép cuộn cán nóng 5.62x152X S275JR</t>
  </si>
  <si>
    <t>1251121975404</t>
  </si>
  <si>
    <t>Thép cuộn cán nóng 2.50x118X SPA-H II</t>
  </si>
  <si>
    <t>2.50×1182×C</t>
  </si>
  <si>
    <t>1251121975084</t>
  </si>
  <si>
    <t>Thép cuộn cán nóng 2.50x118X SPA-H</t>
  </si>
  <si>
    <t>1251121975077</t>
  </si>
  <si>
    <t>Thép cuộn cán nóng 2.25x118X SPA-H II</t>
  </si>
  <si>
    <t>2.25×1182×C</t>
  </si>
  <si>
    <t>1251121975060</t>
  </si>
  <si>
    <t>Thép cuộn cán nóng 2.25x118X SPA-H</t>
  </si>
  <si>
    <t>1251121975053</t>
  </si>
  <si>
    <t>Thép cuộn cán nóng 3.20x113X SPA-H II</t>
  </si>
  <si>
    <t>3.20×1132×C</t>
  </si>
  <si>
    <t>1251121975046</t>
  </si>
  <si>
    <t>Thép cuộn cán nóng 3.20x113X SPA-H</t>
  </si>
  <si>
    <t>1251121975039</t>
  </si>
  <si>
    <t>Thép cuộn cán nóng 3.20x112X SPA-H II</t>
  </si>
  <si>
    <t>3.20×1122×C</t>
  </si>
  <si>
    <t>1251121975022</t>
  </si>
  <si>
    <t>Thép cuộn cán nóng 3.20x112X SPA-H</t>
  </si>
  <si>
    <t>1251121975015</t>
  </si>
  <si>
    <t>Thép cuộn cán nóng 3.20x118X SPA-H II</t>
  </si>
  <si>
    <t>3.20×1182×C</t>
  </si>
  <si>
    <t>1251121975008</t>
  </si>
  <si>
    <t>Thép cuộn cán nóng 3.20x118X SPA-H</t>
  </si>
  <si>
    <t>1251121974995</t>
  </si>
  <si>
    <t>Thép cuộn cán nóng 3.00x113X SPA-H II</t>
  </si>
  <si>
    <t>3.00×1132×C</t>
  </si>
  <si>
    <t>1251121974988</t>
  </si>
  <si>
    <t>Thép cuộn cán nóng 3.00x113X SPA-H</t>
  </si>
  <si>
    <t>1251121974971</t>
  </si>
  <si>
    <t>Thép cuộn cán nóng 3.00x112X SPA-H II</t>
  </si>
  <si>
    <t>3.00×1122×C</t>
  </si>
  <si>
    <t>1251121974964</t>
  </si>
  <si>
    <t>Thép cuộn cán nóng 3.00x112X SPA-H</t>
  </si>
  <si>
    <t>1251121974957</t>
  </si>
  <si>
    <t>Thép cuộn cán nóng 3.00x118X SPA-H II</t>
  </si>
  <si>
    <t>3.00×1182×C</t>
  </si>
  <si>
    <t>1251121974940</t>
  </si>
  <si>
    <t>Thép cuộn cán nóng 3.00x118X SPA-H</t>
  </si>
  <si>
    <t>1251121974933</t>
  </si>
  <si>
    <t>Thép cuộn cán nóng 2.00x118X SPA-H II</t>
  </si>
  <si>
    <t>2.00×1182×C</t>
  </si>
  <si>
    <t>1251121974926</t>
  </si>
  <si>
    <t>Thép cuộn cán nóng 2.00x118X SPA-H</t>
  </si>
  <si>
    <t>1251121974919</t>
  </si>
  <si>
    <t>Thép cuộn cán nóng 1.60x118X SPA-H II</t>
  </si>
  <si>
    <t>1.60×1182×C</t>
  </si>
  <si>
    <t>1251121974902</t>
  </si>
  <si>
    <t>Thép cuộn cán nóng 1.60x118X SPA-H</t>
  </si>
  <si>
    <t>1251121974896</t>
  </si>
  <si>
    <t>Thép cuộn cán nóng 1.60x121X SPHC II</t>
  </si>
  <si>
    <t>MS 1705:2003</t>
  </si>
  <si>
    <t>1251121974889</t>
  </si>
  <si>
    <t>Thép cuộn cán nóng 1.60x121X SPHC</t>
  </si>
  <si>
    <t>1251121974872</t>
  </si>
  <si>
    <t>Thép cuộn cán nóng 1.52x121Y SPHT1 II</t>
  </si>
  <si>
    <t>1.52×1217×C</t>
  </si>
  <si>
    <t>MS 1768:2004</t>
  </si>
  <si>
    <t>1251121974865</t>
  </si>
  <si>
    <t>Thép cuộn cán nóng 1.52x121Y SPHT1</t>
  </si>
  <si>
    <t>1251121974858</t>
  </si>
  <si>
    <t>Thép cuộn cán nóng 4.63x151Y S275JR II</t>
  </si>
  <si>
    <t>4.63×1517×C</t>
  </si>
  <si>
    <t>MS-EN 10025-2:2011</t>
  </si>
  <si>
    <t>1251121974841</t>
  </si>
  <si>
    <t>Thép cuộn cán nóng 4.63x151Y S275JR</t>
  </si>
  <si>
    <t>1251121974834</t>
  </si>
  <si>
    <t>Thép cuộn cán nóng 2.25x151Y S275JR II</t>
  </si>
  <si>
    <t>2.25×1517×C</t>
  </si>
  <si>
    <t>1251121974827</t>
  </si>
  <si>
    <t>Thép cuộn cán nóng 2.25x151Y S275JR</t>
  </si>
  <si>
    <t>1251121974810</t>
  </si>
  <si>
    <t>Thép cuộn cán nóng 2.75x108Y SAE1006 II</t>
  </si>
  <si>
    <t>2.75×1087×C</t>
  </si>
  <si>
    <t>1251121974742</t>
  </si>
  <si>
    <t>Thép cuộn cán nóng 2.75x108Y SAE1006</t>
  </si>
  <si>
    <t>1251121974735</t>
  </si>
  <si>
    <t>Thép cuộn cán nóng 2.30x143Y S235JR</t>
  </si>
  <si>
    <t>1251121971604</t>
  </si>
  <si>
    <t>Thép cuộn cán nóng 2.08x143Y S235JR  II</t>
  </si>
  <si>
    <t>2.08×1437×C</t>
  </si>
  <si>
    <t>1251121971598</t>
  </si>
  <si>
    <t>Thép cuộn cán nóng 2.08x143Y S235JR</t>
  </si>
  <si>
    <t>1251121971581</t>
  </si>
  <si>
    <t>Thép cuộn cán nóng 1.92x143Y S235JR  II</t>
  </si>
  <si>
    <t>1.92×1437×C</t>
  </si>
  <si>
    <t>1251121971574</t>
  </si>
  <si>
    <t>Thép cuộn cán nóng 1.92x143Y S235JR</t>
  </si>
  <si>
    <t>1251121971567</t>
  </si>
  <si>
    <t>Thép cuộn cán nóng 9.90x120X SPHT-1 II</t>
  </si>
  <si>
    <t>9.90×1202×C</t>
  </si>
  <si>
    <t>1251121971208</t>
  </si>
  <si>
    <t>Thép cuộn cán nóng 9.90x120X SPHT-1</t>
  </si>
  <si>
    <t>1251121971192</t>
  </si>
  <si>
    <t>Thép cuộn cán nóng 7.90x150X SPHT-1 II</t>
  </si>
  <si>
    <t>7.90×1502×C</t>
  </si>
  <si>
    <t>1251121971185</t>
  </si>
  <si>
    <t>Thép cuộn cán nóng 7.90x150X SPHT-1</t>
  </si>
  <si>
    <t>1251121971178</t>
  </si>
  <si>
    <t>Thép cuộn cán nóng 7.90x120X SPHT-1 II</t>
  </si>
  <si>
    <t>7.90×1202×C</t>
  </si>
  <si>
    <t>1251121971161</t>
  </si>
  <si>
    <t>Thép cuộn cán nóng 7.90x120X SPHT-1</t>
  </si>
  <si>
    <t>1251121971154</t>
  </si>
  <si>
    <t>Thép cuộn cán nóng 6.00x150X SPHT-1 II</t>
  </si>
  <si>
    <t>1251121971147</t>
  </si>
  <si>
    <t>Thép cuộn cán nóng 6.00x150X SPHT-1</t>
  </si>
  <si>
    <t>1251121971130</t>
  </si>
  <si>
    <t>Thép cuộn cán nóng 5.90x120X SPHT-1 II</t>
  </si>
  <si>
    <t>5.90×1202×C</t>
  </si>
  <si>
    <t>1251121971123</t>
  </si>
  <si>
    <t>Thép cuộn cán nóng 5.90x120X SPHT-1</t>
  </si>
  <si>
    <t>1251121971116</t>
  </si>
  <si>
    <t>Thép cuộn cán nóng 5.00x150X SPHT-1 II</t>
  </si>
  <si>
    <t>1251121971109</t>
  </si>
  <si>
    <t>Thép cuộn cán nóng 5.00x150X SPHT-1</t>
  </si>
  <si>
    <t>1251121971093</t>
  </si>
  <si>
    <t>Thép cuộn cán nóng 4.90x120X SPHT-1 II</t>
  </si>
  <si>
    <t>4.90×1202×C</t>
  </si>
  <si>
    <t>1251121971086</t>
  </si>
  <si>
    <t>Thép cuộn cán nóng 4.90x120X SPHT-1</t>
  </si>
  <si>
    <t>1251121971079</t>
  </si>
  <si>
    <t>Thép cuộn cán nóng 4.40x150X SPHT-1 II</t>
  </si>
  <si>
    <t>4.40×1502×C</t>
  </si>
  <si>
    <t>1251121971062</t>
  </si>
  <si>
    <t>Thép cuộn cán nóng 4.40x150X SPHT-1</t>
  </si>
  <si>
    <t>1251121971055</t>
  </si>
  <si>
    <t>Thép cuộn cán nóng 4.40x120X SPHT-1 II</t>
  </si>
  <si>
    <t>4.40×1202×C</t>
  </si>
  <si>
    <t>1251121971048</t>
  </si>
  <si>
    <t>Thép cuộn cán nóng 4.40x120X SPHT-1</t>
  </si>
  <si>
    <t>1251121971031</t>
  </si>
  <si>
    <t>Thép cuộn cán nóng 4.00x150X SPHT-1 II</t>
  </si>
  <si>
    <t>4.00×1502×C</t>
  </si>
  <si>
    <t>1251121971024</t>
  </si>
  <si>
    <t>Thép cuộn cán nóng 4.00x150X SPHT-1</t>
  </si>
  <si>
    <t>1251121971017</t>
  </si>
  <si>
    <t>Thép cuộn cán nóng 4.00x150X SAE1008 II</t>
  </si>
  <si>
    <t>1251121971000</t>
  </si>
  <si>
    <t>Thép cuộn cán nóng 4.00x150X SAE1008</t>
  </si>
  <si>
    <t>1251121970997</t>
  </si>
  <si>
    <t>Thép cuộn cán nóng 2.90x150X SPHT-1 II</t>
  </si>
  <si>
    <t>1251121970980</t>
  </si>
  <si>
    <t>Thép cuộn cán nóng 2.90x150X SPHT-1</t>
  </si>
  <si>
    <t>1251121970973</t>
  </si>
  <si>
    <t>Thép cuộn cán nóng 2.40x150X SPHT-1 II</t>
  </si>
  <si>
    <t>1251121970966</t>
  </si>
  <si>
    <t>Thép cuộn cán nóng 2.40x150X SPHT-1</t>
  </si>
  <si>
    <t>1251121970959</t>
  </si>
  <si>
    <t>Thép cuộn cán nóng 4.00x122Y SAE1008 II</t>
  </si>
  <si>
    <t>1251121970942</t>
  </si>
  <si>
    <t>Thép cuộn cán nóng 4.00x122Y SAE1008</t>
  </si>
  <si>
    <t>1251121970935</t>
  </si>
  <si>
    <t>Thép cuộn cán nóng 2.80x150X SAE1008 II</t>
  </si>
  <si>
    <t>1251121970928</t>
  </si>
  <si>
    <t>Thép cuộn cán nóng 6.00x120X SAE1008 II</t>
  </si>
  <si>
    <t>1251121970560</t>
  </si>
  <si>
    <t>Thép cuộn cán nóng 6.00x120X SAE1008</t>
  </si>
  <si>
    <t>1251121970553</t>
  </si>
  <si>
    <t>Thép cuộn cán nóng 5.00x120X SAE1008 II</t>
  </si>
  <si>
    <t>1251121970546</t>
  </si>
  <si>
    <t>Thép cuộn cán nóng 5.00x120X SAE1008</t>
  </si>
  <si>
    <t>1251121970539</t>
  </si>
  <si>
    <t>Thép cuộn cán nóng 4.50x120X SAE1008 II</t>
  </si>
  <si>
    <t>1251121970522</t>
  </si>
  <si>
    <t>Thép cuộn cán nóng 4.50x120X SAE1008</t>
  </si>
  <si>
    <t>1251121970515</t>
  </si>
  <si>
    <t>Thép cuộn cán nóng 5.40x142X SS400 II</t>
  </si>
  <si>
    <t>5.40×1422×C</t>
  </si>
  <si>
    <t>1251121970508</t>
  </si>
  <si>
    <t>Thép cuộn cán nóng 5.40x142X SS400</t>
  </si>
  <si>
    <t>1251121970492</t>
  </si>
  <si>
    <t>Thép cuộn cán nóng 4.05x142X SS400 II</t>
  </si>
  <si>
    <t>4.05×1422×C</t>
  </si>
  <si>
    <t>1251121970485</t>
  </si>
  <si>
    <t>Thép cuộn cán nóng 4.05x142X SS400</t>
  </si>
  <si>
    <t>1251121970478</t>
  </si>
  <si>
    <t>Thép cuộn cán nóng 3.10x142X SS400 II</t>
  </si>
  <si>
    <t>3.10×1422×C</t>
  </si>
  <si>
    <t>1251121970461</t>
  </si>
  <si>
    <t>Thép cuộn cán nóng 3.10x142X SS400</t>
  </si>
  <si>
    <t>1251121970454</t>
  </si>
  <si>
    <t>Thép cuộn cán nóng 2.40x142X SS400 II</t>
  </si>
  <si>
    <t>2.40×1422×C</t>
  </si>
  <si>
    <t>1251121970447</t>
  </si>
  <si>
    <t>Thép cuộn cán nóng 2.40x142X SS400</t>
  </si>
  <si>
    <t>1251121970430</t>
  </si>
  <si>
    <t>Thép cuộn cán nóng 3.20x142X SS400 II</t>
  </si>
  <si>
    <t>3.20×1422×C</t>
  </si>
  <si>
    <t>1251121970423</t>
  </si>
  <si>
    <t>Thép cuộn cán nóng 3.20x142X SS400</t>
  </si>
  <si>
    <t>1251121970416</t>
  </si>
  <si>
    <t>Thép cuộn cán nóng 4.75x137X SS400 II</t>
  </si>
  <si>
    <t>1251121970409</t>
  </si>
  <si>
    <t>Thép cuộn cán nóng 3.58x137X SS400 II</t>
  </si>
  <si>
    <t>3.58×1372×C</t>
  </si>
  <si>
    <t>1251121970362</t>
  </si>
  <si>
    <t>Thép cuộn cán nóng 3.58x137X SS400</t>
  </si>
  <si>
    <t>1251121970355</t>
  </si>
  <si>
    <t>Thép cuộn cán nóng 2.95x137X SS400 II</t>
  </si>
  <si>
    <t>2.95×1372×C</t>
  </si>
  <si>
    <t>1251121970348</t>
  </si>
  <si>
    <t>Thép cuộn cán nóng 2.95x137X SS400</t>
  </si>
  <si>
    <t>1251121970331</t>
  </si>
  <si>
    <t>Thép cuộn cán nóng 4.60x134Y SS400 II</t>
  </si>
  <si>
    <t>4.60×1347×C</t>
  </si>
  <si>
    <t>1251121970324</t>
  </si>
  <si>
    <t>Thép cuộn cán nóng 4.60x134Y SS400</t>
  </si>
  <si>
    <t>1251121970317</t>
  </si>
  <si>
    <t>Thép cuộn cán nóng 3.55x134Y SS400 II</t>
  </si>
  <si>
    <t>3.55×1347×C</t>
  </si>
  <si>
    <t>1251121970300</t>
  </si>
  <si>
    <t>Thép cuộn cán nóng 3.55x134Y SS400</t>
  </si>
  <si>
    <t>1251121970294</t>
  </si>
  <si>
    <t>Thép cuộn cán nóng 3.40x134Y SS400 II</t>
  </si>
  <si>
    <t>3.40×1347×C</t>
  </si>
  <si>
    <t>1251121970287</t>
  </si>
  <si>
    <t>Thép cuộn cán nóng 3.40x134Y SS400</t>
  </si>
  <si>
    <t>1251121970270</t>
  </si>
  <si>
    <t>Thép cuộn cán nóng 2.75x130Y SS400 II</t>
  </si>
  <si>
    <t>2.75×1307×C</t>
  </si>
  <si>
    <t>1251121970263</t>
  </si>
  <si>
    <t>Thép cuộn cán nóng 2.75x130Y SS400</t>
  </si>
  <si>
    <t>1251121970256</t>
  </si>
  <si>
    <t>Thép cuộn cán nóng 2.62x130Y SS400 II</t>
  </si>
  <si>
    <t>2.62×1307×C</t>
  </si>
  <si>
    <t>1251121970249</t>
  </si>
  <si>
    <t>Thép cuộn cán nóng 2.62x130Y SS400</t>
  </si>
  <si>
    <t>1251121970232</t>
  </si>
  <si>
    <t>Thép cuộn cán nóng 2.80x123Y TCRAJ II</t>
  </si>
  <si>
    <t>2.80×1237×C</t>
  </si>
  <si>
    <t>JIS G3131</t>
  </si>
  <si>
    <t>1251121968314</t>
  </si>
  <si>
    <t>Thép cuộn cán nóng 2.80x123Y TCRAJ</t>
  </si>
  <si>
    <t>1251121968307</t>
  </si>
  <si>
    <t>Thép cuộn cán nóng 8.00x126X SAE1006 II</t>
  </si>
  <si>
    <t>8.00×1262×C</t>
  </si>
  <si>
    <t>1251121968253</t>
  </si>
  <si>
    <t>Thép cuộn cán nóng 8.00x126X SAE1006</t>
  </si>
  <si>
    <t>1251121968246</t>
  </si>
  <si>
    <t>Thép cuộn cán nóng 11.85x125X S275JR II</t>
  </si>
  <si>
    <t>11.85×1252×C</t>
  </si>
  <si>
    <t>1251121968239</t>
  </si>
  <si>
    <t>Thép cuộn cán nóng 11.85x125X S275JR</t>
  </si>
  <si>
    <t>1251121968222</t>
  </si>
  <si>
    <t>Thép cuộn cán nóng 9.85x125X S275JR II</t>
  </si>
  <si>
    <t>9.85×1252×C</t>
  </si>
  <si>
    <t>1251121968215</t>
  </si>
  <si>
    <t>Thép cuộn cán nóng 9.85x125X S275JR</t>
  </si>
  <si>
    <t>1251121968208</t>
  </si>
  <si>
    <t>Thép cuộn cán nóng 7.85x125X S275JR II</t>
  </si>
  <si>
    <t>7.85×1252×C</t>
  </si>
  <si>
    <t>1251121968192</t>
  </si>
  <si>
    <t>Thép cuộn cán nóng 7.85x125X S275JR</t>
  </si>
  <si>
    <t>1251121968185</t>
  </si>
  <si>
    <t>Thép cuộn cán nóng 5.85x125X S275JR II</t>
  </si>
  <si>
    <t>1251121968178</t>
  </si>
  <si>
    <t>Thép cuộn cán nóng 5.85x125X S275JR</t>
  </si>
  <si>
    <t>1251121968161</t>
  </si>
  <si>
    <t>Thép cuộn cán nóng 4.85x125X S275JR II</t>
  </si>
  <si>
    <t>1251121968154</t>
  </si>
  <si>
    <t>Thép cuộn cán nóng 4.85x125X S275JR</t>
  </si>
  <si>
    <t>1251121968147</t>
  </si>
  <si>
    <t>Thép cuộn cán nóng 3.85x125X S275JR II</t>
  </si>
  <si>
    <t>1251121968130</t>
  </si>
  <si>
    <t>Thép cuộn cán nóng 3.85x125X S275JR</t>
  </si>
  <si>
    <t>1251121968123</t>
  </si>
  <si>
    <t>Thép cuộn cán nóng 2.75x121Y SAE1006 II</t>
  </si>
  <si>
    <t>2.75×1217×C</t>
  </si>
  <si>
    <t>1251121967904</t>
  </si>
  <si>
    <t>Thép cuộn cán nóng 2.75x121Y SAE1006</t>
  </si>
  <si>
    <t>1251121967898</t>
  </si>
  <si>
    <t>Thép cuộn cán nóng 2.50x108Y S235JR II</t>
  </si>
  <si>
    <t>2.50×1087×C</t>
  </si>
  <si>
    <t>1251121967737</t>
  </si>
  <si>
    <t>Thép cuộn cán nóng 2.50x108Y S235JR</t>
  </si>
  <si>
    <t>1251121967720</t>
  </si>
  <si>
    <t>Thép cuộn cán nóng 2.67x121Y SAE1006 II</t>
  </si>
  <si>
    <t>2.67×1217×C</t>
  </si>
  <si>
    <t>1251121942307</t>
  </si>
  <si>
    <t>Thép cuộn cán nóng 2.67x121Y SAE1006</t>
  </si>
  <si>
    <t>1251121942291</t>
  </si>
  <si>
    <t>Thép cuộn cán nóng 6.80x103Y SS400 II</t>
  </si>
  <si>
    <t>6.80×1037×C</t>
  </si>
  <si>
    <t>1251121942178</t>
  </si>
  <si>
    <t>Thép cuộn cán nóng 6.80x103Y SS400</t>
  </si>
  <si>
    <t>1251121942161</t>
  </si>
  <si>
    <t>Thép cuộn cán nóng 2.00x121Y S235JR II</t>
  </si>
  <si>
    <t>2.00×1217×C</t>
  </si>
  <si>
    <t>1251121942154</t>
  </si>
  <si>
    <t>Thép cuộn cán nóng 2.00x121Y S235JR</t>
  </si>
  <si>
    <t>1251121942147</t>
  </si>
  <si>
    <t>Thép cuộn cán nóng 2.75x121Y S235JR II</t>
  </si>
  <si>
    <t>1251121942130</t>
  </si>
  <si>
    <t>Thép cuộn cán nóng 2.75x121Y S235JR</t>
  </si>
  <si>
    <t>1251121942123</t>
  </si>
  <si>
    <t>Thép cuộn cán nóng 1.80x121Y SAE1008 II</t>
  </si>
  <si>
    <t>1.80×1217×C</t>
  </si>
  <si>
    <t>1251121942116</t>
  </si>
  <si>
    <t>Thép cuộn cán nóng 1.80x121Y SAE1008</t>
  </si>
  <si>
    <t>1251121942109</t>
  </si>
  <si>
    <t>Thép cuộn cán nóng 3.85x152X S275JR II</t>
  </si>
  <si>
    <t>3.85×1522×C</t>
  </si>
  <si>
    <t>1251121942093</t>
  </si>
  <si>
    <t>Thép cuộn cán nóng 3.85x152X S275JR</t>
  </si>
  <si>
    <t>1251121942086</t>
  </si>
  <si>
    <t>Thép cuộn cán nóng 3.85x121Y S275JR II</t>
  </si>
  <si>
    <t>3.85×1217×C</t>
  </si>
  <si>
    <t>1251121942079</t>
  </si>
  <si>
    <t>Thép cuộn cán nóng 3.85x121Y S275JR</t>
  </si>
  <si>
    <t>1251121942062</t>
  </si>
  <si>
    <t>Thép cuộn cán nóng 8.40x144X S275JR II</t>
  </si>
  <si>
    <t>8.40×1442×C</t>
  </si>
  <si>
    <t>1251121942055</t>
  </si>
  <si>
    <t>Thép cuộn cán nóng 8.40x144X S275JR</t>
  </si>
  <si>
    <t>1251121942048</t>
  </si>
  <si>
    <t>Thép cuộn cán nóng 3.10x151Y S275JR II</t>
  </si>
  <si>
    <t>3.10×1517×C</t>
  </si>
  <si>
    <t>1251121942031</t>
  </si>
  <si>
    <t>Thép cuộn cán nóng 3.10x151Y S275JR</t>
  </si>
  <si>
    <t>1251121942024</t>
  </si>
  <si>
    <t>Thép cuộn cán nóng 2.40x151Y S275JR II</t>
  </si>
  <si>
    <t>2.40×1517×C</t>
  </si>
  <si>
    <t>1251121942017</t>
  </si>
  <si>
    <t>Thép cuộn cán nóng 2.40x151Y S275JR</t>
  </si>
  <si>
    <t>1251121942000</t>
  </si>
  <si>
    <t>Thép cuộn cán nóng 11.40x151Y S275JR II</t>
  </si>
  <si>
    <t>11.40×1517×C</t>
  </si>
  <si>
    <t>1251121941997</t>
  </si>
  <si>
    <t>Thép cuộn cán nóng 11.40x151Y S275JR</t>
  </si>
  <si>
    <t>1251121941980</t>
  </si>
  <si>
    <t>Thép cuộn cán nóng 9.50x151Y S275JR II</t>
  </si>
  <si>
    <t>9.50×1517×C</t>
  </si>
  <si>
    <t>1251121941973</t>
  </si>
  <si>
    <t>Thép cuộn cán nóng 9.50x151Y S275JR</t>
  </si>
  <si>
    <t>1251121941966</t>
  </si>
  <si>
    <t>Thép cuộn cán nóng 8.50x151Y S275JR II</t>
  </si>
  <si>
    <t>8.50×1517×C</t>
  </si>
  <si>
    <t>1251121941959</t>
  </si>
  <si>
    <t>Thép cuộn cán nóng 8.50x151Y S275JR</t>
  </si>
  <si>
    <t>1251121941942</t>
  </si>
  <si>
    <t>Thép cuộn cán nóng 7.50x151Y S275JR II</t>
  </si>
  <si>
    <t>7.50×1517×C</t>
  </si>
  <si>
    <t>1251121941935</t>
  </si>
  <si>
    <t>Thép cuộn cán nóng 7.50x151Y S275JR</t>
  </si>
  <si>
    <t>1251121941928</t>
  </si>
  <si>
    <t>Thép cuộn cán nóng 3.75x151Y S275JR II</t>
  </si>
  <si>
    <t>3.75×1517×C</t>
  </si>
  <si>
    <t>1251121941911</t>
  </si>
  <si>
    <t>Thép cuộn cán nóng 3.75x151Y S275JR</t>
  </si>
  <si>
    <t>1251121941904</t>
  </si>
  <si>
    <t>Thép cuộn cán nóng 2.65x151Y S275JR II</t>
  </si>
  <si>
    <t>2.65×1517×C</t>
  </si>
  <si>
    <t>1251121941898</t>
  </si>
  <si>
    <t>Thép cuộn cán nóng 2.65x151Y S275JR</t>
  </si>
  <si>
    <t>1251121941881</t>
  </si>
  <si>
    <t>Thép cuộn cán nóng 7.80x151X S275JR II</t>
  </si>
  <si>
    <t>7.80×1512×C</t>
  </si>
  <si>
    <t>1251121941874</t>
  </si>
  <si>
    <t>Thép cuộn cán nóng 7.80x151X S275JR</t>
  </si>
  <si>
    <t>1251121941867</t>
  </si>
  <si>
    <t>Thép cuộn cán nóng 5.80x151X S275JR II</t>
  </si>
  <si>
    <t>5.80×1512×C</t>
  </si>
  <si>
    <t>1251121941850</t>
  </si>
  <si>
    <t>Thép cuộn cán nóng 5.80x151X S275JR</t>
  </si>
  <si>
    <t>1251121941843</t>
  </si>
  <si>
    <t>Thép cuộn cán nóng 4.30x151X S275JR II</t>
  </si>
  <si>
    <t>4.30×1512×C</t>
  </si>
  <si>
    <t>1251121941836</t>
  </si>
  <si>
    <t>Thép cuộn cán nóng 4.30x151X S275JR</t>
  </si>
  <si>
    <t>1251121941829</t>
  </si>
  <si>
    <t>Thép cuộn cán nóng 4.30x121X S275JR II</t>
  </si>
  <si>
    <t>4.30×1212×C</t>
  </si>
  <si>
    <t>1251121941812</t>
  </si>
  <si>
    <t>Thép cuộn cán nóng 4.30x121X S275JR</t>
  </si>
  <si>
    <t>1251121941805</t>
  </si>
  <si>
    <t>Thép cuộn cán nóng 5.80x151Y S275JR II</t>
  </si>
  <si>
    <t>5.80×1517×C</t>
  </si>
  <si>
    <t>1251121941799</t>
  </si>
  <si>
    <t>Thép cuộn cán nóng 5.80x151Y S275JR</t>
  </si>
  <si>
    <t>1251121941782</t>
  </si>
  <si>
    <t>Thép cuộn cán nóng 3.00x120X SPHT1 II</t>
  </si>
  <si>
    <t>3.00×1202×C</t>
  </si>
  <si>
    <t>1251121941775</t>
  </si>
  <si>
    <t>Thép cuộn cán nóng 3.00x120X SPHT1</t>
  </si>
  <si>
    <t>1251121941768</t>
  </si>
  <si>
    <t>Thép cuộn cán nóng 2.50x120X SPHT1 II</t>
  </si>
  <si>
    <t>2.50×1202×C</t>
  </si>
  <si>
    <t>1251121941751</t>
  </si>
  <si>
    <t>Thép cuộn cán nóng 2.50x120X SPHT1</t>
  </si>
  <si>
    <t>1251121941744</t>
  </si>
  <si>
    <t>Thép cuộn cán nóng 9.50x152X S275JR II</t>
  </si>
  <si>
    <t>9.50×1522×C</t>
  </si>
  <si>
    <t>1251121941737</t>
  </si>
  <si>
    <t>Thép cuộn cán nóng 9.50x152X S275JR</t>
  </si>
  <si>
    <t>1251121941720</t>
  </si>
  <si>
    <t>Thép cuộn cán nóng 9.50x121X S275JR II</t>
  </si>
  <si>
    <t>9.50×1212×C</t>
  </si>
  <si>
    <t>1251121941713</t>
  </si>
  <si>
    <t>Thép cuộn cán nóng 9.50x121X S275JR</t>
  </si>
  <si>
    <t>1251121941706</t>
  </si>
  <si>
    <t>Thép cuộn cán nóng 8.40x152X S275JR II</t>
  </si>
  <si>
    <t>8.40×1522×C</t>
  </si>
  <si>
    <t>1251121941690</t>
  </si>
  <si>
    <t>Thép cuộn cán nóng 8.40x152X S275JR</t>
  </si>
  <si>
    <t>1251121941683</t>
  </si>
  <si>
    <t>Thép cuộn cán nóng 8.40x121X S275JR II</t>
  </si>
  <si>
    <t>8.40×1212×C</t>
  </si>
  <si>
    <t>1251121941676</t>
  </si>
  <si>
    <t>Thép cuộn cán nóng 8.40x121X S275JR</t>
  </si>
  <si>
    <t>1251121941669</t>
  </si>
  <si>
    <t>Thép cuộn cán nóng 7.50x152X S275JR II</t>
  </si>
  <si>
    <t>7.50×1522×C</t>
  </si>
  <si>
    <t>1251121941652</t>
  </si>
  <si>
    <t>Thép cuộn cán nóng 7.50x152X S275JR</t>
  </si>
  <si>
    <t>1251121941645</t>
  </si>
  <si>
    <t>Thép cuộn cán nóng 5.55x151Y S275JR II</t>
  </si>
  <si>
    <t>5.55×1517×C</t>
  </si>
  <si>
    <t>1251121941638</t>
  </si>
  <si>
    <t>Thép cuộn cán nóng 5.55x151Y S275JR</t>
  </si>
  <si>
    <t>1251121941621</t>
  </si>
  <si>
    <t>Thép cuộn cán nóng 5.40x152X S275JR II</t>
  </si>
  <si>
    <t>5.40×1522×C</t>
  </si>
  <si>
    <t>1251121941614</t>
  </si>
  <si>
    <t>Thép cuộn cán nóng 5.40x152X S275JR</t>
  </si>
  <si>
    <t>1251121941607</t>
  </si>
  <si>
    <t>Thép cuộn cán nóng 2.50x113X S275JR II</t>
  </si>
  <si>
    <t>2.50×1132×C</t>
  </si>
  <si>
    <t>1251121941591</t>
  </si>
  <si>
    <t>Thép cuộn cán nóng 2.50x113X S275JR</t>
  </si>
  <si>
    <t>1251121941584</t>
  </si>
  <si>
    <t>Thép cuộn cán nóng 3.00x121Y S275JR II</t>
  </si>
  <si>
    <t>3.00×1217×C</t>
  </si>
  <si>
    <t>1251121941577</t>
  </si>
  <si>
    <t>Thép cuộn cán nóng 3.00x121Y S275JR</t>
  </si>
  <si>
    <t>1251121941560</t>
  </si>
  <si>
    <t>Thép cuộn cán nóng 10.00x152X S275JR II</t>
  </si>
  <si>
    <t>10.00×1522×C</t>
  </si>
  <si>
    <t>1251121941553</t>
  </si>
  <si>
    <t>Thép cuộn cán nóng 10.00x152X S275JR</t>
  </si>
  <si>
    <t>1251121941546</t>
  </si>
  <si>
    <t>Thép cuộn cán nóng 3.20x121Y S235JR II</t>
  </si>
  <si>
    <t>3.20×1217×C</t>
  </si>
  <si>
    <t>1251121941539</t>
  </si>
  <si>
    <t>Thép cuộn cán nóng 3.20x121Y S235JR</t>
  </si>
  <si>
    <t>1251121941522</t>
  </si>
  <si>
    <t>Thép cuộn cán nóng 2.50x152X S275JR II</t>
  </si>
  <si>
    <t>2.50×1522×C</t>
  </si>
  <si>
    <t>1251121941515</t>
  </si>
  <si>
    <t>Thép cuộn cán nóng 2.50x152X S275JR</t>
  </si>
  <si>
    <t>1251121941508</t>
  </si>
  <si>
    <t>Thép cuộn cán nóng 2.83x121Y S275JR II</t>
  </si>
  <si>
    <t>2.83×1217×C</t>
  </si>
  <si>
    <t>1251121941492</t>
  </si>
  <si>
    <t>Thép cuộn cán nóng 2.83x121Y S275JR</t>
  </si>
  <si>
    <t>1251121941485</t>
  </si>
  <si>
    <t>Thép cuộn cán nóng 9.60x151Y S275JR II</t>
  </si>
  <si>
    <t>9.60×1517×C</t>
  </si>
  <si>
    <t>1251121941478</t>
  </si>
  <si>
    <t>Thép cuộn cán nóng 9.60x151Y S275JR</t>
  </si>
  <si>
    <t>1251121941461</t>
  </si>
  <si>
    <t>Thép cuộn cán nóng 3.85x151Y S275JR II</t>
  </si>
  <si>
    <t>3.85×1517×C</t>
  </si>
  <si>
    <t>1251121941454</t>
  </si>
  <si>
    <t>Thép cuộn cán nóng 3.85x151Y S275JR</t>
  </si>
  <si>
    <t>1251121941447</t>
  </si>
  <si>
    <t>Thép cuộn cán nóng 3.85x121X S275JR II</t>
  </si>
  <si>
    <t>3.85×1212×C</t>
  </si>
  <si>
    <t>1251121941430</t>
  </si>
  <si>
    <t>Thép cuộn cán nóng 3.85x121X S275JR</t>
  </si>
  <si>
    <t>1251121941423</t>
  </si>
  <si>
    <t>Thép cuộn cán nóng 2.68x152X S275JR II</t>
  </si>
  <si>
    <t>2.68×1522×C</t>
  </si>
  <si>
    <t>1251121941416</t>
  </si>
  <si>
    <t>Thép cuộn cán nóng 2.68x152X S275JR</t>
  </si>
  <si>
    <t>1251121941409</t>
  </si>
  <si>
    <t>Thép cuộn cán nóng 2.68x121Y S275JR II</t>
  </si>
  <si>
    <t>2.68×1217×C</t>
  </si>
  <si>
    <t>1251121941393</t>
  </si>
  <si>
    <t>Thép cuộn cán nóng 2.68x121Y S275JR</t>
  </si>
  <si>
    <t>1251121941386</t>
  </si>
  <si>
    <t>Thép cuộn cán nóng 5.80x133Y S275JR II</t>
  </si>
  <si>
    <t>5.80×1337×C</t>
  </si>
  <si>
    <t>1251121941379</t>
  </si>
  <si>
    <t>Thép cuộn cán nóng 5.80x133Y S275JR</t>
  </si>
  <si>
    <t>1251121941362</t>
  </si>
  <si>
    <t>Thép cuộn cán nóng 4.80x133Y S275JR II</t>
  </si>
  <si>
    <t>4.80×1337×C</t>
  </si>
  <si>
    <t>1251121941355</t>
  </si>
  <si>
    <t>Thép cuộn cán nóng 4.80x133Y S275JR</t>
  </si>
  <si>
    <t>1251121941348</t>
  </si>
  <si>
    <t>Thép cuộn cán nóng 5.10x151Y S275JR II</t>
  </si>
  <si>
    <t>5.10×1517×C</t>
  </si>
  <si>
    <t>1251121941331</t>
  </si>
  <si>
    <t>Thép cuộn cán nóng 5.10x151Y S275JR</t>
  </si>
  <si>
    <t>1251121941324</t>
  </si>
  <si>
    <t>Thép cuộn cán nóng 9.60x151X S275JR II</t>
  </si>
  <si>
    <t>9.60×1512×C</t>
  </si>
  <si>
    <t>1251121941317</t>
  </si>
  <si>
    <t>Thép cuộn cán nóng 9.60x151X S275JR</t>
  </si>
  <si>
    <t>1251121941300</t>
  </si>
  <si>
    <t>Thép cuộn cán nóng 5.50x144X S275JR II</t>
  </si>
  <si>
    <t>5.50×1442×C</t>
  </si>
  <si>
    <t>1251121941294</t>
  </si>
  <si>
    <t>Thép cuộn cán nóng 5.50x144X S275JR</t>
  </si>
  <si>
    <t>1251121941287</t>
  </si>
  <si>
    <t>Thép cuộn cán nóng 2.70x144X S275JR II</t>
  </si>
  <si>
    <t>2.70×1442×C</t>
  </si>
  <si>
    <t>1251121941270</t>
  </si>
  <si>
    <t>Thép cuộn cán nóng 2.70x144X S275JR</t>
  </si>
  <si>
    <t>1251121941263</t>
  </si>
  <si>
    <t>Thép cuộn cán nóng 2.70x142Y S275JR II</t>
  </si>
  <si>
    <t>2.70×1427×C</t>
  </si>
  <si>
    <t>1251121941256</t>
  </si>
  <si>
    <t>Thép cuộn cán nóng 2.70x142Y S275JR</t>
  </si>
  <si>
    <t>1251121941249</t>
  </si>
  <si>
    <t>Thép cuộn cán nóng 2.08x133Y S275JR II</t>
  </si>
  <si>
    <t>2.08×1337×C</t>
  </si>
  <si>
    <t>1251121941232</t>
  </si>
  <si>
    <t>Thép cuộn cán nóng 2.08x133Y S275JR</t>
  </si>
  <si>
    <t>1251121941225</t>
  </si>
  <si>
    <t>Thép cuộn cán nóng 3.00x129Y S275JR II</t>
  </si>
  <si>
    <t>3.00×1297×C</t>
  </si>
  <si>
    <t>1251121941218</t>
  </si>
  <si>
    <t>Thép cuộn cán nóng 3.00x129Y S275JR</t>
  </si>
  <si>
    <t>1251121941201</t>
  </si>
  <si>
    <t>Thép cuộn cán nóng 4.00x152X S275JR II</t>
  </si>
  <si>
    <t>4.00×1522×C</t>
  </si>
  <si>
    <t>1251121941195</t>
  </si>
  <si>
    <t>Thép cuộn cán nóng 4.00x152X S275JR</t>
  </si>
  <si>
    <t>1251121941188</t>
  </si>
  <si>
    <t>Thép cuộn cán nóng 3.00x152X S275JR II</t>
  </si>
  <si>
    <t>3.00×1522×C</t>
  </si>
  <si>
    <t>1251121941171</t>
  </si>
  <si>
    <t>Thép cuộn cán nóng 3.00x152X S275JR</t>
  </si>
  <si>
    <t>1251121941164</t>
  </si>
  <si>
    <t>Thép cuộn cán nóng 5.65x151Y S275JR II</t>
  </si>
  <si>
    <t>5.65×1517×C</t>
  </si>
  <si>
    <t>1251121941157</t>
  </si>
  <si>
    <t>Thép cuộn cán nóng 5.65x151Y S275JR</t>
  </si>
  <si>
    <t>1251121941140</t>
  </si>
  <si>
    <t>Thép cuộn cán nóng 4.20x151Y S275JR II</t>
  </si>
  <si>
    <t>4.20×1517×C</t>
  </si>
  <si>
    <t>1251121941133</t>
  </si>
  <si>
    <t>Thép cuộn cán nóng 4.20x151Y S275JR</t>
  </si>
  <si>
    <t>1251121941126</t>
  </si>
  <si>
    <t>Thép cuộn cán nóng 2.75x151Y S275JR II</t>
  </si>
  <si>
    <t>2.75×1517×C</t>
  </si>
  <si>
    <t>1251121941119</t>
  </si>
  <si>
    <t>Thép cuộn cán nóng 2.75x151Y S275JR</t>
  </si>
  <si>
    <t>1251121941102</t>
  </si>
  <si>
    <t>Thép cuộn cán nóng 2.50x151Y S275JR II</t>
  </si>
  <si>
    <t>2.50×1517×C</t>
  </si>
  <si>
    <t>1251121941096</t>
  </si>
  <si>
    <t>Thép cuộn cán nóng 2.50x151Y S275JR</t>
  </si>
  <si>
    <t>1251121941089</t>
  </si>
  <si>
    <t>Thép cuộn cán nóng 11.75x121X S275JR II</t>
  </si>
  <si>
    <t>11.75×1212×C</t>
  </si>
  <si>
    <t>1251121941072</t>
  </si>
  <si>
    <t>Thép cuộn cán nóng 11.75x121X S275JR</t>
  </si>
  <si>
    <t>1251121941065</t>
  </si>
  <si>
    <t>Thép cuộn cán nóng 9.60x121X S275JR II</t>
  </si>
  <si>
    <t>9.60×1212×C</t>
  </si>
  <si>
    <t>1251121941058</t>
  </si>
  <si>
    <t>Thép cuộn cán nóng 9.60x121X S275JR</t>
  </si>
  <si>
    <t>1251121941041</t>
  </si>
  <si>
    <t>Thép cuộn cán nóng 8.80x121X S275JR II</t>
  </si>
  <si>
    <t>8.80×1212×C</t>
  </si>
  <si>
    <t>1251121941034</t>
  </si>
  <si>
    <t>Thép cuộn cán nóng 8.80x121X S275JR</t>
  </si>
  <si>
    <t>1251121941027</t>
  </si>
  <si>
    <t>Thép cuộn cán nóng 7.60x121X S275JR II</t>
  </si>
  <si>
    <t>7.60×1212×C</t>
  </si>
  <si>
    <t>1251121941010</t>
  </si>
  <si>
    <t>Thép cuộn cán nóng 7.60x121X S275JR</t>
  </si>
  <si>
    <t>1251121941003</t>
  </si>
  <si>
    <t>Thép cuộn cán nóng 6.90x121X S275JR II</t>
  </si>
  <si>
    <t>6.90×1212×C</t>
  </si>
  <si>
    <t>1251121940990</t>
  </si>
  <si>
    <t>Thép cuộn cán nóng 6.90x121X S275JR</t>
  </si>
  <si>
    <t>1251121940983</t>
  </si>
  <si>
    <t>Thép cuộn cán nóng 2.95x121X S275JR II</t>
  </si>
  <si>
    <t>2.95×1212×C</t>
  </si>
  <si>
    <t>1251121940976</t>
  </si>
  <si>
    <t>Thép cuộn cán nóng 2.95x121X S275JR</t>
  </si>
  <si>
    <t>1251121940969</t>
  </si>
  <si>
    <t>Thép cuộn cán nóng 2.85x121X S275JR II</t>
  </si>
  <si>
    <t>2.85×1212×C</t>
  </si>
  <si>
    <t>1251121940952</t>
  </si>
  <si>
    <t>Thép cuộn cán nóng 2.85x121X S275JR</t>
  </si>
  <si>
    <t>1251121940945</t>
  </si>
  <si>
    <t>Thép cuộn cán nóng 2.00x121X S275JR II</t>
  </si>
  <si>
    <t>2.00×1212×C</t>
  </si>
  <si>
    <t>1251121940938</t>
  </si>
  <si>
    <t>Thép cuộn cán nóng 2.00x121X S275JR</t>
  </si>
  <si>
    <t>1251121940921</t>
  </si>
  <si>
    <t>Thép cuộn cán nóng 2.82x121Y ASTM A36 II</t>
  </si>
  <si>
    <t>2.82×1217×C</t>
  </si>
  <si>
    <t>1251121940914</t>
  </si>
  <si>
    <t>Thép cuộn cán nóng 2.82x121Y ASTM A36</t>
  </si>
  <si>
    <t>1251121940907</t>
  </si>
  <si>
    <t>Thép cuộn cán nóng 1.75x121Y SPHC II</t>
  </si>
  <si>
    <t>1.75×1217×C</t>
  </si>
  <si>
    <t>1251121940891</t>
  </si>
  <si>
    <t>Thép cuộn cán nóng 1.75x121Y SPHC</t>
  </si>
  <si>
    <t>1251121940884</t>
  </si>
  <si>
    <t>Thép cuộn cán nóng 3.00x126X SPHC II</t>
  </si>
  <si>
    <t>1251121940877</t>
  </si>
  <si>
    <t>Thép cuộn cán nóng 3.00x126X SPHC</t>
  </si>
  <si>
    <t>1251121940860</t>
  </si>
  <si>
    <t>Thép cuộn cán nóng 2.87x126X SPHC II</t>
  </si>
  <si>
    <t>2.87×1262×C</t>
  </si>
  <si>
    <t>1251121940853</t>
  </si>
  <si>
    <t>Thép cuộn cán nóng 2.87x126X SPHC</t>
  </si>
  <si>
    <t>1251121940846</t>
  </si>
  <si>
    <t>Thép cuộn cán nóng 2.40x126X SPHC II</t>
  </si>
  <si>
    <t>2.40×1262×C</t>
  </si>
  <si>
    <t>1251121940839</t>
  </si>
  <si>
    <t>Thép cuộn cán nóng 2.40x126X SPHC</t>
  </si>
  <si>
    <t>1251121940822</t>
  </si>
  <si>
    <t>Thép cuộn cán nóng 2.30x126X SPHC II</t>
  </si>
  <si>
    <t>2.30×1262×C</t>
  </si>
  <si>
    <t>1251121940815</t>
  </si>
  <si>
    <t>Thép cuộn cán nóng 2.30x126X SPHC</t>
  </si>
  <si>
    <t>1251121940808</t>
  </si>
  <si>
    <t>Thép cuộn cán nóng 2.10x126X SPHC II</t>
  </si>
  <si>
    <t>2.10×1262×C</t>
  </si>
  <si>
    <t>1251121940792</t>
  </si>
  <si>
    <t>Thép cuộn cán nóng 2.10x126X SPHC</t>
  </si>
  <si>
    <t>1251121940785</t>
  </si>
  <si>
    <t>Thép cuộn cán nóng 2.30x125X SPHC II</t>
  </si>
  <si>
    <t>2.30×1252×C</t>
  </si>
  <si>
    <t>1251121940778</t>
  </si>
  <si>
    <t>Thép cuộn cán nóng 2.30x125X SPHC</t>
  </si>
  <si>
    <t>1251121940761</t>
  </si>
  <si>
    <t>Thép cuộn cán nóng 2.80x152X SPHC II</t>
  </si>
  <si>
    <t>2.80×1522×C</t>
  </si>
  <si>
    <t>1251121940754</t>
  </si>
  <si>
    <t>Thép cuộn cán nóng 2.80x152X SPHC</t>
  </si>
  <si>
    <t>1251121940747</t>
  </si>
  <si>
    <t>Thép cuộn cán nóng 4.40x121Y SPHC II</t>
  </si>
  <si>
    <t>4.40×1217×C</t>
  </si>
  <si>
    <t>1251121940730</t>
  </si>
  <si>
    <t>Thép cuộn cán nóng 4.40x121Y SPHC</t>
  </si>
  <si>
    <t>1251121940723</t>
  </si>
  <si>
    <t>Thép cuộn cán nóng 2.00x126X SPHC II</t>
  </si>
  <si>
    <t>1251121940716</t>
  </si>
  <si>
    <t>Thép cuộn cán nóng 2.00x126X SPHC</t>
  </si>
  <si>
    <t>1251121940709</t>
  </si>
  <si>
    <t>Thép cuộn cán nóng 2.35x121Y SPHC II</t>
  </si>
  <si>
    <t>1251121940693</t>
  </si>
  <si>
    <t>Thép cuộn cán nóng 2.35x121Y SPHC</t>
  </si>
  <si>
    <t>1251121940686</t>
  </si>
  <si>
    <t>Thép cuộn cán nóng 1.97x121Y SPHC II</t>
  </si>
  <si>
    <t>1.97×1217×C</t>
  </si>
  <si>
    <t>1251121940679</t>
  </si>
  <si>
    <t>Thép cuộn cán nóng 1.97x121Y SPHC</t>
  </si>
  <si>
    <t>1251121940662</t>
  </si>
  <si>
    <t>Thép cuộn cán nóng 2.45x108X S235JR II</t>
  </si>
  <si>
    <t>2.45×1082×C</t>
  </si>
  <si>
    <t>1251121940655</t>
  </si>
  <si>
    <t>Thép cuộn cán nóng 2.45x108X S235JR</t>
  </si>
  <si>
    <t>1251121940648</t>
  </si>
  <si>
    <t>Thép cuộn cán nóng 2.90x125X S235JR II</t>
  </si>
  <si>
    <t>2.90×1252×C</t>
  </si>
  <si>
    <t>1251121940631</t>
  </si>
  <si>
    <t>Thép cuộn cán nóng 2.90x125X S235JR</t>
  </si>
  <si>
    <t>1251121940624</t>
  </si>
  <si>
    <t>Thép cuộn cán nóng 2.80x125X S235JR II</t>
  </si>
  <si>
    <t>2.80×1252×C</t>
  </si>
  <si>
    <t>1251121940617</t>
  </si>
  <si>
    <t>Thép cuộn cán nóng 2.80x125X S235JR</t>
  </si>
  <si>
    <t>1251121940600</t>
  </si>
  <si>
    <t>Thép cuộn cán nóng 2.30x125X S235JR II</t>
  </si>
  <si>
    <t>1251121940594</t>
  </si>
  <si>
    <t>Thép cuộn cán nóng 2.30x125X S235JR</t>
  </si>
  <si>
    <t>1251121940587</t>
  </si>
  <si>
    <t>Thép cuộn cán nóng 1.83x125X S235JR II</t>
  </si>
  <si>
    <t>1.83×1252×C</t>
  </si>
  <si>
    <t>1251121940570</t>
  </si>
  <si>
    <t>Thép cuộn cán nóng 1.83x125X S235JR</t>
  </si>
  <si>
    <t>1251121940563</t>
  </si>
  <si>
    <t>Thép cuộn cán nóng 2.25x108X S235JR II</t>
  </si>
  <si>
    <t>2.25×1082×C</t>
  </si>
  <si>
    <t>1251121940556</t>
  </si>
  <si>
    <t>Thép cuộn cán nóng 2.25x108X S235JR</t>
  </si>
  <si>
    <t>1251121940549</t>
  </si>
  <si>
    <t>Thép cuộn cán nóng 1.97x108X S235JR II</t>
  </si>
  <si>
    <t>1.97×1082×C</t>
  </si>
  <si>
    <t>1251121940532</t>
  </si>
  <si>
    <t>Thép cuộn cán nóng 1.97x108X S235JR</t>
  </si>
  <si>
    <t>1251121940525</t>
  </si>
  <si>
    <t>Thép cuộn cán nóng 1.80x108X S235JR II</t>
  </si>
  <si>
    <t>1.80×1082×C</t>
  </si>
  <si>
    <t>1251121940518</t>
  </si>
  <si>
    <t>Thép cuộn cán nóng 1.80x108X S235JR</t>
  </si>
  <si>
    <t>1251121940501</t>
  </si>
  <si>
    <t>Thép cuộn cán nóng 2.50x121Y SAE1008 II</t>
  </si>
  <si>
    <t>2.50×1217×C</t>
  </si>
  <si>
    <t>1251121940495</t>
  </si>
  <si>
    <t>Thép cuộn cán nóng 2.50x121Y SAE1008</t>
  </si>
  <si>
    <t>1251121940488</t>
  </si>
  <si>
    <t>Thép cuộn cán nóng 3.35x121Y SAE1008 II</t>
  </si>
  <si>
    <t>3.35×1217×C</t>
  </si>
  <si>
    <t>1251121940471</t>
  </si>
  <si>
    <t>Thép cuộn cán nóng 3.35x121Y SAE1008</t>
  </si>
  <si>
    <t>1251121940464</t>
  </si>
  <si>
    <t>Thép cuộn cán nóng 2.28x123Y SAE1006 II</t>
  </si>
  <si>
    <t>2.28×1237×C</t>
  </si>
  <si>
    <t>1251121940457</t>
  </si>
  <si>
    <t>Thép cuộn cán nóng 2.28x123Y SAE1006</t>
  </si>
  <si>
    <t>1251121940440</t>
  </si>
  <si>
    <t>Thép cuộn cán nóng 2.06x123Y SAE1006 II</t>
  </si>
  <si>
    <t>2.06×1237×C</t>
  </si>
  <si>
    <t>1251121940433</t>
  </si>
  <si>
    <t>Thép cuộn cán nóng 2.06x123Y SAE1006</t>
  </si>
  <si>
    <t>1251121940426</t>
  </si>
  <si>
    <t>Thép cuộn cán nóng 1.83x123Y SAE1006 II</t>
  </si>
  <si>
    <t>1.83×1237×C</t>
  </si>
  <si>
    <t>1251121940419</t>
  </si>
  <si>
    <t>Thép cuộn cán nóng 1.83x123Y SAE1006</t>
  </si>
  <si>
    <t>1251121940402</t>
  </si>
  <si>
    <t>Thép cuộn cán nóng 3.80x123Y SAE1006 II</t>
  </si>
  <si>
    <t>3.80×1237×C</t>
  </si>
  <si>
    <t>1251121940396</t>
  </si>
  <si>
    <t>Thép cuộn cán nóng 3.80x123Y SAE1006</t>
  </si>
  <si>
    <t>1251121940389</t>
  </si>
  <si>
    <t>Thép cuộn cán nóng 2.60x124Y SAE1006 II</t>
  </si>
  <si>
    <t>2.60×1247×C</t>
  </si>
  <si>
    <t>1251121940372</t>
  </si>
  <si>
    <t>Thép cuộn cán nóng 2.60x124Y SAE1006</t>
  </si>
  <si>
    <t>1251121940365</t>
  </si>
  <si>
    <t>Thép cuộn cán nóng 2.35x108Y SAE1006 II</t>
  </si>
  <si>
    <t>2.35×1087×C</t>
  </si>
  <si>
    <t>1251121940358</t>
  </si>
  <si>
    <t>Thép cuộn cán nóng 2.35x108Y SAE1006</t>
  </si>
  <si>
    <t>1251121940341</t>
  </si>
  <si>
    <t>Thép cuộn cán nóng 2.45x110Y SAE1006 II</t>
  </si>
  <si>
    <t>2.45×1107×C</t>
  </si>
  <si>
    <t>1251121940334</t>
  </si>
  <si>
    <t>Thép cuộn cán nóng 2.45x110Y SAE1006</t>
  </si>
  <si>
    <t>1251121940327</t>
  </si>
  <si>
    <t>Thép cuộn cán nóng 2.70x125X SAE1006 II</t>
  </si>
  <si>
    <t>2.70×1252×C</t>
  </si>
  <si>
    <t>1251121940310</t>
  </si>
  <si>
    <t>Thép cuộn cán nóng 2.70x125X SAE1006</t>
  </si>
  <si>
    <t>1251121940303</t>
  </si>
  <si>
    <t>Thép cuộn cán nóng 2.50x116X SAE1006 II</t>
  </si>
  <si>
    <t>2.50×1162×C</t>
  </si>
  <si>
    <t>1251121940297</t>
  </si>
  <si>
    <t>Thép cuộn cán nóng 2.50x116X SAE1006</t>
  </si>
  <si>
    <t>1251121940280</t>
  </si>
  <si>
    <t>Thép cuộn cán nóng 2.00x116X SAE1006 II</t>
  </si>
  <si>
    <t>2.00×1162×C</t>
  </si>
  <si>
    <t>1251121940273</t>
  </si>
  <si>
    <t>Thép cuộn cán nóng 2.00x116X SAE1006</t>
  </si>
  <si>
    <t>1251121940266</t>
  </si>
  <si>
    <t>Thép cuộn cán nóng 2.80x111Y SAE1006 II</t>
  </si>
  <si>
    <t>2.80×1117×C</t>
  </si>
  <si>
    <t>1251121940259</t>
  </si>
  <si>
    <t>Thép cuộn cán nóng 2.80x111Y SAE1006</t>
  </si>
  <si>
    <t>1251121940242</t>
  </si>
  <si>
    <t>Thép cuộn cán nóng 2.45x100X SAE1006 II</t>
  </si>
  <si>
    <t>2.45×1002×C</t>
  </si>
  <si>
    <t>1251121940235</t>
  </si>
  <si>
    <t>Thép cuộn cán nóng 2.45x100X SAE1006</t>
  </si>
  <si>
    <t>1251121940228</t>
  </si>
  <si>
    <t>Thép cuộn cán nóng 2.25x100X SAE1006 II</t>
  </si>
  <si>
    <t>2.25×1002×C</t>
  </si>
  <si>
    <t>1251121940211</t>
  </si>
  <si>
    <t>Thép cuộn cán nóng 2.25x100X SAE1006</t>
  </si>
  <si>
    <t>1251121940204</t>
  </si>
  <si>
    <t>Thép cuộn cán nóng 3.10x125X SS400 II</t>
  </si>
  <si>
    <t>3.10×1252×C</t>
  </si>
  <si>
    <t>1251121940198</t>
  </si>
  <si>
    <t>Thép cuộn cán nóng 3.10x125X SS400</t>
  </si>
  <si>
    <t>1251121940181</t>
  </si>
  <si>
    <t>Thép cuộn cán nóng 2.70x125X S235JR II</t>
  </si>
  <si>
    <t>1251121940167</t>
  </si>
  <si>
    <t>Thép cuộn cán nóng 2.70x125X S235JR</t>
  </si>
  <si>
    <t>1251121940150</t>
  </si>
  <si>
    <t>Thép cuộn cán nóng 3.60x125X S235JR II</t>
  </si>
  <si>
    <t>3.60×1252×C</t>
  </si>
  <si>
    <t>1251121940143</t>
  </si>
  <si>
    <t>Thép cuộn cán nóng 3.60x125X S235JR</t>
  </si>
  <si>
    <t>1251121940136</t>
  </si>
  <si>
    <t>Thép cuộn cán nóng 3.00x134Y S275JR II</t>
  </si>
  <si>
    <t>3.00×1347×C</t>
  </si>
  <si>
    <t>1251121940129</t>
  </si>
  <si>
    <t>Thép cuộn cán nóng 3.00x134Y S275JR</t>
  </si>
  <si>
    <t>1251121940112</t>
  </si>
  <si>
    <t>Thép cuộn cán nóng 5.90x121Y S275JR II</t>
  </si>
  <si>
    <t>5.90×1217×C</t>
  </si>
  <si>
    <t>1251121939987</t>
  </si>
  <si>
    <t>Thép cuộn cán nóng 5.90x121Y S275JR</t>
  </si>
  <si>
    <t>1251121939970</t>
  </si>
  <si>
    <t>Thép cuộn cán nóng 7.35x152X S275JR II</t>
  </si>
  <si>
    <t>7.35×1522×C</t>
  </si>
  <si>
    <t>1251121939963</t>
  </si>
  <si>
    <t>Thép cuộn cán nóng 7.35x152X S275JR</t>
  </si>
  <si>
    <t>1251121939956</t>
  </si>
  <si>
    <t>Thép cuộn cán nóng 8.50x141Y S275JR II</t>
  </si>
  <si>
    <t>8.50×1417×C</t>
  </si>
  <si>
    <t>1251121939949</t>
  </si>
  <si>
    <t>Thép cuộn cán nóng 8.50x141Y S275JR</t>
  </si>
  <si>
    <t>1251121939932</t>
  </si>
  <si>
    <t>Thép cuộn cán nóng 4.50x121Y S275JR II</t>
  </si>
  <si>
    <t>4.50×1217×C</t>
  </si>
  <si>
    <t>1251121939925</t>
  </si>
  <si>
    <t>Thép cuộn cán nóng 4.50x121Y S275JR</t>
  </si>
  <si>
    <t>1251121939918</t>
  </si>
  <si>
    <t>Thép cuộn cán nóng 3.90x150X S275JR II</t>
  </si>
  <si>
    <t>1251121939901</t>
  </si>
  <si>
    <t>Thép cuộn cán nóng 3.90x150X S275JR</t>
  </si>
  <si>
    <t>1251121939895</t>
  </si>
  <si>
    <t>Thép cuộn cán nóng 2.90x125X S275JR II</t>
  </si>
  <si>
    <t>1251121939888</t>
  </si>
  <si>
    <t>Thép cuộn cán nóng 2.90x125X S275JR</t>
  </si>
  <si>
    <t>1251121939871</t>
  </si>
  <si>
    <t>Thép cuộn cán nóng 2.50x126X SS400 II</t>
  </si>
  <si>
    <t>1251121939864</t>
  </si>
  <si>
    <t>Thép cuộn cán nóng 2.50x126X SS400</t>
  </si>
  <si>
    <t>1251121939857</t>
  </si>
  <si>
    <t>Thép cuộn cán nóng 2.58x126X SS400 II</t>
  </si>
  <si>
    <t>2.58×1262×C</t>
  </si>
  <si>
    <t>1251121939840</t>
  </si>
  <si>
    <t>Thép cuộn cán nóng 2.58x126X SS400</t>
  </si>
  <si>
    <t>1251121939833</t>
  </si>
  <si>
    <t>Thép cuộn cán nóng 3.00x126X SS400 II</t>
  </si>
  <si>
    <t>1251121939826</t>
  </si>
  <si>
    <t>Thép cuộn cán nóng 3.00x126X SS400</t>
  </si>
  <si>
    <t>1251121939819</t>
  </si>
  <si>
    <t>Thép cuộn cán nóng 4.00x126X SS400 II</t>
  </si>
  <si>
    <t>1251121939802</t>
  </si>
  <si>
    <t>Thép cuộn cán nóng 4.00x126X SS400</t>
  </si>
  <si>
    <t>1251121939796</t>
  </si>
  <si>
    <t>Thép cuộn cán nóng 4.30x126X SS400 II</t>
  </si>
  <si>
    <t>4.30×1262×C</t>
  </si>
  <si>
    <t>1251121939789</t>
  </si>
  <si>
    <t>Thép cuộn cán nóng 4.30x126X SS400</t>
  </si>
  <si>
    <t>1251121939772</t>
  </si>
  <si>
    <t>Thép cuộn cán nóng 3.11x131Y SS400 II</t>
  </si>
  <si>
    <t>3.11×1317×C</t>
  </si>
  <si>
    <t>1251121939765</t>
  </si>
  <si>
    <t>Thép cuộn cán nóng 3.11x131Y SS400</t>
  </si>
  <si>
    <t>1251121939758</t>
  </si>
  <si>
    <t>Thép cuộn cán nóng 3.22x131Y SS400 II</t>
  </si>
  <si>
    <t>3.22×1317×C</t>
  </si>
  <si>
    <t>1251121939741</t>
  </si>
  <si>
    <t>Thép cuộn cán nóng 3.22x131Y SS400</t>
  </si>
  <si>
    <t>1251121939734</t>
  </si>
  <si>
    <t>Thép cuộn cán nóng 3.35x131Y SS400 II</t>
  </si>
  <si>
    <t>3.35×1317×C</t>
  </si>
  <si>
    <t>1251121939727</t>
  </si>
  <si>
    <t>Thép cuộn cán nóng 3.35x131Y SS400</t>
  </si>
  <si>
    <t>1251121939710</t>
  </si>
  <si>
    <t>Thép cuộn cán nóng 2.87x134Y SS400 II</t>
  </si>
  <si>
    <t>2.87×1347×C</t>
  </si>
  <si>
    <t>1251121939703</t>
  </si>
  <si>
    <t>Thép cuộn cán nóng 2.87x134Y SS400</t>
  </si>
  <si>
    <t>1251121939697</t>
  </si>
  <si>
    <t>Thép cuộn cán nóng 1.50x121Y SPHC II</t>
  </si>
  <si>
    <t>1.50×1217×C</t>
  </si>
  <si>
    <t>1251121939680</t>
  </si>
  <si>
    <t>Thép cuộn cán nóng 1.50x121Y SPHC</t>
  </si>
  <si>
    <t>1251121939673</t>
  </si>
  <si>
    <t>Thép cuộn cán nóng 2.50x126Y SPHC II</t>
  </si>
  <si>
    <t>2.50×1267×C</t>
  </si>
  <si>
    <t>1251121939666</t>
  </si>
  <si>
    <t>Thép cuộn cán nóng 2.50x126Y SPHC</t>
  </si>
  <si>
    <t>1251121939659</t>
  </si>
  <si>
    <t>Thép cuộn cán nóng 2.60x126Y SPHC II</t>
  </si>
  <si>
    <t>2.60×1267×C</t>
  </si>
  <si>
    <t>1251121939642</t>
  </si>
  <si>
    <t>Thép cuộn cán nóng 2.60x126Y SPHC</t>
  </si>
  <si>
    <t>1251121939635</t>
  </si>
  <si>
    <t>Thép cuộn cán nóng 2.00x93X SAE1006 II</t>
  </si>
  <si>
    <t>2.00×932×C</t>
  </si>
  <si>
    <t>1251121939628</t>
  </si>
  <si>
    <t>Thép cuộn cán nóng 2.00x93X SAE1006</t>
  </si>
  <si>
    <t>1251121939611</t>
  </si>
  <si>
    <t>Thép cuộn cán nóng 2.25x93X SAE1006 II</t>
  </si>
  <si>
    <t>2.25×932×C</t>
  </si>
  <si>
    <t>1251121939604</t>
  </si>
  <si>
    <t>Thép cuộn cán nóng 2.25x93X SAE1006</t>
  </si>
  <si>
    <t>1251121939598</t>
  </si>
  <si>
    <t>Thép cuộn cán nóng 2.50x93X SAE1006 II</t>
  </si>
  <si>
    <t>2.50×932×C</t>
  </si>
  <si>
    <t>1251121939581</t>
  </si>
  <si>
    <t>Thép cuộn cán nóng 2.50x93X SAE1006</t>
  </si>
  <si>
    <t>1251121939574</t>
  </si>
  <si>
    <t>Thép cuộn cán nóng 2.80x93X SAE1006 II</t>
  </si>
  <si>
    <t>2.80×932×C</t>
  </si>
  <si>
    <t>1251121939567</t>
  </si>
  <si>
    <t>Thép cuộn cán nóng 2.80x93X SAE1006</t>
  </si>
  <si>
    <t>1251121939550</t>
  </si>
  <si>
    <t>Thép cuộn cán nóng 5.00x123X SAE1006 II</t>
  </si>
  <si>
    <t>5.00×1232×C</t>
  </si>
  <si>
    <t>1251121939543</t>
  </si>
  <si>
    <t>Thép cuộn cán nóng 5.00x123X SAE1006</t>
  </si>
  <si>
    <t>1251121939536</t>
  </si>
  <si>
    <t>Thép cuộn cán nóng 3.00x122X SAE1006 II</t>
  </si>
  <si>
    <t>3.00×1222×C</t>
  </si>
  <si>
    <t>1251121939529</t>
  </si>
  <si>
    <t>Thép cuộn cán nóng 3.00x122X SAE1006</t>
  </si>
  <si>
    <t>1251121939512</t>
  </si>
  <si>
    <t>Thép cuộn cán nóng 2.29x123X SAE1006 II</t>
  </si>
  <si>
    <t>2.29×1232×C</t>
  </si>
  <si>
    <t>1251121939505</t>
  </si>
  <si>
    <t>Thép cuộn cán nóng 2.29x123X SAE1006</t>
  </si>
  <si>
    <t>1251121939499</t>
  </si>
  <si>
    <t>Thép cuộn cán nóng 2.30x101Y SAE1006 II</t>
  </si>
  <si>
    <t>2.30×1017×C</t>
  </si>
  <si>
    <t>1251121939482</t>
  </si>
  <si>
    <t>Thép cuộn cán nóng 2.30x101Y SAE1006</t>
  </si>
  <si>
    <t>1251121939475</t>
  </si>
  <si>
    <t>Thép cuộn cán nóng 1.60x121Y SAE1006 II</t>
  </si>
  <si>
    <t>1.60×1217×C</t>
  </si>
  <si>
    <t>1251121939468</t>
  </si>
  <si>
    <t>Thép cuộn cán nóng 1.60x121Y SAE1006</t>
  </si>
  <si>
    <t>1251121939451</t>
  </si>
  <si>
    <t>Thép cuộn cán nóng 1.70x125X SAE1006 II</t>
  </si>
  <si>
    <t>1.70×1252×C</t>
  </si>
  <si>
    <t>1251121939376</t>
  </si>
  <si>
    <t>Thép cuộn cán nóng 1.70x125X SAE1006</t>
  </si>
  <si>
    <t>1251121939369</t>
  </si>
  <si>
    <t>Thép cuộn cán nóng 3.00x149Y SAE1006 II</t>
  </si>
  <si>
    <t>3.00×1497×C</t>
  </si>
  <si>
    <t>1251121939352</t>
  </si>
  <si>
    <t>Thép cuộn cán nóng 3.00x149Y SAE1006</t>
  </si>
  <si>
    <t>1251121939345</t>
  </si>
  <si>
    <t>Thép cuộn cán nóng 2.50x149Y SAE1006 II</t>
  </si>
  <si>
    <t>2.50×1497×C</t>
  </si>
  <si>
    <t>1251121939338</t>
  </si>
  <si>
    <t>Thép cuộn cán nóng 2.50x149Y SAE1006</t>
  </si>
  <si>
    <t>1251121939321</t>
  </si>
  <si>
    <t>Thép cuộn cán nóng 2.50x137Y SS400 II</t>
  </si>
  <si>
    <t>2.50×1377×C</t>
  </si>
  <si>
    <t>1251121939314</t>
  </si>
  <si>
    <t>Thép cuộn cán nóng 2.50x137Y SS400</t>
  </si>
  <si>
    <t>1251121939307</t>
  </si>
  <si>
    <t>Thép cuộn cán nóng 2.45x123Y SAE1017 II</t>
  </si>
  <si>
    <t>2.45×1237×C</t>
  </si>
  <si>
    <t>1251121939291</t>
  </si>
  <si>
    <t>Thép cuộn cán nóng 2.45x123Y SAE1017</t>
  </si>
  <si>
    <t>1251121939284</t>
  </si>
  <si>
    <t>Thép cuộn cán nóng 2.45x123X SAE1017 II</t>
  </si>
  <si>
    <t>2.45×1232×C</t>
  </si>
  <si>
    <t>1251121939277</t>
  </si>
  <si>
    <t>Thép cuộn cán nóng 2.45x123X SAE1017</t>
  </si>
  <si>
    <t>1251121939260</t>
  </si>
  <si>
    <t>Thép cuộn cán nóng 3.95x119X SAE1017 II</t>
  </si>
  <si>
    <t>3.95×1192×C</t>
  </si>
  <si>
    <t>1251121939253</t>
  </si>
  <si>
    <t>Thép cuộn cán nóng 3.95x119X SAE1017</t>
  </si>
  <si>
    <t>1251121939246</t>
  </si>
  <si>
    <t>Thép cuộn cán nóng 2.45x116X SAE1017 II</t>
  </si>
  <si>
    <t>2.45×1162×C</t>
  </si>
  <si>
    <t>1251121939239</t>
  </si>
  <si>
    <t>Thép cuộn cán nóng 2.45x116X SAE1017</t>
  </si>
  <si>
    <t>1251121939222</t>
  </si>
  <si>
    <t>Thép cuộn cán nóng 3.95x113X SAE1017 II</t>
  </si>
  <si>
    <t>3.95×1132×C</t>
  </si>
  <si>
    <t>1251121939215</t>
  </si>
  <si>
    <t>Thép cuộn cán nóng 3.95x113X SAE1017</t>
  </si>
  <si>
    <t>1251121939208</t>
  </si>
  <si>
    <t>Thép cuộn cán nóng 3.43x152X ASTM A36 II</t>
  </si>
  <si>
    <t>3.43×1522×C</t>
  </si>
  <si>
    <t>1251121939192</t>
  </si>
  <si>
    <t>Thép cuộn cán nóng 3.43x152X ASTM A36</t>
  </si>
  <si>
    <t>1251121939185</t>
  </si>
  <si>
    <t>Thép cuộn cán nóng 3.43x121Y ASTM A36 II</t>
  </si>
  <si>
    <t>3.43×1217×C</t>
  </si>
  <si>
    <t>1251121939178</t>
  </si>
  <si>
    <t>Thép cuộn cán nóng 3.43x121Y ASTM A36</t>
  </si>
  <si>
    <t>1251121939161</t>
  </si>
  <si>
    <t>Thép cuộn cán nóng 3.00x121Y ASTM A36 II</t>
  </si>
  <si>
    <t>1251121939154</t>
  </si>
  <si>
    <t>Thép cuộn cán nóng 3.00x121Y ASTM A36</t>
  </si>
  <si>
    <t>1251121939147</t>
  </si>
  <si>
    <t>Thép cuộn cán nóng 2.64x121Y ASTM A36 II</t>
  </si>
  <si>
    <t>2.64×1217×C</t>
  </si>
  <si>
    <t>1251121939130</t>
  </si>
  <si>
    <t>Thép cuộn cán nóng 2.64x121Y ASTM A36</t>
  </si>
  <si>
    <t>1251121939123</t>
  </si>
  <si>
    <t>Thép cuộn cán nóng 4.75x152X ASTM A36 II</t>
  </si>
  <si>
    <t>4.75×1522×C</t>
  </si>
  <si>
    <t>1251121939116</t>
  </si>
  <si>
    <t>Thép cuộn cán nóng 4.75x152X ASTM A36</t>
  </si>
  <si>
    <t>1251121939109</t>
  </si>
  <si>
    <t>Thép cuộn cán nóng 4.75x121Y ASTM A36 II</t>
  </si>
  <si>
    <t>4.75×1217×C</t>
  </si>
  <si>
    <t>1251121939093</t>
  </si>
  <si>
    <t>Thép cuộn cán nóng 4.75x121Y ASTM A36</t>
  </si>
  <si>
    <t>1251121939086</t>
  </si>
  <si>
    <t>Thép cuộn cán nóng 5.59x141X SS 36 T1 II</t>
  </si>
  <si>
    <t>5.59×1412×C</t>
  </si>
  <si>
    <t>A1011/A1011M-18</t>
  </si>
  <si>
    <t>1251121939079</t>
  </si>
  <si>
    <t>Thép cuộn cán nóng 5.59x141X SS 36 T1</t>
  </si>
  <si>
    <t>1251121939062</t>
  </si>
  <si>
    <t>Thép cuộn cán nóng 4.88x121Y SS 36 T1 II</t>
  </si>
  <si>
    <t>4.88×1217×C</t>
  </si>
  <si>
    <t>1251121939055</t>
  </si>
  <si>
    <t>Thép cuộn cán nóng 4.88x121Y SS 36 T1</t>
  </si>
  <si>
    <t>1251121939048</t>
  </si>
  <si>
    <t>Thép cuộn cán nóng 3.51x132X SS 36 T1 II</t>
  </si>
  <si>
    <t>3.51×1322×C</t>
  </si>
  <si>
    <t>1251121939031</t>
  </si>
  <si>
    <t>Thép cuộn cán nóng 3.51x132X SS 36 T1</t>
  </si>
  <si>
    <t>1251121939024</t>
  </si>
  <si>
    <t>Thép cuộn cán nóng 3.40x132X SS 36 T1 II</t>
  </si>
  <si>
    <t>3.40×1322×C</t>
  </si>
  <si>
    <t>1251121939017</t>
  </si>
  <si>
    <t>Thép cuộn cán nóng 3.40x132X SS 36 T1</t>
  </si>
  <si>
    <t>1251121939000</t>
  </si>
  <si>
    <t>Thép cuộn cán nóng 3.30x144Y SS 36 T1 II</t>
  </si>
  <si>
    <t>3.30×1447×C</t>
  </si>
  <si>
    <t>1251121938997</t>
  </si>
  <si>
    <t>Thép cuộn cán nóng 3.30x144Y SS 36 T1</t>
  </si>
  <si>
    <t>1251121938980</t>
  </si>
  <si>
    <t>Thép cuộn cán nóng 3.05x144Y SS 36 T1 II</t>
  </si>
  <si>
    <t>3.05×1447×C</t>
  </si>
  <si>
    <t>1251121938973</t>
  </si>
  <si>
    <t>Thép cuộn cán nóng 3.05x144Y SS 36 T1</t>
  </si>
  <si>
    <t>1251121938966</t>
  </si>
  <si>
    <t>Thép cuộn cán nóng 3.95x123X SAE1006 II</t>
  </si>
  <si>
    <t>1251121938959</t>
  </si>
  <si>
    <t>Thép cuộn cán nóng 3.95x123X SAE1006</t>
  </si>
  <si>
    <t>1251121938942</t>
  </si>
  <si>
    <t>Thép cuộn cán nóng 3.04x123X SAE1006 II</t>
  </si>
  <si>
    <t>3.04×1232×C</t>
  </si>
  <si>
    <t>1251121938935</t>
  </si>
  <si>
    <t>Thép cuộn cán nóng 3.04x123X SAE1006</t>
  </si>
  <si>
    <t>1251121938928</t>
  </si>
  <si>
    <t>Thép cuộn cán nóng 3.95x113X SAE1006 II</t>
  </si>
  <si>
    <t>1251121938911</t>
  </si>
  <si>
    <t>Thép cuộn cán nóng 3.95x113X SAE1006</t>
  </si>
  <si>
    <t>1251121938904</t>
  </si>
  <si>
    <t>Thép cuộn cán nóng 6.50x103Y SS400 II</t>
  </si>
  <si>
    <t>6.50×1037×C</t>
  </si>
  <si>
    <t>1251121938850</t>
  </si>
  <si>
    <t>Thép cuộn cán nóng 6.50x103Y SS400</t>
  </si>
  <si>
    <t>1251121938843</t>
  </si>
  <si>
    <t>Thép cuộn cán nóng 2.00x124X SAE1006 II</t>
  </si>
  <si>
    <t>2.00×1242×C</t>
  </si>
  <si>
    <t>1251121938768</t>
  </si>
  <si>
    <t>Thép cuộn cán nóng 2.00x124X SAE1006</t>
  </si>
  <si>
    <t>1251121938751</t>
  </si>
  <si>
    <t>Thép cuộn cán nóng 4.50x126X SAE1006 II</t>
  </si>
  <si>
    <t>4.50×1262×C</t>
  </si>
  <si>
    <t>1251121938744</t>
  </si>
  <si>
    <t>Thép cuộn cán nóng 4.50x126X SAE1006</t>
  </si>
  <si>
    <t>1251121938737</t>
  </si>
  <si>
    <t>Thép cuộn cán nóng 3.90x126X SAE1006 II</t>
  </si>
  <si>
    <t>3.90×1262×C</t>
  </si>
  <si>
    <t>1251121938720</t>
  </si>
  <si>
    <t>Thép cuộn cán nóng 3.90x126X SAE1006</t>
  </si>
  <si>
    <t>1251121938713</t>
  </si>
  <si>
    <t>Thép cuộn cán nóng 3.70x126Y SAE1006 II</t>
  </si>
  <si>
    <t>3.70×1267×C</t>
  </si>
  <si>
    <t>1251121938706</t>
  </si>
  <si>
    <t>Thép cuộn cán nóng 3.70x126Y SAE1006</t>
  </si>
  <si>
    <t>1251121938690</t>
  </si>
  <si>
    <t>Thép cuộn cán nóng 2.50x131Y SPHC II</t>
  </si>
  <si>
    <t>2.50×1317×C</t>
  </si>
  <si>
    <t>1251121938546</t>
  </si>
  <si>
    <t>Thép cuộn cán nóng 2.50x131Y SPHC</t>
  </si>
  <si>
    <t>1251121938539</t>
  </si>
  <si>
    <t>Thép cuộn cán nóng 2.12x131Y SPHC II</t>
  </si>
  <si>
    <t>2.12×1317×C</t>
  </si>
  <si>
    <t>1251121938522</t>
  </si>
  <si>
    <t>Thép cuộn cán nóng 2.12x131Y SPHC</t>
  </si>
  <si>
    <t>1251121938515</t>
  </si>
  <si>
    <t>Thép cuộn cán nóng 1.82x123X CS typeB II</t>
  </si>
  <si>
    <t>1.82×1232×C</t>
  </si>
  <si>
    <t>ASTM A1011/A1011M</t>
  </si>
  <si>
    <t>1251121938508</t>
  </si>
  <si>
    <t>Thép cuộn cán nóng 1.82x123X CS type B</t>
  </si>
  <si>
    <t>1251121938492</t>
  </si>
  <si>
    <t>Thép cuộn cán nóng 3.95x121Y SAE1006 II</t>
  </si>
  <si>
    <t>3.95×1217×C</t>
  </si>
  <si>
    <t>1251121938485</t>
  </si>
  <si>
    <t>Thép cuộn cán nóng 3.95x121Y SAE1006</t>
  </si>
  <si>
    <t>1251121938478</t>
  </si>
  <si>
    <t>Thép cuộn cán nóng 3.95x121X SAE1006 II</t>
  </si>
  <si>
    <t>3.95×1212×C</t>
  </si>
  <si>
    <t>1251121938461</t>
  </si>
  <si>
    <t>Thép cuộn cán nóng 3.95x121X SAE1006</t>
  </si>
  <si>
    <t>1251121938454</t>
  </si>
  <si>
    <t>Thép cuộn cán nóng 2.30x115X SAE1006 II</t>
  </si>
  <si>
    <t>2.30×1152×C</t>
  </si>
  <si>
    <t>1251121938447</t>
  </si>
  <si>
    <t>Thép cuộn cán nóng 2.30x115X SAE1006</t>
  </si>
  <si>
    <t>1251121938430</t>
  </si>
  <si>
    <t>Thép cuộn cán nóng 2.00x115X SAE1006 II</t>
  </si>
  <si>
    <t>2.00×1152×C</t>
  </si>
  <si>
    <t>1251121938423</t>
  </si>
  <si>
    <t>Thép cuộn cán nóng 2.00x115X SAE1006</t>
  </si>
  <si>
    <t>1251121938416</t>
  </si>
  <si>
    <t>Thép cuộn cán nóng 2.80x106Y SAE1006 II</t>
  </si>
  <si>
    <t>2.80×1067×C</t>
  </si>
  <si>
    <t>1251121938409</t>
  </si>
  <si>
    <t>Thép cuộn cán nóng 2.80x106Y SAE1006</t>
  </si>
  <si>
    <t>1251121938393</t>
  </si>
  <si>
    <t>Thép cuộn cán nóng 2.80x110Y SAE1006 II</t>
  </si>
  <si>
    <t>2.80×1107×C</t>
  </si>
  <si>
    <t>1251121938386</t>
  </si>
  <si>
    <t>Thép cuộn cán nóng 2.80x110Y SAE1006</t>
  </si>
  <si>
    <t>1251121938379</t>
  </si>
  <si>
    <t>Thép cuộn cán nóng 3.50x100X SAE1006 II</t>
  </si>
  <si>
    <t>3.50×1002×C</t>
  </si>
  <si>
    <t>1251121938362</t>
  </si>
  <si>
    <t>Thép cuộn cán nóng 3.50x100X SAE1006</t>
  </si>
  <si>
    <t>1251121938355</t>
  </si>
  <si>
    <t>Thép cuộn cán nóng 7.40x136Y SS400 II</t>
  </si>
  <si>
    <t>7.40×1367×C</t>
  </si>
  <si>
    <t>1251121938348</t>
  </si>
  <si>
    <t>Thép cuộn cán nóng 7.40x136Y SS400</t>
  </si>
  <si>
    <t>1251121938331</t>
  </si>
  <si>
    <t>Thép cuộn cán nóng 5.00x136Y SS400 II</t>
  </si>
  <si>
    <t>5.00×1367×C</t>
  </si>
  <si>
    <t>1251121938324</t>
  </si>
  <si>
    <t>Thép cuộn cán nóng 5.00x136Y SS400</t>
  </si>
  <si>
    <t>1251121938317</t>
  </si>
  <si>
    <t>Thép cuộn cán nóng 3.15x136Y SS400 II</t>
  </si>
  <si>
    <t>3.15×1367×C</t>
  </si>
  <si>
    <t>1251121938300</t>
  </si>
  <si>
    <t>Thép cuộn cán nóng 3.15x136Y SS400</t>
  </si>
  <si>
    <t>1251121938294</t>
  </si>
  <si>
    <t>Thép cuộn cán nóng 2.70x136Y SS400 II</t>
  </si>
  <si>
    <t>2.70×1367×C</t>
  </si>
  <si>
    <t>1251121938287</t>
  </si>
  <si>
    <t>Thép cuộn cán nóng 2.70x136Y SS400</t>
  </si>
  <si>
    <t>1251121938270</t>
  </si>
  <si>
    <t>Thép cuộn cán nóng 4.65x134Y SS400 II</t>
  </si>
  <si>
    <t>4.65×1347×C</t>
  </si>
  <si>
    <t>1251121938263</t>
  </si>
  <si>
    <t>Thép cuộn cán nóng 4.65x134Y SS400</t>
  </si>
  <si>
    <t>1251121938256</t>
  </si>
  <si>
    <t>Thép cuộn cán nóng 3.50x134Y SS400 II</t>
  </si>
  <si>
    <t>3.50×1347×C</t>
  </si>
  <si>
    <t>1251121938249</t>
  </si>
  <si>
    <t>Thép cuộn cán nóng 3.50x134Y SS400</t>
  </si>
  <si>
    <t>1251121938232</t>
  </si>
  <si>
    <t>Thép cuộn cán nóng 2.65x134Y SS400 II</t>
  </si>
  <si>
    <t>2.65×1347×C</t>
  </si>
  <si>
    <t>1251121938225</t>
  </si>
  <si>
    <t>Thép cuộn cán nóng 2.65x134Y SS400</t>
  </si>
  <si>
    <t>1251121938218</t>
  </si>
  <si>
    <t>Thép cuộn cán nóng 2.30x134Y SS400 II</t>
  </si>
  <si>
    <t>2.30×1347×C</t>
  </si>
  <si>
    <t>1251121938201</t>
  </si>
  <si>
    <t>Thép cuộn cán nóng 2.30x134Y SS400</t>
  </si>
  <si>
    <t>1251121938195</t>
  </si>
  <si>
    <t>Thép cuộn cán nóng 3.75x131X SS400 II</t>
  </si>
  <si>
    <t>3.75×1312×C</t>
  </si>
  <si>
    <t>1251121938188</t>
  </si>
  <si>
    <t>Thép cuộn cán nóng 3.75x131X SS400</t>
  </si>
  <si>
    <t>1251121938171</t>
  </si>
  <si>
    <t>Thép cuộn cán nóng 3.12x131X SS400 II</t>
  </si>
  <si>
    <t>3.12×1312×C</t>
  </si>
  <si>
    <t>1251121938164</t>
  </si>
  <si>
    <t>Thép cuộn cán nóng 3.12x131X SS400</t>
  </si>
  <si>
    <t>1251121938157</t>
  </si>
  <si>
    <t>Thép cuộn cán nóng 2.95x131X SS400 II</t>
  </si>
  <si>
    <t>2.95×1312×C</t>
  </si>
  <si>
    <t>1251121938140</t>
  </si>
  <si>
    <t>Thép cuộn cán nóng 2.95x131X SS400</t>
  </si>
  <si>
    <t>1251121938133</t>
  </si>
  <si>
    <t>Thép cuộn cán nóng 3.00x122X SS400 II</t>
  </si>
  <si>
    <t>1251121938126</t>
  </si>
  <si>
    <t>Thép cuộn cán nóng 3.00x122X SS400</t>
  </si>
  <si>
    <t>1251121938119</t>
  </si>
  <si>
    <t>Thép cuộn cán nóng 1.95x125X SS400 II</t>
  </si>
  <si>
    <t>1.95×1252×C</t>
  </si>
  <si>
    <t>1251121938102</t>
  </si>
  <si>
    <t>Thép cuộn cán nóng 1.95x125X SS400</t>
  </si>
  <si>
    <t>1251121938096</t>
  </si>
  <si>
    <t>Thép cuộn cán nóng 4.25x137X SS400 II</t>
  </si>
  <si>
    <t>4.25×1372×C</t>
  </si>
  <si>
    <t>1251121938089</t>
  </si>
  <si>
    <t>Thép cuộn cán nóng 4.25x137X SS400</t>
  </si>
  <si>
    <t>1251121938072</t>
  </si>
  <si>
    <t>Thép cuộn cán nóng 3.40x137X SS400 II</t>
  </si>
  <si>
    <t>3.40×1372×C</t>
  </si>
  <si>
    <t>1251121938065</t>
  </si>
  <si>
    <t>Thép cuộn cán nóng 3.40x137X SS400</t>
  </si>
  <si>
    <t>1251121938058</t>
  </si>
  <si>
    <t>Thép cuộn cán nóng 7.50x137X SS400 II</t>
  </si>
  <si>
    <t>7.50×1372×C</t>
  </si>
  <si>
    <t>1251121938041</t>
  </si>
  <si>
    <t>Thép cuộn cán nóng 7.50x137X SS400</t>
  </si>
  <si>
    <t>1251121938034</t>
  </si>
  <si>
    <t>Thép cuộn cán nóng 5.70x105Y SS400 II</t>
  </si>
  <si>
    <t>5.70×1057×C</t>
  </si>
  <si>
    <t>1251121938027</t>
  </si>
  <si>
    <t>Thép cuộn cán nóng 5.70x105Y SS400</t>
  </si>
  <si>
    <t>1251121938010</t>
  </si>
  <si>
    <t>Thép cuộn cán nóng 3.10x105Y SS400 II</t>
  </si>
  <si>
    <t>3.10×1057×C</t>
  </si>
  <si>
    <t>1251121938003</t>
  </si>
  <si>
    <t>Thép cuộn cán nóng 3.10x105Y SS400</t>
  </si>
  <si>
    <t>1251121937990</t>
  </si>
  <si>
    <t>Thép cuộn cán nóng 3.00x105Y SS400 II</t>
  </si>
  <si>
    <t>3.00×1057×C</t>
  </si>
  <si>
    <t>1251121937983</t>
  </si>
  <si>
    <t>Thép cuộn cán nóng 3.00x105Y SS400</t>
  </si>
  <si>
    <t>1251121937976</t>
  </si>
  <si>
    <t>Thép cuộn cán nóng 2.15x1219 SPHC II</t>
  </si>
  <si>
    <t>2.15×1219×C</t>
  </si>
  <si>
    <t>1251121488881</t>
  </si>
  <si>
    <t>Thép cuộn cán nóng 2.15x1219 SPHC</t>
  </si>
  <si>
    <t>MS 1705 : 2003</t>
  </si>
  <si>
    <t>1251121488874</t>
  </si>
  <si>
    <t>Thép cuộn cán nóng 2.10x1219 SPHC II</t>
  </si>
  <si>
    <t>2.10×1219×C</t>
  </si>
  <si>
    <t>1251121488867</t>
  </si>
  <si>
    <t>Thép cuộn cán nóng 2.10x1219 SPHC</t>
  </si>
  <si>
    <t>1251121488850</t>
  </si>
  <si>
    <t>Thép cuộn cán nóng 1.90x1219 SPHC II</t>
  </si>
  <si>
    <t>1.90×1219×C</t>
  </si>
  <si>
    <t>1251121488843</t>
  </si>
  <si>
    <t>Thép cuộn cán nóng 1.90x1219 SPHC</t>
  </si>
  <si>
    <t>1251121488836</t>
  </si>
  <si>
    <t>Thép cuộn cán nóng 2.70x1517 SAE1006 II</t>
  </si>
  <si>
    <t>2.70×1517×C</t>
  </si>
  <si>
    <t>1251121488829</t>
  </si>
  <si>
    <t>Thép cuộn cán nóng 2.70x1517 SAE1006</t>
  </si>
  <si>
    <t>1251121488812</t>
  </si>
  <si>
    <t>Thép cuộn cán nóng 2.50x1517 SAE1006 II</t>
  </si>
  <si>
    <t>1251121488805</t>
  </si>
  <si>
    <t>Thép cuộn cán nóng 2.50x1517 SAE1006</t>
  </si>
  <si>
    <t>1251121488799</t>
  </si>
  <si>
    <t>Thép cuộn cán nóng 3.50x1520 SAE1006 II</t>
  </si>
  <si>
    <t>3.50×1520×C</t>
  </si>
  <si>
    <t>1251121488782</t>
  </si>
  <si>
    <t>Thép cuộn cán nóng 3.50x1520 SAE1006</t>
  </si>
  <si>
    <t>1251121488775</t>
  </si>
  <si>
    <t>Thép cuộn cán nóng 3.00x1520 SAE1006 II</t>
  </si>
  <si>
    <t>3.00×1520×C</t>
  </si>
  <si>
    <t>1251121488768</t>
  </si>
  <si>
    <t>Thép cuộn cán nóng 3.00x1520 SAE1006</t>
  </si>
  <si>
    <t>1251121488751</t>
  </si>
  <si>
    <t>Thép cuộn cán nóng 2.80x1520 SAE1006 II</t>
  </si>
  <si>
    <t>2.80×1520×C</t>
  </si>
  <si>
    <t>1251121488744</t>
  </si>
  <si>
    <t>Thép cuộn cán nóng 2.80x1520 SAE1006</t>
  </si>
  <si>
    <t>1251121488737</t>
  </si>
  <si>
    <t>Thép cuộn cán nóng 5.00x1515 SAE1006 II</t>
  </si>
  <si>
    <t>5.00×1515×C</t>
  </si>
  <si>
    <t>1251121488720</t>
  </si>
  <si>
    <t>Thép cuộn cán nóng 5.00x1515 SAE1006</t>
  </si>
  <si>
    <t>1251121488713</t>
  </si>
  <si>
    <t>Thép cuộn cán nóng 4.50x1515 SAE1006 II</t>
  </si>
  <si>
    <t>4.50×1515×C</t>
  </si>
  <si>
    <t>1251121488706</t>
  </si>
  <si>
    <t>Thép cuộn cán nóng 4.50x1515 SAE1006</t>
  </si>
  <si>
    <t>1251121488690</t>
  </si>
  <si>
    <t>Thép cuộn cán nóng 4.50x1265 SAE1006 II</t>
  </si>
  <si>
    <t>4.50×1265×C</t>
  </si>
  <si>
    <t>1251121488683</t>
  </si>
  <si>
    <t>Thép cuộn cán nóng 4.50x1265 SAE1006</t>
  </si>
  <si>
    <t>1251121488676</t>
  </si>
  <si>
    <t>Thép cuộn cán nóng 2.70x1515 SAE1006 II</t>
  </si>
  <si>
    <t>2.70×1515×C</t>
  </si>
  <si>
    <t>1251121488669</t>
  </si>
  <si>
    <t>Thép cuộn cán nóng 2.70x1515 SAE1006</t>
  </si>
  <si>
    <t>1251121488652</t>
  </si>
  <si>
    <t>Thép cuộn cán nóng 1.75x1225 SAE1006 II</t>
  </si>
  <si>
    <t>1.75×1225×C</t>
  </si>
  <si>
    <t>1251121488645</t>
  </si>
  <si>
    <t>Thép cuộn cán nóng 1.75x1225 SAE1006</t>
  </si>
  <si>
    <t>1251121488638</t>
  </si>
  <si>
    <t>Thép cuộn cán nóng 1.60x1225 SAE1006 II</t>
  </si>
  <si>
    <t>1.60×1225×C</t>
  </si>
  <si>
    <t>1251121488621</t>
  </si>
  <si>
    <t>Thép cuộn cán nóng 1.60x1225 SAE1006</t>
  </si>
  <si>
    <t>1251121488614</t>
  </si>
  <si>
    <t>Thép cuộn cán nóng 1.50x1225 SAE1006 II</t>
  </si>
  <si>
    <t>1.50×1225×C</t>
  </si>
  <si>
    <t>1251121488607</t>
  </si>
  <si>
    <t>Thép cuộn cán nóng 1.50x1225 SAE1006</t>
  </si>
  <si>
    <t>1251121488591</t>
  </si>
  <si>
    <t>Thép cuộn cán nóng 3.60x1219 SPHC II</t>
  </si>
  <si>
    <t>3.60×1219×C</t>
  </si>
  <si>
    <t>1251121488195</t>
  </si>
  <si>
    <t>Thép cuộn cán nóng 3.60x1219 SPHC</t>
  </si>
  <si>
    <t>1251121488188</t>
  </si>
  <si>
    <t>Thép cuộn cán nóng 4.00x1219 SPHC II</t>
  </si>
  <si>
    <t>4.00×1219×C</t>
  </si>
  <si>
    <t>1251121488171</t>
  </si>
  <si>
    <t>Thép cuộn cán nóng 4.00x1219 SPHC</t>
  </si>
  <si>
    <t>1251121488164</t>
  </si>
  <si>
    <t>Thép cuộn cán nóng 3.20x1219 SPHC II</t>
  </si>
  <si>
    <t>3.20×1219×C</t>
  </si>
  <si>
    <t>1251121488157</t>
  </si>
  <si>
    <t>Thép cuộn cán nóng 3.20x1219 SPHC</t>
  </si>
  <si>
    <t>1251121488140</t>
  </si>
  <si>
    <t>Thép cuộn cán nóng 2.50x1219 SPHC II</t>
  </si>
  <si>
    <t>2.50×1219×C</t>
  </si>
  <si>
    <t>1251121488133</t>
  </si>
  <si>
    <t>Thép cuộn cán nóng 2.50x1219 SPHC</t>
  </si>
  <si>
    <t>1251121488126</t>
  </si>
  <si>
    <t>Thép cuộn cán nóng 3.00x1270 SAE1006 II</t>
  </si>
  <si>
    <t>3.00×1270×C</t>
  </si>
  <si>
    <t>1251121488010</t>
  </si>
  <si>
    <t>Thép cuộn cán nóng 3.00x1270 SAE1006</t>
  </si>
  <si>
    <t>1251121488003</t>
  </si>
  <si>
    <t>Thép cuộn cán nóng 2.70x1270 SAE1006 II</t>
  </si>
  <si>
    <t>2.70×1270×C</t>
  </si>
  <si>
    <t>1251121487990</t>
  </si>
  <si>
    <t>Thép cuộn cán nóng 2.70x1270 SAE1006</t>
  </si>
  <si>
    <t>1251121487983</t>
  </si>
  <si>
    <t>Thép cuộn cán nóng 2.50x1270 SAE1006 II</t>
  </si>
  <si>
    <t>2.50×1270×C</t>
  </si>
  <si>
    <t>1251121487976</t>
  </si>
  <si>
    <t>Thép cuộn cán nóng 2.50x1270 SAE1006</t>
  </si>
  <si>
    <t>1251121487969</t>
  </si>
  <si>
    <t>Thép cuộn cán nóng 4.40x1210 SS400 II</t>
  </si>
  <si>
    <t>4.40×1210×C</t>
  </si>
  <si>
    <t>1251121487952</t>
  </si>
  <si>
    <t>Thép cuộn cán nóng 4.40x1210 SS400</t>
  </si>
  <si>
    <t>1251121487945</t>
  </si>
  <si>
    <t>Thép cuộn cán nóng 3.80x1480 SS400 II</t>
  </si>
  <si>
    <t>3.80×1480×C</t>
  </si>
  <si>
    <t>1251121487938</t>
  </si>
  <si>
    <t>Thép cuộn cán nóng 3.80x1480 SS400</t>
  </si>
  <si>
    <t>1251121487921</t>
  </si>
  <si>
    <t>Thép cuộn cán nóng 11.75x1219 S275JR II</t>
  </si>
  <si>
    <t>11.75×1219×C</t>
  </si>
  <si>
    <t>MS EN 10025-2 : 20</t>
  </si>
  <si>
    <t>1251121487914</t>
  </si>
  <si>
    <t>Thép cuộn cán nóng 11.75x1219 S275JR</t>
  </si>
  <si>
    <t>1251121487907</t>
  </si>
  <si>
    <t>Thép cuộn cán nóng 9.75x1219 S275JR II</t>
  </si>
  <si>
    <t>9.75×1219×C</t>
  </si>
  <si>
    <t>1251121487891</t>
  </si>
  <si>
    <t>Thép cuộn cán nóng 9.75x1219 S275JR</t>
  </si>
  <si>
    <t>1251121487884</t>
  </si>
  <si>
    <t>Thép cuộn cán nóng 9.60x1219 S275JR II</t>
  </si>
  <si>
    <t>9.60×1219×C</t>
  </si>
  <si>
    <t>1251121487877</t>
  </si>
  <si>
    <t>Thép cuộn cán nóng 9.60x1219 S275JR</t>
  </si>
  <si>
    <t>1251121487860</t>
  </si>
  <si>
    <t>Thép cuộn cán nóng 8.80x1219 S275JR II</t>
  </si>
  <si>
    <t>8.80×1219×C</t>
  </si>
  <si>
    <t>1251121487853</t>
  </si>
  <si>
    <t>Thép cuộn cán nóng 8.80x1219 S275JR</t>
  </si>
  <si>
    <t>1251121487846</t>
  </si>
  <si>
    <t>Thép cuộn cán nóng 7.80x1219 S275JR II</t>
  </si>
  <si>
    <t>7.80×1219×C</t>
  </si>
  <si>
    <t>1251121487839</t>
  </si>
  <si>
    <t>Thép cuộn cán nóng 7.80x1219 S275JR</t>
  </si>
  <si>
    <t>1251121487822</t>
  </si>
  <si>
    <t>Thép cuộn cán nóng 7.60x1219 S275JR II</t>
  </si>
  <si>
    <t>7.60×1219×C</t>
  </si>
  <si>
    <t>1251121487815</t>
  </si>
  <si>
    <t>Thép cuộn cán nóng 7.60x1219 S275JR</t>
  </si>
  <si>
    <t>1251121487808</t>
  </si>
  <si>
    <t>Thép cuộn cán nóng 5.85x1219 S275JR II</t>
  </si>
  <si>
    <t>5.85×1219×C</t>
  </si>
  <si>
    <t>1251121487792</t>
  </si>
  <si>
    <t>Thép cuộn cán nóng 5.85x1219 S275JR</t>
  </si>
  <si>
    <t>1251121487785</t>
  </si>
  <si>
    <t>Thép cuộn cán nóng 11.60x1219 S275JR II</t>
  </si>
  <si>
    <t>11.60×1219×C</t>
  </si>
  <si>
    <t>1251121487778</t>
  </si>
  <si>
    <t>Thép cuộn cán nóng 11.60x1219 S275JR</t>
  </si>
  <si>
    <t>1251121487761</t>
  </si>
  <si>
    <t>Thép cuộn cán nóng 8.60x1219 S275JR II</t>
  </si>
  <si>
    <t>8.60×1219×C</t>
  </si>
  <si>
    <t>1251121487754</t>
  </si>
  <si>
    <t>Thép cuộn cán nóng 8.60x1219 S275JR</t>
  </si>
  <si>
    <t>1251121487747</t>
  </si>
  <si>
    <t>Thép cuộn cán nóng 7.70x1219 S275JR II</t>
  </si>
  <si>
    <t>7.70×1219×C</t>
  </si>
  <si>
    <t>1251121487730</t>
  </si>
  <si>
    <t>Thép cuộn cán nóng 7.70x1219 S275JR</t>
  </si>
  <si>
    <t>1251121487723</t>
  </si>
  <si>
    <t>Thép cuộn cán nóng 4.25x1219 S275JR II</t>
  </si>
  <si>
    <t>4.25×1219×C</t>
  </si>
  <si>
    <t>1251121487716</t>
  </si>
  <si>
    <t>Thép cuộn cán nóng 4.25x1219 S275JR</t>
  </si>
  <si>
    <t>1251121487709</t>
  </si>
  <si>
    <t>Thép cuộn cán nóng 3.75x1219 S275JR II</t>
  </si>
  <si>
    <t>3.75×1219×C</t>
  </si>
  <si>
    <t>1251121487693</t>
  </si>
  <si>
    <t>Thép cuộn cán nóng 3.75x1219 S275JR</t>
  </si>
  <si>
    <t>1251121487686</t>
  </si>
  <si>
    <t>Thép cuộn cán nóng 2.70x1219 S275JR II</t>
  </si>
  <si>
    <t>2.70×1219×C</t>
  </si>
  <si>
    <t>1251121487679</t>
  </si>
  <si>
    <t>Thép cuộn cán nóng 2.70x1219 S275JR</t>
  </si>
  <si>
    <t>1251121487662</t>
  </si>
  <si>
    <t>Thép cuộn cán nóng 2.45x1219 S275JR II</t>
  </si>
  <si>
    <t>2.45×1219×C</t>
  </si>
  <si>
    <t>1251121487655</t>
  </si>
  <si>
    <t>Thép cuộn cán nóng 2.45x1219 S275JR</t>
  </si>
  <si>
    <t>1251121487648</t>
  </si>
  <si>
    <t>Thép cuộn cán nóng 5.50x1219 S275JR II</t>
  </si>
  <si>
    <t>5.50×1219×C</t>
  </si>
  <si>
    <t>1251121487631</t>
  </si>
  <si>
    <t>Thép cuộn cán nóng 5.50x1219 S275JR</t>
  </si>
  <si>
    <t>1251121487624</t>
  </si>
  <si>
    <t>Thép cuộn cán nóng 5.65x1219 S275JR II</t>
  </si>
  <si>
    <t>5.65×1219×C</t>
  </si>
  <si>
    <t>1251121487617</t>
  </si>
  <si>
    <t>Thép cuộn cán nóng 5.65x1219 S275JR</t>
  </si>
  <si>
    <t>1251121487600</t>
  </si>
  <si>
    <t>Thép cuộn cán nóng 3.00x1250 S275JR II</t>
  </si>
  <si>
    <t>3.00×1250×C</t>
  </si>
  <si>
    <t>1251121487594</t>
  </si>
  <si>
    <t>Thép cuộn cán nóng 3.00x1250 S275JR</t>
  </si>
  <si>
    <t>1251121487587</t>
  </si>
  <si>
    <t>Thép cuộn cán nóng 2.52x1450 S275JR II</t>
  </si>
  <si>
    <t>2.52×1450×C</t>
  </si>
  <si>
    <t>1251121487570</t>
  </si>
  <si>
    <t>Thép cuộn cán nóng 2.52x1450 S275JR</t>
  </si>
  <si>
    <t>1251121487563</t>
  </si>
  <si>
    <t>Thép cuộn cán nóng 4.05x1500 S275JR II</t>
  </si>
  <si>
    <t>4.05×1500×C</t>
  </si>
  <si>
    <t>1251121487556</t>
  </si>
  <si>
    <t>Thép cuộn cán nóng 4.05x1500 S275JR</t>
  </si>
  <si>
    <t>1251121487549</t>
  </si>
  <si>
    <t>Thép cuộn cán nóng 11.75x1520 S275JR II</t>
  </si>
  <si>
    <t>11.75×1520×C</t>
  </si>
  <si>
    <t>1251121487532</t>
  </si>
  <si>
    <t>Thép cuộn cán nóng 11.75x1520 S275JR</t>
  </si>
  <si>
    <t>1251121487525</t>
  </si>
  <si>
    <t>Thép cuộn cán nóng 11.60x1520 S275JR II</t>
  </si>
  <si>
    <t>11.60×1520×C</t>
  </si>
  <si>
    <t>1251121487518</t>
  </si>
  <si>
    <t>Thép cuộn cán nóng 11.60x1520 S275JR</t>
  </si>
  <si>
    <t>1251121487501</t>
  </si>
  <si>
    <t>Thép cuộn cán nóng 9.60x1520 S275JR II</t>
  </si>
  <si>
    <t>9.60×1520×C</t>
  </si>
  <si>
    <t>1251121487495</t>
  </si>
  <si>
    <t>Thép cuộn cán nóng 9.60x1520 S275JR</t>
  </si>
  <si>
    <t>1251121487488</t>
  </si>
  <si>
    <t>Thép cuộn cán nóng 8.60x1520 S275JR II</t>
  </si>
  <si>
    <t>8.60×1520×C</t>
  </si>
  <si>
    <t>1251121487471</t>
  </si>
  <si>
    <t>Thép cuộn cán nóng 8.60x1520 S275JR</t>
  </si>
  <si>
    <t>1251121487464</t>
  </si>
  <si>
    <t>Thép cuộn cán nóng 7.60x1520 S275JR II</t>
  </si>
  <si>
    <t>7.60×1520×C</t>
  </si>
  <si>
    <t>1251121487457</t>
  </si>
  <si>
    <t>Thép cuộn cán nóng 7.60x1520 S275JR</t>
  </si>
  <si>
    <t>1251121487440</t>
  </si>
  <si>
    <t>Thép cuộn cán nóng 5.85x1520 S275JR II</t>
  </si>
  <si>
    <t>5.85×1520×C</t>
  </si>
  <si>
    <t>1251121487433</t>
  </si>
  <si>
    <t>Thép cuộn cán nóng 5.85x1520 S275JR</t>
  </si>
  <si>
    <t>1251121487426</t>
  </si>
  <si>
    <t>Thép cuộn cán nóng 5.65x1520 S275JR II</t>
  </si>
  <si>
    <t>5.65×1520×C</t>
  </si>
  <si>
    <t>1251121487419</t>
  </si>
  <si>
    <t>Thép cuộn cán nóng 5.65x1520 S275JR</t>
  </si>
  <si>
    <t>1251121487402</t>
  </si>
  <si>
    <t>Thép cuộn cán nóng 11.70x1520 S275JR II</t>
  </si>
  <si>
    <t>11.70×1520×C</t>
  </si>
  <si>
    <t>1251121487396</t>
  </si>
  <si>
    <t>Thép cuộn cán nóng 11.70x1520 S275JR</t>
  </si>
  <si>
    <t>1251121487389</t>
  </si>
  <si>
    <t>Thép cuộn cán nóng 9.70x1520 S275JR II</t>
  </si>
  <si>
    <t>9.70×1520×C</t>
  </si>
  <si>
    <t>1251121487372</t>
  </si>
  <si>
    <t>Thép cuộn cán nóng 9.70x1520 S275JR</t>
  </si>
  <si>
    <t>1251121487365</t>
  </si>
  <si>
    <t>Thép cuộn cán nóng 8.70x1520 S275JR II</t>
  </si>
  <si>
    <t>8.70×1520×C</t>
  </si>
  <si>
    <t>1251121487358</t>
  </si>
  <si>
    <t>Thép cuộn cán nóng 8.70x1520 S275JR</t>
  </si>
  <si>
    <t>1251121487341</t>
  </si>
  <si>
    <t>Thép cuộn cán nóng 7.70x1520 S275JR II</t>
  </si>
  <si>
    <t>7.70×1520×C</t>
  </si>
  <si>
    <t>1251121487334</t>
  </si>
  <si>
    <t>Thép cuộn cán nóng 7.70x1520 S275JR</t>
  </si>
  <si>
    <t>1251121487327</t>
  </si>
  <si>
    <t>Thép cuộn cán nóng 5.80x1520 S275JR II</t>
  </si>
  <si>
    <t>5.80×1520×C</t>
  </si>
  <si>
    <t>1251121487310</t>
  </si>
  <si>
    <t>Thép cuộn cán nóng 5.80x1520 S275JR</t>
  </si>
  <si>
    <t>1251121487303</t>
  </si>
  <si>
    <t>Thép cuộn cán nóng 4.30x1520 S275JR II</t>
  </si>
  <si>
    <t>4.30×1520×C</t>
  </si>
  <si>
    <t>1251121487297</t>
  </si>
  <si>
    <t>Thép cuộn cán nóng 4.30x1520 S275JR</t>
  </si>
  <si>
    <t>1251121487280</t>
  </si>
  <si>
    <t>Thép cuộn cán nóng 3.75x1520 S275JR II</t>
  </si>
  <si>
    <t>3.75×1520×C</t>
  </si>
  <si>
    <t>1251121487273</t>
  </si>
  <si>
    <t>Thép cuộn cán nóng 3.75x1520 S275JR</t>
  </si>
  <si>
    <t>1251121487266</t>
  </si>
  <si>
    <t>Thép cuộn cán nóng 2.90x1520 S275JR II</t>
  </si>
  <si>
    <t>2.90×1520×C</t>
  </si>
  <si>
    <t>1251121487259</t>
  </si>
  <si>
    <t>Thép cuộn cán nóng 2.90x1520 S275JR</t>
  </si>
  <si>
    <t>1251121487242</t>
  </si>
  <si>
    <t>Thép cuộn cán nóng 11.50x1520 S275JR II</t>
  </si>
  <si>
    <t>11.50×1520×C</t>
  </si>
  <si>
    <t>1251121487235</t>
  </si>
  <si>
    <t>Thép cuộn cán nóng 11.50x1520 S275JR</t>
  </si>
  <si>
    <t>1251121487228</t>
  </si>
  <si>
    <t>Thép cuộn cán nóng 5.50x1520 S275JR II</t>
  </si>
  <si>
    <t>5.50×1520×C</t>
  </si>
  <si>
    <t>1251121487211</t>
  </si>
  <si>
    <t>Thép cuộn cán nóng 5.50x1520 S275JR</t>
  </si>
  <si>
    <t>1251121487204</t>
  </si>
  <si>
    <t>Thép cuộn cán nóng 3.90x1520 S275JR II</t>
  </si>
  <si>
    <t>3.90×1520×C</t>
  </si>
  <si>
    <t>1251121487198</t>
  </si>
  <si>
    <t>Thép cuộn cán nóng 3.90x1520 S275JR</t>
  </si>
  <si>
    <t>1251121487181</t>
  </si>
  <si>
    <t>Thép cuộn cán nóng 3.50x1250 S235JR II</t>
  </si>
  <si>
    <t>3.50×1250×C</t>
  </si>
  <si>
    <t>1251121487150</t>
  </si>
  <si>
    <t>Thép cuộn cán nóng 3.50x1250 S235JR</t>
  </si>
  <si>
    <t>1251121487143</t>
  </si>
  <si>
    <t>Thép cuộn cán nóng 2.75x1250 S235JR II</t>
  </si>
  <si>
    <t>2.75×1250×C</t>
  </si>
  <si>
    <t>1251121487136</t>
  </si>
  <si>
    <t>Thép cuộn cán nóng 2.75x1250 S235JR</t>
  </si>
  <si>
    <t>1251121487129</t>
  </si>
  <si>
    <t>Thép cuộn cán nóng 4.00x1515 SAE1006 II</t>
  </si>
  <si>
    <t>4.00×1515×C</t>
  </si>
  <si>
    <t>1251121487099</t>
  </si>
  <si>
    <t>Thép cuộn cán nóng 4.00x1515 SAE1006</t>
  </si>
  <si>
    <t>1251121487082</t>
  </si>
  <si>
    <t>Thép cuộn cán nóng 3.50x1515 SAE1006 II</t>
  </si>
  <si>
    <t>3.50×1515×C</t>
  </si>
  <si>
    <t>1251121487075</t>
  </si>
  <si>
    <t>Thép cuộn cán nóng 3.50x1515 SAE1006</t>
  </si>
  <si>
    <t>1251121487068</t>
  </si>
  <si>
    <t>Thép cuộn cán nóng 3.00x1515 SAE1006 II</t>
  </si>
  <si>
    <t>3.00×1515×C</t>
  </si>
  <si>
    <t>1251121487051</t>
  </si>
  <si>
    <t>Thép cuộn cán nóng 3.00x1515 SAE1006</t>
  </si>
  <si>
    <t>1251121487044</t>
  </si>
  <si>
    <t>Thép cuộn cán nóng 2.50x1237 SAE1006 II</t>
  </si>
  <si>
    <t>2.50×1237×C</t>
  </si>
  <si>
    <t>1251121487037</t>
  </si>
  <si>
    <t>Thép cuộn cán nóng 2.50x1237 SAE1006</t>
  </si>
  <si>
    <t>1251121487020</t>
  </si>
  <si>
    <t>Thép cuộn cán nóng 2.00x1237 SAE1006 II</t>
  </si>
  <si>
    <t>2.00×1237×C</t>
  </si>
  <si>
    <t>1251121487013</t>
  </si>
  <si>
    <t>Thép cuộn cán nóng 2.00x1237 SAE1006</t>
  </si>
  <si>
    <t>1251121487006</t>
  </si>
  <si>
    <t>Thép cuộn cán nóng 2.30x1200 SAE1006 II</t>
  </si>
  <si>
    <t>2.30×1200×C</t>
  </si>
  <si>
    <t>1251121486993</t>
  </si>
  <si>
    <t>Thép cuộn cán nóng 2.30x1200 SAE1006</t>
  </si>
  <si>
    <t>1251121486986</t>
  </si>
  <si>
    <t>Thép cuộn cán nóng 2.45x1270 SS400 II</t>
  </si>
  <si>
    <t>2.45×1270×C</t>
  </si>
  <si>
    <t>1251121486979</t>
  </si>
  <si>
    <t>Thép cuộn cán nóng 2.45x1270 SS400</t>
  </si>
  <si>
    <t>1251121486962</t>
  </si>
  <si>
    <t>Thép cuộn cán nóng 4.60x1200 SS400 II</t>
  </si>
  <si>
    <t>4.60×1200×C</t>
  </si>
  <si>
    <t>1251121486955</t>
  </si>
  <si>
    <t>Thép cuộn cán nóng 4.60x1200 SS400</t>
  </si>
  <si>
    <t>1251121486948</t>
  </si>
  <si>
    <t>Thép cuộn cán nóng 2.00x1240 SPHC II</t>
  </si>
  <si>
    <t>2.00×1240×C</t>
  </si>
  <si>
    <t>1251121486931</t>
  </si>
  <si>
    <t>Thép cuộn cán nóng 2.00x1240 SPHC</t>
  </si>
  <si>
    <t>1251121486924</t>
  </si>
  <si>
    <t>Thép cuộn cán nóng 2.00x1200 SPHC II</t>
  </si>
  <si>
    <t>2.00×1200×C</t>
  </si>
  <si>
    <t>1251121486917</t>
  </si>
  <si>
    <t>Thép cuộn cán nóng 2.00x1200 SPHC</t>
  </si>
  <si>
    <t>1251121486900</t>
  </si>
  <si>
    <t>Thép cuộn cán nóng 2.98x1230 SPHC II</t>
  </si>
  <si>
    <t>2.98×1230×C</t>
  </si>
  <si>
    <t>1251121486894</t>
  </si>
  <si>
    <t>Thép cuộn cán nóng 2.98x1230 SPHC</t>
  </si>
  <si>
    <t>1251121486887</t>
  </si>
  <si>
    <t>Thép cuộn cán nóng 2.48x1230 SPHC II</t>
  </si>
  <si>
    <t>2.48×1230×C</t>
  </si>
  <si>
    <t>1251121486870</t>
  </si>
  <si>
    <t>Thép cuộn cán nóng 2.48x1230 SPHC</t>
  </si>
  <si>
    <t>1251121486863</t>
  </si>
  <si>
    <t>Thép cuộn cán nóng 2.28x1230 SPHC II</t>
  </si>
  <si>
    <t>2.28×1230×C</t>
  </si>
  <si>
    <t>1251121486856</t>
  </si>
  <si>
    <t>Thép cuộn cán nóng 2.28x1230 SPHC</t>
  </si>
  <si>
    <t>1251121486849</t>
  </si>
  <si>
    <t>Thép cuộn cán nóng 2.00x1230 SPHC II</t>
  </si>
  <si>
    <t>2.00×1230×C</t>
  </si>
  <si>
    <t>1251121486832</t>
  </si>
  <si>
    <t>Thép cuộn cán nóng 2.00x1230 SPHC</t>
  </si>
  <si>
    <t>1251121486825</t>
  </si>
  <si>
    <t>Thép cuộn cán nóng 3.50x1219 SPHC II</t>
  </si>
  <si>
    <t>3.50×1219×C</t>
  </si>
  <si>
    <t>1251121486818</t>
  </si>
  <si>
    <t>Thép cuộn cán nóng 3.50x1219 SPHC</t>
  </si>
  <si>
    <t>1251121486801</t>
  </si>
  <si>
    <t>Thép cuộn cán nóng 3.00x1219 SPHC II</t>
  </si>
  <si>
    <t>3.00×1219×C</t>
  </si>
  <si>
    <t>1251121486795</t>
  </si>
  <si>
    <t>Thép cuộn cán nóng 3.00x1219 SPHC</t>
  </si>
  <si>
    <t>1251121486788</t>
  </si>
  <si>
    <t>Thép cuộn cán nóng 2.30x1219 SPHC II</t>
  </si>
  <si>
    <t>2.30×1219×C</t>
  </si>
  <si>
    <t>1251121486771</t>
  </si>
  <si>
    <t>Thép cuộn cán nóng 2.30x1219 SPHC</t>
  </si>
  <si>
    <t>1251121486764</t>
  </si>
  <si>
    <t>Thép cuộn cán nóng 2.40x1219 SPHC II</t>
  </si>
  <si>
    <t>2.40×1219×C</t>
  </si>
  <si>
    <t>1251121486757</t>
  </si>
  <si>
    <t>Thép cuộn cán nóng 2.40x1219 SPHC</t>
  </si>
  <si>
    <t>1251121486740</t>
  </si>
  <si>
    <t>Thép cuộn cán nóng 4.10x1219 SPHC II</t>
  </si>
  <si>
    <t>4.10×1219×C</t>
  </si>
  <si>
    <t>1251121486733</t>
  </si>
  <si>
    <t>Thép cuộn cán nóng 4.10x1219 SPHC</t>
  </si>
  <si>
    <t>1251121486726</t>
  </si>
  <si>
    <t>Thép cuộn cán nóng 3.25x1219 SPHC II</t>
  </si>
  <si>
    <t>3.25×1219×C</t>
  </si>
  <si>
    <t>1251121486719</t>
  </si>
  <si>
    <t>Thép cuộn cán nóng 3.25x1219 SPHC</t>
  </si>
  <si>
    <t>1251121486702</t>
  </si>
  <si>
    <t>Thép cuộn cán nóng 3.00x1200 SPA-H II</t>
  </si>
  <si>
    <t>3.00×1200×C</t>
  </si>
  <si>
    <t>1251121486528</t>
  </si>
  <si>
    <t>Thép cuộn cán nóng 3.00x1200 SPA-H</t>
  </si>
  <si>
    <t>1251121486511</t>
  </si>
  <si>
    <t>Thép cuộn cán nóng 3.00x1120 SPA-H II</t>
  </si>
  <si>
    <t>3.00×1120×C</t>
  </si>
  <si>
    <t>1251121486504</t>
  </si>
  <si>
    <t>Thép cuộn cán nóng 3.00x1120 SPA-H</t>
  </si>
  <si>
    <t>1251121486498</t>
  </si>
  <si>
    <t>Thép cuộn cán nóng 2.30x1219 SS400 II</t>
  </si>
  <si>
    <t>1251121486481</t>
  </si>
  <si>
    <t>Thép cuộn cán nóng 2.30x1219 SS400</t>
  </si>
  <si>
    <t>1251121486474</t>
  </si>
  <si>
    <t>Thép cuộn cán nóng 6.00x1200 SS400 II</t>
  </si>
  <si>
    <t>6.00×1200×C</t>
  </si>
  <si>
    <t>1251121486467</t>
  </si>
  <si>
    <t>Thép cuộn cán nóng 6.00x1200 SS400</t>
  </si>
  <si>
    <t>1251121486450</t>
  </si>
  <si>
    <t>Thép cuộn cán nóng 4.40x1310 SS400 II</t>
  </si>
  <si>
    <t>4.40×1310×C</t>
  </si>
  <si>
    <t>1251121486443</t>
  </si>
  <si>
    <t>Thép cuộn cán nóng 4.40x1310 SS400</t>
  </si>
  <si>
    <t>1251121486436</t>
  </si>
  <si>
    <t>Thép cuộn cán nóng 3.96x1310 SS400 II</t>
  </si>
  <si>
    <t>3.96×1310×C</t>
  </si>
  <si>
    <t>1251121486429</t>
  </si>
  <si>
    <t>Thép cuộn cán nóng 3.96x1310 SS400</t>
  </si>
  <si>
    <t>1251121486412</t>
  </si>
  <si>
    <t>Thép cuộn cán nóng 3.96x1420 SS400 II</t>
  </si>
  <si>
    <t>3.96×1420×C</t>
  </si>
  <si>
    <t>1251121486405</t>
  </si>
  <si>
    <t>Thép cuộn cán nóng 3.96x1420 SS400</t>
  </si>
  <si>
    <t>1251121486399</t>
  </si>
  <si>
    <t>Thép cuộn cán nóng 2.85x1420 SS400 II</t>
  </si>
  <si>
    <t>2.85×1420×C</t>
  </si>
  <si>
    <t>1251121486382</t>
  </si>
  <si>
    <t>Thép cuộn cán nóng 2.85x1420 SS400</t>
  </si>
  <si>
    <t>1251121486375</t>
  </si>
  <si>
    <t>Thép cuộn cán nóng 4.40x1219 SAE1006 II</t>
  </si>
  <si>
    <t>4.40×1219×C</t>
  </si>
  <si>
    <t>1251121486368</t>
  </si>
  <si>
    <t>Thép cuộn cán nóng 4.40x1219 SAE1006</t>
  </si>
  <si>
    <t>1251121486351</t>
  </si>
  <si>
    <t>Thép cuộn cán nóng 4.30x1219 SAE1006 II</t>
  </si>
  <si>
    <t>4.30×1219×C</t>
  </si>
  <si>
    <t>1251121486344</t>
  </si>
  <si>
    <t>Thép cuộn cán nóng 4.30x1219 SAE1006</t>
  </si>
  <si>
    <t>1251121486337</t>
  </si>
  <si>
    <t>Thép HRC HSPM 1.50x121Y SPHC II</t>
  </si>
  <si>
    <t>1251122101406</t>
  </si>
  <si>
    <t>Thép HRC HSPM 2.45x126X SAE1006 II</t>
  </si>
  <si>
    <t>2.45×1262×C</t>
  </si>
  <si>
    <t>1251122101420</t>
  </si>
  <si>
    <t>Thép HRC HSPM 3.90x126X SAE1006 II</t>
  </si>
  <si>
    <t>1251122101444</t>
  </si>
  <si>
    <t>Thép HRC HSPM 2.64x121Y ASTM A36 II</t>
  </si>
  <si>
    <t>1251122101468</t>
  </si>
  <si>
    <t>Thép HRC HSPM 3.00x121Y ASTM A36 II</t>
  </si>
  <si>
    <t>1251122101482</t>
  </si>
  <si>
    <t>Thép HRC HSPM 3.43x121Y ASTM A36 II</t>
  </si>
  <si>
    <t>1251122101505</t>
  </si>
  <si>
    <t>Thép HRC HSPM 3.43x152X ASTM A36 II</t>
  </si>
  <si>
    <t>1251122101529</t>
  </si>
  <si>
    <t>Thép HRC HSPM 4.75x121Y ASTM A36 II</t>
  </si>
  <si>
    <t>1251122101543</t>
  </si>
  <si>
    <t>Thép HRC HSPM 4.75x152X ASTM A36 II</t>
  </si>
  <si>
    <t>1251122101567</t>
  </si>
  <si>
    <t>Thép HRC HSPM 4.50x121Y S275JR II</t>
  </si>
  <si>
    <t>1251122101581</t>
  </si>
  <si>
    <t>Thép HRC HSPM 5.80x121Y S275JR II</t>
  </si>
  <si>
    <t>5.80×1217×C</t>
  </si>
  <si>
    <t>1251122101604</t>
  </si>
  <si>
    <t>Thép HRC HSPM 5.80x152X S275JR II</t>
  </si>
  <si>
    <t>5.80×1522×C</t>
  </si>
  <si>
    <t>1251122101628</t>
  </si>
  <si>
    <t>Thép HRC HSPM 2.45x152X S275JR II</t>
  </si>
  <si>
    <t>2.45×1522×C</t>
  </si>
  <si>
    <t>1251122101642</t>
  </si>
  <si>
    <t>Thép HRC HSPM 2.45x121Y S275JR II</t>
  </si>
  <si>
    <t>1251122101666</t>
  </si>
  <si>
    <t>Thép HRC HSPM 4.40x121Y S275JR II</t>
  </si>
  <si>
    <t>1251122101680</t>
  </si>
  <si>
    <t>Thép HRC HSPM 3.70x152X S275JR II</t>
  </si>
  <si>
    <t>3.70×1522×C</t>
  </si>
  <si>
    <t>1251122101703</t>
  </si>
  <si>
    <t>Thép HRC HSPM 2.00x121X SAE1006 II</t>
  </si>
  <si>
    <t>1251122101727</t>
  </si>
  <si>
    <t>Thép HRC HSPM 2.50x123Y SAE1006 II</t>
  </si>
  <si>
    <t>1251122101741</t>
  </si>
  <si>
    <t>Thép HRC HSPM 1.83x123Y SAE1006 II</t>
  </si>
  <si>
    <t>1251122101765</t>
  </si>
  <si>
    <t>Thép HRC HSPM 3.04x121Y ASTM A36 II</t>
  </si>
  <si>
    <t>3.04×1217×C</t>
  </si>
  <si>
    <t>1251122101789</t>
  </si>
  <si>
    <t>Thép HRC HSPM 3.42x121Y ASTM A36 II</t>
  </si>
  <si>
    <t>3.42×1217×C</t>
  </si>
  <si>
    <t>1251122101802</t>
  </si>
  <si>
    <t>Thép HRC HSPM 2.75x121X S275JR II</t>
  </si>
  <si>
    <t>2.75×1212×C</t>
  </si>
  <si>
    <t>1251122101826</t>
  </si>
  <si>
    <t>Thép HRC HSPM 2.85x121X S275JR II</t>
  </si>
  <si>
    <t>1251122101840</t>
  </si>
  <si>
    <t>Thép HRC HSPM 2.95x121X S275JR II</t>
  </si>
  <si>
    <t>1251122101864</t>
  </si>
  <si>
    <t>Thép HRC HSPM 3.75x121X S275JR II</t>
  </si>
  <si>
    <t>3.75×1212×C</t>
  </si>
  <si>
    <t>1251122101888</t>
  </si>
  <si>
    <t>Thép HRC HSPM 2.50x151Y S275JR II</t>
  </si>
  <si>
    <t>1251122101901</t>
  </si>
  <si>
    <t>Thép HRC HSPM 4.20x151Y S275JR II</t>
  </si>
  <si>
    <t>1251122101925</t>
  </si>
  <si>
    <t>Thép HRC HSPM 4.90x151Y S275JR II</t>
  </si>
  <si>
    <t>4.90×1517×C</t>
  </si>
  <si>
    <t>1251122101949</t>
  </si>
  <si>
    <t>Thép HRC HSPM 3.00x152X S275JR II</t>
  </si>
  <si>
    <t>1251122101963</t>
  </si>
  <si>
    <t>Thép HRC HSPM 4.00x152X S275JR II</t>
  </si>
  <si>
    <t>1251122101987</t>
  </si>
  <si>
    <t>Thép HRC HSPM 3.75x121Y S275JR II</t>
  </si>
  <si>
    <t>3.75×1217×C</t>
  </si>
  <si>
    <t>1251122102007</t>
  </si>
  <si>
    <t>Thép HRC HSPM 2.70x133Y S275JR II</t>
  </si>
  <si>
    <t>2.70×1337×C</t>
  </si>
  <si>
    <t>1251122102021</t>
  </si>
  <si>
    <t>Thép HRC HSPM 1.97x121Y SPHC II</t>
  </si>
  <si>
    <t>1251122103127</t>
  </si>
  <si>
    <t>Thép HRC HSPM 2.35x121Y SPHC II</t>
  </si>
  <si>
    <t>1251122103141</t>
  </si>
  <si>
    <t>Thép HRC HSPM 2.80x152X SPHC II</t>
  </si>
  <si>
    <t>1251122103165</t>
  </si>
  <si>
    <t>Thép HRC HSPM 2.50x120X SPHT1 II</t>
  </si>
  <si>
    <t>1251122103202</t>
  </si>
  <si>
    <t>Thép HRC HSPM 3.00x120X SPHT1 II</t>
  </si>
  <si>
    <t>1251122103226</t>
  </si>
  <si>
    <t>Thép HRC HSPM 2.00x121X S275JR II</t>
  </si>
  <si>
    <t>1251122102748</t>
  </si>
  <si>
    <t>Thép HRC HSPM 7.50x151Y S275JR II</t>
  </si>
  <si>
    <t>1251122102724</t>
  </si>
  <si>
    <t>Thép HRC HSPM 3.75x151Y S275JR II</t>
  </si>
  <si>
    <t>1251122102700</t>
  </si>
  <si>
    <t>Thép HRC HSPM 3.65x151Y S275JR II</t>
  </si>
  <si>
    <t>3.65×1517×C</t>
  </si>
  <si>
    <t>1251122102687</t>
  </si>
  <si>
    <t>Thép HRC HSPM 2.85x151Y S275JR II</t>
  </si>
  <si>
    <t>2.85×1517×C</t>
  </si>
  <si>
    <t>1251122102663</t>
  </si>
  <si>
    <t>Thép HRC HSPM 2.75x151Y S275JR II</t>
  </si>
  <si>
    <t>1251122102649</t>
  </si>
  <si>
    <t>Thép HRC HSPM 2.65x151Y S275JR II</t>
  </si>
  <si>
    <t>1251122102625</t>
  </si>
  <si>
    <t>Thép HRC HSPM 5.70x121X S275JR II</t>
  </si>
  <si>
    <t>5.70×1212×C</t>
  </si>
  <si>
    <t>1251122102601</t>
  </si>
  <si>
    <t>Thép HRC HSPM 5.80x151X S275JR II</t>
  </si>
  <si>
    <t>1251122102588</t>
  </si>
  <si>
    <t>Thép HRC HSPM 4.30x151X S275JR II</t>
  </si>
  <si>
    <t>1251122102564</t>
  </si>
  <si>
    <t>Thép HRC HSPM 4.30x121X S275JR II</t>
  </si>
  <si>
    <t>1251122102540</t>
  </si>
  <si>
    <t>Thép HRC HSPM 3.80x121X S275JR II</t>
  </si>
  <si>
    <t>3.80×1212×C</t>
  </si>
  <si>
    <t>1251122102526</t>
  </si>
  <si>
    <t>Thép HRC HSPM 5.70x152X S275JR II</t>
  </si>
  <si>
    <t>5.70×1522×C</t>
  </si>
  <si>
    <t>1251122102502</t>
  </si>
  <si>
    <t>Thép HRC HSPM 4.70x152X S275JR II</t>
  </si>
  <si>
    <t>4.70×1522×C</t>
  </si>
  <si>
    <t>1251122102489</t>
  </si>
  <si>
    <t>Thép HRC HSPM 4.70x121Y S275JR II</t>
  </si>
  <si>
    <t>4.70×1217×C</t>
  </si>
  <si>
    <t>1251122102465</t>
  </si>
  <si>
    <t>Thép HRC HSPM 4.30x152X S275JR II</t>
  </si>
  <si>
    <t>4.30×1522×C</t>
  </si>
  <si>
    <t>1251122102441</t>
  </si>
  <si>
    <t>Thép HRC HSPM 4.30x121Y S275JR II</t>
  </si>
  <si>
    <t>4.30×1217×C</t>
  </si>
  <si>
    <t>1251122102427</t>
  </si>
  <si>
    <t>Thép HRC HSPM 3.70x121Y S275JR II</t>
  </si>
  <si>
    <t>3.70×1217×C</t>
  </si>
  <si>
    <t>1251122102403</t>
  </si>
  <si>
    <t>Thép HRC HSPM 2.70x121Y S275JR II</t>
  </si>
  <si>
    <t>2.70×1217×C</t>
  </si>
  <si>
    <t>1251122102380</t>
  </si>
  <si>
    <t>Thép HRC HSPM 2.50x113X S275JR II</t>
  </si>
  <si>
    <t>1251122102366</t>
  </si>
  <si>
    <t>Thép HRC HSPM 2.00x121Y S235JR II</t>
  </si>
  <si>
    <t>1251122103103</t>
  </si>
  <si>
    <t>Thép HRC HSPM 3.20x121Y S235JR II</t>
  </si>
  <si>
    <t>1251122103080</t>
  </si>
  <si>
    <t>Thép HRC HSPM 2.75x121Y S235JR II</t>
  </si>
  <si>
    <t>1251122103066</t>
  </si>
  <si>
    <t>Thép HRC HSPM 5.90x152X S275JR II</t>
  </si>
  <si>
    <t>5.90×1522×C</t>
  </si>
  <si>
    <t>1251122103042</t>
  </si>
  <si>
    <t>Thép HRC HSPM 5.60x152X S275JR II</t>
  </si>
  <si>
    <t>5.60×1522×C</t>
  </si>
  <si>
    <t>1251122103028</t>
  </si>
  <si>
    <t>Thép HRC HSPM 5.90x121Y S275JR II</t>
  </si>
  <si>
    <t>1251122103004</t>
  </si>
  <si>
    <t>Thép HRC HSPM 5.85x152X S275JR II</t>
  </si>
  <si>
    <t>5.85×1522×C</t>
  </si>
  <si>
    <t>1251122102984</t>
  </si>
  <si>
    <t>Thép HRC HSPM 3.85x152X S275JR II</t>
  </si>
  <si>
    <t>1251122102960</t>
  </si>
  <si>
    <t>Thép HRC HSPM 5.85x121Y S275JR II</t>
  </si>
  <si>
    <t>5.85×1217×C</t>
  </si>
  <si>
    <t>1251122102946</t>
  </si>
  <si>
    <t>Thép HRC HSPM 3.85x121Y S275JR II</t>
  </si>
  <si>
    <t>1251122102922</t>
  </si>
  <si>
    <t>Thép HRC HSPM 5.80x151Y S275JR II</t>
  </si>
  <si>
    <t>1251122102908</t>
  </si>
  <si>
    <t>Thép HRC HSPM 4.40x151Y S275JR II</t>
  </si>
  <si>
    <t>4.40×1517×C</t>
  </si>
  <si>
    <t>1251122102885</t>
  </si>
  <si>
    <t>Thép HRC HSPM 3.10x151Y S275JR II</t>
  </si>
  <si>
    <t>1251122102861</t>
  </si>
  <si>
    <t>Thép HRC HSPM 2.40x151Y S275JR II</t>
  </si>
  <si>
    <t>1251122102847</t>
  </si>
  <si>
    <t>Thép HRC HSPM 5.80x121X S275JR II</t>
  </si>
  <si>
    <t>5.80×1212×C</t>
  </si>
  <si>
    <t>1251122102823</t>
  </si>
  <si>
    <t>Thép HRC HSPM 4.40x121X S275JR II</t>
  </si>
  <si>
    <t>4.40×1212×C</t>
  </si>
  <si>
    <t>1251122102809</t>
  </si>
  <si>
    <t>Thép HRC HSPM 3.90x121X S275JR II</t>
  </si>
  <si>
    <t>3.90×1212×C</t>
  </si>
  <si>
    <t>1251122102786</t>
  </si>
  <si>
    <t>Thép HRC HSPM 2.90x121X S275JR II</t>
  </si>
  <si>
    <t>2.90×1212×C</t>
  </si>
  <si>
    <t>1251122102762</t>
  </si>
  <si>
    <t>Thép HRC HSPM 2.50x121Y S275JR II</t>
  </si>
  <si>
    <t>1251122102342</t>
  </si>
  <si>
    <t>Thép HRC HSPM 3.00x121Y S275JR II</t>
  </si>
  <si>
    <t>1251122102328</t>
  </si>
  <si>
    <t>Thép HRC HSPM 3.90x152X S275JR II</t>
  </si>
  <si>
    <t>3.90×1522×C</t>
  </si>
  <si>
    <t>1251122102304</t>
  </si>
  <si>
    <t>Thép HRC HSPM 2.50x152X S275JR II</t>
  </si>
  <si>
    <t>1251122102281</t>
  </si>
  <si>
    <t>Thép HRC HSPM 2.83x121Y S275JR II</t>
  </si>
  <si>
    <t>1251122102267</t>
  </si>
  <si>
    <t>Thép HRC HSPM 2.65x121Y S275JR II</t>
  </si>
  <si>
    <t>2.65×1217×C</t>
  </si>
  <si>
    <t>1251122102243</t>
  </si>
  <si>
    <t>Thép HRC HSPM 3.80x152X S275JR II</t>
  </si>
  <si>
    <t>3.80×1522×C</t>
  </si>
  <si>
    <t>1251122102229</t>
  </si>
  <si>
    <t>Thép HRC HSPM 3.85x151Y S275JR II</t>
  </si>
  <si>
    <t>1251122102205</t>
  </si>
  <si>
    <t>Thép HRC HSPM 3.85x121X S275JR II</t>
  </si>
  <si>
    <t>1251122102182</t>
  </si>
  <si>
    <t>Thép HRC HSPM 2.70x121X S275JR II</t>
  </si>
  <si>
    <t>2.70×1212×C</t>
  </si>
  <si>
    <t>1251122102168</t>
  </si>
  <si>
    <t>Thép HRC HSPM 2.68x152X S275JR II</t>
  </si>
  <si>
    <t>1251122102144</t>
  </si>
  <si>
    <t>Thép HRC HSPM 8.60x121Y S275JR II</t>
  </si>
  <si>
    <t>8.60×1217×C</t>
  </si>
  <si>
    <t>1251122102120</t>
  </si>
  <si>
    <t>Thép HRC HSPM 2.90x121Y S275JR II</t>
  </si>
  <si>
    <t>2.90×1217×C</t>
  </si>
  <si>
    <t>1251122102106</t>
  </si>
  <si>
    <t>Thép HRC HSPM 2.68x121Y S275JR II</t>
  </si>
  <si>
    <t>1251122102083</t>
  </si>
  <si>
    <t>Thép HRC HSPM 5.80x133Y S275JR II</t>
  </si>
  <si>
    <t>1251122102069</t>
  </si>
  <si>
    <t>Thép HRC HSPM 4.80x133Y S275JR II</t>
  </si>
  <si>
    <t>1251122102045</t>
  </si>
  <si>
    <t>Thép HRC HSPM 1.75x121Y SPHC II</t>
  </si>
  <si>
    <t>1251122103189</t>
  </si>
  <si>
    <t>Thép HRC HSPM 2.25x151Y S275JR II</t>
  </si>
  <si>
    <t>1251122112686</t>
  </si>
  <si>
    <t>Thép HRC HSPM 5.62x151Y S275JR II</t>
  </si>
  <si>
    <t>5.62×1517×C</t>
  </si>
  <si>
    <t>1251122112709</t>
  </si>
  <si>
    <t>Thép HRC HSPM 1.60x121X SPHC II</t>
  </si>
  <si>
    <t>1251122112723</t>
  </si>
  <si>
    <t>Thép HRC HSPM 4.90x150X SS400 II</t>
  </si>
  <si>
    <t>1251122112853</t>
  </si>
  <si>
    <t>Thép HRC HSPM 5.80x150X SS400 II</t>
  </si>
  <si>
    <t>5.80×1502×C</t>
  </si>
  <si>
    <t>1251122112877</t>
  </si>
  <si>
    <t>Thép HRC HSPM 2.42x122X SAE1006 II</t>
  </si>
  <si>
    <t>1251122112891</t>
  </si>
  <si>
    <t>Thép HRC HSPM 2.42x102X SAE1006 II</t>
  </si>
  <si>
    <t>1251122112914</t>
  </si>
  <si>
    <t>Thép HRC HSPM 2.00x101X S235JR II</t>
  </si>
  <si>
    <t>1251122112938</t>
  </si>
  <si>
    <t>Thép HRC HSPM 2.35x101X S235JR II</t>
  </si>
  <si>
    <t>1251122112952</t>
  </si>
  <si>
    <t>Thép HRC HSPM 2.50x101X S235JR II</t>
  </si>
  <si>
    <t>1251122112976</t>
  </si>
  <si>
    <t>Thép HRC HSPM 3.00x101X S235JR II</t>
  </si>
  <si>
    <t>1251122112990</t>
  </si>
  <si>
    <t>Thép HRC HSPM 4.00x101X S235JR II</t>
  </si>
  <si>
    <t>1251122113010</t>
  </si>
  <si>
    <t>Thép HRC HSPM 4.55x101X S235JR II</t>
  </si>
  <si>
    <t>1251122113034</t>
  </si>
  <si>
    <t>Thép HRC HSPM 1.80x126X S235JR II</t>
  </si>
  <si>
    <t>1251122113058</t>
  </si>
  <si>
    <t>Thép HRC HSPM 2.00x126X S235JR II</t>
  </si>
  <si>
    <t>1251122113072</t>
  </si>
  <si>
    <t>Thép HRC HSPM 3.00x126X S235JR II</t>
  </si>
  <si>
    <t>1251122113096</t>
  </si>
  <si>
    <t>Thép HRC HSPM 2.35x126X S235JR II</t>
  </si>
  <si>
    <t>1251122113119</t>
  </si>
  <si>
    <t>Thép HRC HSPM 2.50x126X S235JR II</t>
  </si>
  <si>
    <t>1251122113133</t>
  </si>
  <si>
    <t>Thép HRC HSPM 2.85x126X S235JR II</t>
  </si>
  <si>
    <t>1251122113157</t>
  </si>
  <si>
    <t>Thép HRC HSPM 4.00x126X S235JR II</t>
  </si>
  <si>
    <t>1251122113171</t>
  </si>
  <si>
    <t>Thép HRC HSPM 2.00x121X SAE1006</t>
  </si>
  <si>
    <t>1251122101710</t>
  </si>
  <si>
    <t>Thép HRC HSPM 2.50x123Y SAE1006</t>
  </si>
  <si>
    <t>1251122101734</t>
  </si>
  <si>
    <t>Thép HRC HSPM 1.83x123Y SAE1006</t>
  </si>
  <si>
    <t>1251122101758</t>
  </si>
  <si>
    <t>Thép HRC HSPM 3.04x121Y ASTM A36</t>
  </si>
  <si>
    <t>1251122101772</t>
  </si>
  <si>
    <t>Thép HRC HSPM 3.42x121Y ASTM A36</t>
  </si>
  <si>
    <t>1251122101796</t>
  </si>
  <si>
    <t>Thép HRC HSPM 2.75x121X S275JR</t>
  </si>
  <si>
    <t>1251122101819</t>
  </si>
  <si>
    <t>Thép HRC HSPM 2.85x121X S275JR</t>
  </si>
  <si>
    <t>1251122101833</t>
  </si>
  <si>
    <t>Thép HRC HSPM 2.95x121X S275JR</t>
  </si>
  <si>
    <t>1251122101857</t>
  </si>
  <si>
    <t>Thép HRC HSPM 3.75x121X S275JR</t>
  </si>
  <si>
    <t>1251122101871</t>
  </si>
  <si>
    <t>Thép HRC HSPM 2.50x151Y S275JR</t>
  </si>
  <si>
    <t>1251122101895</t>
  </si>
  <si>
    <t>Thép HRC HSPM 4.20x151Y S275JR</t>
  </si>
  <si>
    <t>1251122101918</t>
  </si>
  <si>
    <t>Thép HRC HSPM 4.90x151Y S275JR</t>
  </si>
  <si>
    <t>1251122101932</t>
  </si>
  <si>
    <t>Thép HRC HSPM 3.00x152X S275JR</t>
  </si>
  <si>
    <t>1251122101956</t>
  </si>
  <si>
    <t>Thép HRC HSPM 4.00x152X S275JR</t>
  </si>
  <si>
    <t>1251122101970</t>
  </si>
  <si>
    <t>Thép HRC HSPM 3.75x121Y S275JR</t>
  </si>
  <si>
    <t>1251122101994</t>
  </si>
  <si>
    <t>Thép HRC HSPM 2.70x133Y S275JR</t>
  </si>
  <si>
    <t>1251122102014</t>
  </si>
  <si>
    <t>Thép HRC HSPM 4.80x133Y S275JR</t>
  </si>
  <si>
    <t>1251122102038</t>
  </si>
  <si>
    <t>Thép HRC HSPM 5.80x133Y S275JR</t>
  </si>
  <si>
    <t>1251122102052</t>
  </si>
  <si>
    <t>Thép HRC HSPM 2.68x121Y S275JR</t>
  </si>
  <si>
    <t>1251122102076</t>
  </si>
  <si>
    <t>Thép HRC HSPM 2.90x121Y S275JR</t>
  </si>
  <si>
    <t>1251122102090</t>
  </si>
  <si>
    <t>Thép HRC HSPM 8.60x121Y S275JR</t>
  </si>
  <si>
    <t>1251122102113</t>
  </si>
  <si>
    <t>Thép HRC HSPM 2.68x152X S275JR</t>
  </si>
  <si>
    <t>1251122102137</t>
  </si>
  <si>
    <t>Thép HRC HSPM 2.70x121X S275JR</t>
  </si>
  <si>
    <t>1251122102151</t>
  </si>
  <si>
    <t>Thép HRC HSPM 3.85x121X S275JR</t>
  </si>
  <si>
    <t>1251122102175</t>
  </si>
  <si>
    <t>Thép HRC HSPM 3.85x151Y S275JR</t>
  </si>
  <si>
    <t>1251122102199</t>
  </si>
  <si>
    <t>Thép HRC HSPM 3.80x152X S275JR</t>
  </si>
  <si>
    <t>1251122102212</t>
  </si>
  <si>
    <t>Thép HRC HSPM 2.65x121Y S275JR</t>
  </si>
  <si>
    <t>1251122102236</t>
  </si>
  <si>
    <t>Thép HRC HSPM 2.83x121Y S275JR</t>
  </si>
  <si>
    <t>1251122102250</t>
  </si>
  <si>
    <t>Thép HRC HSPM 2.50x152X S275JR</t>
  </si>
  <si>
    <t>1251122102274</t>
  </si>
  <si>
    <t>Thép HRC HSPM 3.90x152X S275JR</t>
  </si>
  <si>
    <t>1251122102298</t>
  </si>
  <si>
    <t>Thép HRC HSPM 3.00x121Y S275JR</t>
  </si>
  <si>
    <t>1251122102311</t>
  </si>
  <si>
    <t>Thép HRC HSPM 2.50x121Y S275JR</t>
  </si>
  <si>
    <t>1251122102335</t>
  </si>
  <si>
    <t>Thép HRC HSPM 2.50x113X S275JR</t>
  </si>
  <si>
    <t>1251122102359</t>
  </si>
  <si>
    <t>Thép HRC HSPM 2.70x121Y S275JR</t>
  </si>
  <si>
    <t>1251122102373</t>
  </si>
  <si>
    <t>Thép HRC HSPM 3.70x121Y S275JR</t>
  </si>
  <si>
    <t>1251122102397</t>
  </si>
  <si>
    <t>Thép HRC HSPM 4.30x121Y S275JR</t>
  </si>
  <si>
    <t>1251122102410</t>
  </si>
  <si>
    <t>Thép HRC HSPM 4.30x152X S275JR</t>
  </si>
  <si>
    <t>1251122102434</t>
  </si>
  <si>
    <t>Thép HRC HSPM 4.70x121Y S275JR</t>
  </si>
  <si>
    <t>1251122102458</t>
  </si>
  <si>
    <t>Thép HRC HSPM 4.70x152X S275JR</t>
  </si>
  <si>
    <t>1251122102472</t>
  </si>
  <si>
    <t>Thép HRC HSPM 5.70x152X S275JR</t>
  </si>
  <si>
    <t>1251122102496</t>
  </si>
  <si>
    <t>Thép HRC HSPM 3.80x121X S275JR</t>
  </si>
  <si>
    <t>1251122102519</t>
  </si>
  <si>
    <t>Thép HRC HSPM 4.30x121X S275JR</t>
  </si>
  <si>
    <t>1251122102533</t>
  </si>
  <si>
    <t>Thép HRC HSPM 4.30x151X S275JR</t>
  </si>
  <si>
    <t>1251122102557</t>
  </si>
  <si>
    <t>Thép HRC HSPM 5.80x151X S275JR</t>
  </si>
  <si>
    <t>1251122102571</t>
  </si>
  <si>
    <t>Thép HRC HSPM 5.70x121X S275JR</t>
  </si>
  <si>
    <t>1251122102595</t>
  </si>
  <si>
    <t>Thép HRC HSPM 2.65x151Y S275JR</t>
  </si>
  <si>
    <t>1251122102618</t>
  </si>
  <si>
    <t>Thép HRC HSPM 2.75x151Y S275JR</t>
  </si>
  <si>
    <t>1251122102632</t>
  </si>
  <si>
    <t>Thép HRC HSPM 2.85x151Y S275JR</t>
  </si>
  <si>
    <t>1251122102656</t>
  </si>
  <si>
    <t>Thép HRC HSPM 3.65x151Y S275JR</t>
  </si>
  <si>
    <t>1251122102670</t>
  </si>
  <si>
    <t>Thép HRC HSPM 3.75x151Y S275JR</t>
  </si>
  <si>
    <t>1251122102694</t>
  </si>
  <si>
    <t>Thép HRC HSPM 7.50x151Y S275JR</t>
  </si>
  <si>
    <t>1251122102717</t>
  </si>
  <si>
    <t>Thép HRC HSPM 2.90x121X S275JR</t>
  </si>
  <si>
    <t>1251122102755</t>
  </si>
  <si>
    <t>Thép HRC HSPM 3.90x121X S275JR</t>
  </si>
  <si>
    <t>1251122102779</t>
  </si>
  <si>
    <t>Thép HRC HSPM 4.40x121X S275JR</t>
  </si>
  <si>
    <t>1251122102793</t>
  </si>
  <si>
    <t>Thép HRC HSPM 5.80x121X S275JR</t>
  </si>
  <si>
    <t>1251122102816</t>
  </si>
  <si>
    <t>Thép HRC HSPM 2.40x151Y S275JR</t>
  </si>
  <si>
    <t>1251122102830</t>
  </si>
  <si>
    <t>Thép HRC HSPM 3.10x151Y S275JR</t>
  </si>
  <si>
    <t>1251122102854</t>
  </si>
  <si>
    <t>Thép HRC HSPM 4.40x151Y S275JR</t>
  </si>
  <si>
    <t>1251122102878</t>
  </si>
  <si>
    <t>Thép HRC HSPM 5.80x151Y S275JR</t>
  </si>
  <si>
    <t>1251122102892</t>
  </si>
  <si>
    <t>Thép HRC HSPM 3.85x121Y S275JR</t>
  </si>
  <si>
    <t>1251122102915</t>
  </si>
  <si>
    <t>Thép HRC HSPM 5.85x121Y S275JR</t>
  </si>
  <si>
    <t>1251122102939</t>
  </si>
  <si>
    <t>Thép HRC HSPM 3.85x152X S275JR</t>
  </si>
  <si>
    <t>1251122102953</t>
  </si>
  <si>
    <t>Thép HRC HSPM 5.85x152X S275JR</t>
  </si>
  <si>
    <t>1251122102977</t>
  </si>
  <si>
    <t>Thép HRC HSPM 5.90x121Y S275JR</t>
  </si>
  <si>
    <t>1251122102991</t>
  </si>
  <si>
    <t>Thép HRC HSPM 5.60x152X S275JR</t>
  </si>
  <si>
    <t>1251122103011</t>
  </si>
  <si>
    <t>Thép HRC HSPM 5.90x152X S275JR</t>
  </si>
  <si>
    <t>1251122103035</t>
  </si>
  <si>
    <t>Thép HRC HSPM 2.75x121Y S235JR</t>
  </si>
  <si>
    <t>1251122103059</t>
  </si>
  <si>
    <t>Thép HRC HSPM 3.20x121Y S235JR</t>
  </si>
  <si>
    <t>1251122103073</t>
  </si>
  <si>
    <t>Thép HRC HSPM 2.00x121Y S235JR</t>
  </si>
  <si>
    <t>1251122103097</t>
  </si>
  <si>
    <t>Thép HRC HSPM 1.97x121Y SPHC</t>
  </si>
  <si>
    <t>1251122103110</t>
  </si>
  <si>
    <t>Thép HRC HSPM 2.35x121Y SPHC</t>
  </si>
  <si>
    <t>1251122103134</t>
  </si>
  <si>
    <t>Thép HRC HSPM 2.80x152X SPHC</t>
  </si>
  <si>
    <t>1251122103158</t>
  </si>
  <si>
    <t>Thép HRC HSPM 1.75x121Y SPHC</t>
  </si>
  <si>
    <t>1251122103172</t>
  </si>
  <si>
    <t>Thép HRC HSPM 2.00x121X S275JR</t>
  </si>
  <si>
    <t>1251122102731</t>
  </si>
  <si>
    <t>Thép HRC HSPM 1.50x121Y SPHC</t>
  </si>
  <si>
    <t>1251122101390</t>
  </si>
  <si>
    <t>Thép HRC HSPM 2.45x126X SAE1006</t>
  </si>
  <si>
    <t>1251122101413</t>
  </si>
  <si>
    <t>Thép HRC HSPM 3.90x126X SAE1006</t>
  </si>
  <si>
    <t>1251122101437</t>
  </si>
  <si>
    <t>Thép HRC HSPM 2.64x121Y ASTM A36</t>
  </si>
  <si>
    <t>1251122101451</t>
  </si>
  <si>
    <t>Thép HRC HSPM 3.00x121Y ASTM A36</t>
  </si>
  <si>
    <t>1251122101475</t>
  </si>
  <si>
    <t>Thép HRC HSPM 3.43x121Y ASTM A36</t>
  </si>
  <si>
    <t>1251122101499</t>
  </si>
  <si>
    <t>Thép HRC HSPM 3.43x152X ASTM A36</t>
  </si>
  <si>
    <t>1251122101512</t>
  </si>
  <si>
    <t>Thép HRC HSPM 4.75x121Y ASTM A36</t>
  </si>
  <si>
    <t>1251122101536</t>
  </si>
  <si>
    <t>Thép HRC HSPM 4.75x152X ASTM A36</t>
  </si>
  <si>
    <t>1251122101550</t>
  </si>
  <si>
    <t>Thép HRC HSPM 4.50x121Y S275JR</t>
  </si>
  <si>
    <t>1251122101574</t>
  </si>
  <si>
    <t>Thép HRC HSPM 5.80x121Y S275JR</t>
  </si>
  <si>
    <t>1251122101598</t>
  </si>
  <si>
    <t>Thép HRC HSPM 5.80x152X S275JR</t>
  </si>
  <si>
    <t>1251122101611</t>
  </si>
  <si>
    <t>Thép HRC HSPM 2.45x152X S275JR</t>
  </si>
  <si>
    <t>1251122101635</t>
  </si>
  <si>
    <t>Thép HRC HSPM 2.45x121Y S275JR</t>
  </si>
  <si>
    <t>1251122101659</t>
  </si>
  <si>
    <t>Thép HRC HSPM 4.40x121Y S275JR</t>
  </si>
  <si>
    <t>1251122101673</t>
  </si>
  <si>
    <t>Thép HRC HSPM 3.70x152X S275JR</t>
  </si>
  <si>
    <t>1251122101697</t>
  </si>
  <si>
    <t>Thép HRC HSPM 2.50x120X SPHT1</t>
  </si>
  <si>
    <t>1251122103196</t>
  </si>
  <si>
    <t>Thép HRC HSPM 3.00x120X SPHT1</t>
  </si>
  <si>
    <t>1251122103219</t>
  </si>
  <si>
    <t>Thép HRC HSPM 2.25x151Y S275JR</t>
  </si>
  <si>
    <t>1251122112679</t>
  </si>
  <si>
    <t>Thép HRC HSPM 5.62x151Y S275JR</t>
  </si>
  <si>
    <t>1251122112693</t>
  </si>
  <si>
    <t>Thép HRC HSPM 1.60x121X SPHC</t>
  </si>
  <si>
    <t>1251122112716</t>
  </si>
  <si>
    <t>Thép HRC HSPM 4.90x150X SS400</t>
  </si>
  <si>
    <t>1251122112846</t>
  </si>
  <si>
    <t>Thép HRC HSPM 5.80x150X SS400</t>
  </si>
  <si>
    <t>1251122112860</t>
  </si>
  <si>
    <t>Thép HRC HSPM 2.42x122X SAE1006</t>
  </si>
  <si>
    <t>1251122112884</t>
  </si>
  <si>
    <t>Thép HRC HSPM 2.42x102X SAE1006</t>
  </si>
  <si>
    <t>1251122112907</t>
  </si>
  <si>
    <t>Thép HRC HSPM 2.00x101X S235JR</t>
  </si>
  <si>
    <t>1251122112921</t>
  </si>
  <si>
    <t>Thép HRC HSPM 2.35x101X S235JR</t>
  </si>
  <si>
    <t>1251122112945</t>
  </si>
  <si>
    <t>Thép HRC HSPM 2.50x101X S235JR</t>
  </si>
  <si>
    <t>1251122112969</t>
  </si>
  <si>
    <t>Thép HRC HSPM 3.00x101X S235JR</t>
  </si>
  <si>
    <t>1251122112983</t>
  </si>
  <si>
    <t>Thép HRC HSPM 4.00x101X S235JR</t>
  </si>
  <si>
    <t>1251122113003</t>
  </si>
  <si>
    <t>Thép HRC HSPM 4.55x101X S235JR</t>
  </si>
  <si>
    <t>1251122113027</t>
  </si>
  <si>
    <t>Thép HRC HSPM 1.80x126X S235JR</t>
  </si>
  <si>
    <t>1251122113041</t>
  </si>
  <si>
    <t>Thép HRC HSPM 2.00x126X S235JR</t>
  </si>
  <si>
    <t>1251122113065</t>
  </si>
  <si>
    <t>Thép HRC HSPM 3.00x126X S235JR</t>
  </si>
  <si>
    <t>1251122113089</t>
  </si>
  <si>
    <t>Thép HRC HSPM 2.35x126X S235JR</t>
  </si>
  <si>
    <t>1251122113102</t>
  </si>
  <si>
    <t>Thép HRC HSPM 2.50x126X S235JR</t>
  </si>
  <si>
    <t>1251122113126</t>
  </si>
  <si>
    <t>Thép HRC HSPM 2.85x126X S235JR</t>
  </si>
  <si>
    <t>1251122113140</t>
  </si>
  <si>
    <t>Thép HRC HSPM 4.00x126X S235JR</t>
  </si>
  <si>
    <t>1251122113164</t>
  </si>
  <si>
    <t>Thép cuộn cán nóng 3.00x131Y SAE1006 II</t>
  </si>
  <si>
    <t>3.00×1317×C</t>
  </si>
  <si>
    <t>1251121977095</t>
  </si>
  <si>
    <t>Thép cuộn cán nóng 3.00x131Y SAE1006</t>
  </si>
  <si>
    <t>1251121977088</t>
  </si>
  <si>
    <t>Thép cuộn cán nóng 3.00x131X SAE1006 II</t>
  </si>
  <si>
    <t>3.00×1312×C</t>
  </si>
  <si>
    <t>1251121977071</t>
  </si>
  <si>
    <t>Thép cuộn cán nóng 3.00x131X SAE1006</t>
  </si>
  <si>
    <t>1251121977064</t>
  </si>
  <si>
    <t>Thép cuộn cán nóng 2.80x102X SAE1006 II</t>
  </si>
  <si>
    <t>2.80×1022×C</t>
  </si>
  <si>
    <t>1251121977057</t>
  </si>
  <si>
    <t>Thép cuộn cán nóng 2.80x102X SAE1006</t>
  </si>
  <si>
    <t>1251121977040</t>
  </si>
  <si>
    <t>Thép cuộn cán nóng 2.30x116X SAE1006 II</t>
  </si>
  <si>
    <t>2.30×1162×C</t>
  </si>
  <si>
    <t>1251121976982</t>
  </si>
  <si>
    <t>Thép cuộn cán nóng 2.30x116X SAE1006</t>
  </si>
  <si>
    <t>1251121976975</t>
  </si>
  <si>
    <t>Thép cuộn cán nóng 2.75x122X SAE1006 II</t>
  </si>
  <si>
    <t>2.75×1222×C</t>
  </si>
  <si>
    <t>1251121976821</t>
  </si>
  <si>
    <t>Thép cuộn cán nóng 2.75x122X SAE1006</t>
  </si>
  <si>
    <t>1251121976814</t>
  </si>
  <si>
    <t>Thép cuộn cán nóng 2.75x121X SAE1017 II</t>
  </si>
  <si>
    <t>1251121976807</t>
  </si>
  <si>
    <t>Thép cuộn cán nóng 2.75x121X SAE1017</t>
  </si>
  <si>
    <t>1251121976791</t>
  </si>
  <si>
    <t>Thép cuộn cán nóng 2.00x113X SPA-H II</t>
  </si>
  <si>
    <t>2.00×1132×C</t>
  </si>
  <si>
    <t>1251121976364</t>
  </si>
  <si>
    <t>Thép cuộn cán nóng 2.00x113X SPA-H</t>
  </si>
  <si>
    <t>1251121976357</t>
  </si>
  <si>
    <t>Thép cuộn cán nóng 2.75x102X SAE1006 II</t>
  </si>
  <si>
    <t>2.75×1022×C</t>
  </si>
  <si>
    <t>1251121976340</t>
  </si>
  <si>
    <t>Thép cuộn cán nóng 2.75x102X SAE1006</t>
  </si>
  <si>
    <t>1251121976333</t>
  </si>
  <si>
    <t>Thép cuộn cán nóng 3.80x101X SAE1006 II</t>
  </si>
  <si>
    <t>3.80×1012×C</t>
  </si>
  <si>
    <t>1251121976326</t>
  </si>
  <si>
    <t>Thép cuộn cán nóng 3.80x101X SAE1006</t>
  </si>
  <si>
    <t>1251121976319</t>
  </si>
  <si>
    <t>Thép cuộn cán nóng 4.00x126X S235JR II</t>
  </si>
  <si>
    <t>1251121975916</t>
  </si>
  <si>
    <t>Thép cuộn cán nóng 2.85x126X S235JR II</t>
  </si>
  <si>
    <t>1251121975909</t>
  </si>
  <si>
    <t>Thép cuộn cán nóng 2.50x126X S235JR II</t>
  </si>
  <si>
    <t>1251121975893</t>
  </si>
  <si>
    <t>Thép cuộn cán nóng 2.35x126X S235JR II</t>
  </si>
  <si>
    <t>1251121975886</t>
  </si>
  <si>
    <t>Thép cuộn cán nóng 3.00x126X S235JR II</t>
  </si>
  <si>
    <t>1251121975879</t>
  </si>
  <si>
    <t>Thép cuộn cán nóng 2.00x126X S235JR II</t>
  </si>
  <si>
    <t>1251121975862</t>
  </si>
  <si>
    <t>Thép cuộn cán nóng 1.80x126X S235JR II</t>
  </si>
  <si>
    <t>1251121975855</t>
  </si>
  <si>
    <t>Thép cuộn cán nóng 4.55x101X S235JR II</t>
  </si>
  <si>
    <t>1251121975848</t>
  </si>
  <si>
    <t>Thép cuộn cán nóng 4.00x101X S235JR II</t>
  </si>
  <si>
    <t>1251121975831</t>
  </si>
  <si>
    <t>Thép cuộn cán nóng 3.00x101X S235JR II</t>
  </si>
  <si>
    <t>1251121975824</t>
  </si>
  <si>
    <t>Thép cuộn cán nóng 2.50x101X S235JR II</t>
  </si>
  <si>
    <t>1251121975817</t>
  </si>
  <si>
    <t>Thép cuộn cán nóng 2.35x101X S235JR II</t>
  </si>
  <si>
    <t>1251121975800</t>
  </si>
  <si>
    <t>Thép cuộn cán nóng 2.00x101X S235JR II</t>
  </si>
  <si>
    <t>1251121975794</t>
  </si>
  <si>
    <t>Thép cuộn cán nóng 1.70x125X S235JR II</t>
  </si>
  <si>
    <t>1251121974162</t>
  </si>
  <si>
    <t>Thép cuộn cán nóng 1.70x125X S235JR</t>
  </si>
  <si>
    <t>1251121974155</t>
  </si>
  <si>
    <t>Thép cuộn cán nóng 2.45x150X SS400 II</t>
  </si>
  <si>
    <t>2.45×1502×C</t>
  </si>
  <si>
    <t>1251121974148</t>
  </si>
  <si>
    <t>Thép cuộn cán nóng 2.45x150X SS400</t>
  </si>
  <si>
    <t>1251121974131</t>
  </si>
  <si>
    <t>Thép cuộn cán nóng 3.90x121X SAE1006</t>
  </si>
  <si>
    <t>1251121964309</t>
  </si>
  <si>
    <t>Thép cuộn cán nóng 3.90x101Y SAE1006 II</t>
  </si>
  <si>
    <t>3.90×1017×C</t>
  </si>
  <si>
    <t>1251121964293</t>
  </si>
  <si>
    <t>Thép cuộn cán nóng 3.90x101Y SAE1006</t>
  </si>
  <si>
    <t>1251121964286</t>
  </si>
  <si>
    <t>Thép cuộn cán nóng 3.50x101Y SAE1006 II</t>
  </si>
  <si>
    <t>3.50×1017×C</t>
  </si>
  <si>
    <t>1251121964279</t>
  </si>
  <si>
    <t>Thép cuộn cán nóng 3.50x101Y SAE1006</t>
  </si>
  <si>
    <t>1251121964262</t>
  </si>
  <si>
    <t>Thép cuộn cán nóng 1.56x121X SPHC II</t>
  </si>
  <si>
    <t>1.56×1212×C</t>
  </si>
  <si>
    <t>1251121964255</t>
  </si>
  <si>
    <t>Thép cuộn cán nóng 1.56x121X SPHC</t>
  </si>
  <si>
    <t>1251121964248</t>
  </si>
  <si>
    <t>Thép cuộn cán nóng 1.93x121Y SPHC II</t>
  </si>
  <si>
    <t>1.93×1217×C</t>
  </si>
  <si>
    <t>1251121964231</t>
  </si>
  <si>
    <t>Thép cuộn cán nóng 1.93x121Y SPHC</t>
  </si>
  <si>
    <t>1251121964224</t>
  </si>
  <si>
    <t>Thép cuộn cán nóng 3.90x121X SPHC II</t>
  </si>
  <si>
    <t>1251121964217</t>
  </si>
  <si>
    <t>Thép cuộn cán nóng 3.90x121X SPHC</t>
  </si>
  <si>
    <t>1251121964200</t>
  </si>
  <si>
    <t>Thép cuộn cán nóng 2.93x121X SPHC II</t>
  </si>
  <si>
    <t>2.93×1212×C</t>
  </si>
  <si>
    <t>1251121964194</t>
  </si>
  <si>
    <t>Thép cuộn cán nóng 2.93x121X SPHC</t>
  </si>
  <si>
    <t>1251121964187</t>
  </si>
  <si>
    <t>Thép cuộn cán nóng 2.43x121X SPHC II</t>
  </si>
  <si>
    <t>2.43×1212×C</t>
  </si>
  <si>
    <t>1251121964170</t>
  </si>
  <si>
    <t>Thép cuộn cán nóng 1.75x1250 SPHT1 II</t>
  </si>
  <si>
    <t>1.75×1250×C</t>
  </si>
  <si>
    <t>JIS G3132-2018</t>
  </si>
  <si>
    <t>1251121491812</t>
  </si>
  <si>
    <t>Thép cuộn cán nóng 1.75x1250 SPHT1</t>
  </si>
  <si>
    <t>1251121491805</t>
  </si>
  <si>
    <t>Thép cuộn cán nóng 3.95x1106 SAE1006 II</t>
  </si>
  <si>
    <t>3.95×1106×C</t>
  </si>
  <si>
    <t>1251121491799</t>
  </si>
  <si>
    <t>Thép cuộn cán nóng 3.95x1106 SAE1006</t>
  </si>
  <si>
    <t>1251121491782</t>
  </si>
  <si>
    <t>Thép cuộn cán nóng 2.80x1400 BjPC II</t>
  </si>
  <si>
    <t>2.80×1400×C</t>
  </si>
  <si>
    <t>SNI 07-0601-2006</t>
  </si>
  <si>
    <t>1251121491775</t>
  </si>
  <si>
    <t>Thép cuộn cán nóng 2.80x1400 BjPC</t>
  </si>
  <si>
    <t>1251121491768</t>
  </si>
  <si>
    <t>Thép cuộn cán nóng 2.50x1400 BjPC II</t>
  </si>
  <si>
    <t>2.50×1400×C</t>
  </si>
  <si>
    <t>1251121491751</t>
  </si>
  <si>
    <t>Thép cuộn cán nóng 2.50x1400 BjPC</t>
  </si>
  <si>
    <t>1251121491744</t>
  </si>
  <si>
    <t>Thép cuộn cán nóng 2.25x1400 BjPC II</t>
  </si>
  <si>
    <t>2.25×1400×C</t>
  </si>
  <si>
    <t>1251121491737</t>
  </si>
  <si>
    <t>Thép cuộn cán nóng 2.25x1400 BjPC</t>
  </si>
  <si>
    <t>1251121491720</t>
  </si>
  <si>
    <t>Thép cuộn cán nóng 2.00x1400 BjPC II</t>
  </si>
  <si>
    <t>2.00×1400×C</t>
  </si>
  <si>
    <t>1251121491713</t>
  </si>
  <si>
    <t>Thép cuộn cán nóng 2.00x1400 BjPC</t>
  </si>
  <si>
    <t>1251121491706</t>
  </si>
  <si>
    <t>Thép cuộn cán nóng 5.40x1045 SS400 II</t>
  </si>
  <si>
    <t>5.40×1045×C</t>
  </si>
  <si>
    <t>1251121491614</t>
  </si>
  <si>
    <t>Thép cuộn cán nóng 5.40x1045 SS400</t>
  </si>
  <si>
    <t>1251121491607</t>
  </si>
  <si>
    <t>Thép cuộn cán nóng 5.30x1370 SS400 II</t>
  </si>
  <si>
    <t>5.30×1370×C</t>
  </si>
  <si>
    <t>1251121491591</t>
  </si>
  <si>
    <t>Thép cuộn cán nóng 5.30x1370 SS400</t>
  </si>
  <si>
    <t>1251121491584</t>
  </si>
  <si>
    <t>Thép cuộn cán nóng 4.60x1370 SS400 II</t>
  </si>
  <si>
    <t>4.60×1370×C</t>
  </si>
  <si>
    <t>1251121491577</t>
  </si>
  <si>
    <t>Thép cuộn cán nóng 4.60x1370 SS400</t>
  </si>
  <si>
    <t>1251121491560</t>
  </si>
  <si>
    <t>Thép cuộn cán nóng 3.90x1310 SS400 II</t>
  </si>
  <si>
    <t>3.90×1310×C</t>
  </si>
  <si>
    <t>1251121491553</t>
  </si>
  <si>
    <t>Thép cuộn cán nóng 3.90x1310 SS400</t>
  </si>
  <si>
    <t>1251121491546</t>
  </si>
  <si>
    <t>Thép cuộn cán nóng 3.80x1310 SS400 II</t>
  </si>
  <si>
    <t>3.80×1310×C</t>
  </si>
  <si>
    <t>1251121491539</t>
  </si>
  <si>
    <t>Thép cuộn cán nóng 3.80x1310 SS400</t>
  </si>
  <si>
    <t>1251121491522</t>
  </si>
  <si>
    <t>Thép cuộn cán nóng 4.90x1262 SS400 II</t>
  </si>
  <si>
    <t>4.90×1262×C</t>
  </si>
  <si>
    <t>1251121491515</t>
  </si>
  <si>
    <t>Thép cuộn cán nóng 4.90x1262 SS400</t>
  </si>
  <si>
    <t>1251121491508</t>
  </si>
  <si>
    <t>Thép cuộn cán nóng 3.45x1262 SS400 II</t>
  </si>
  <si>
    <t>3.45×1262×C</t>
  </si>
  <si>
    <t>1251121491492</t>
  </si>
  <si>
    <t>Thép cuộn cán nóng 3.45x1262 SS400</t>
  </si>
  <si>
    <t>1251121491485</t>
  </si>
  <si>
    <t>Thép cuộn cán nóng 3.15x1262 SS400 II</t>
  </si>
  <si>
    <t>3.15×1262×C</t>
  </si>
  <si>
    <t>1251121491478</t>
  </si>
  <si>
    <t>Thép cuộn cán nóng 3.15x1262 SS400</t>
  </si>
  <si>
    <t>1251121491461</t>
  </si>
  <si>
    <t>Thép cuộn cán nóng 2.95x1262 SS400 II</t>
  </si>
  <si>
    <t>2.95×1262×C</t>
  </si>
  <si>
    <t>1251121491454</t>
  </si>
  <si>
    <t>Thép cuộn cán nóng 2.95x1262 SS400</t>
  </si>
  <si>
    <t>1251121491447</t>
  </si>
  <si>
    <t>Thép cuộn cán nóng 2.45x1262 SS400 II</t>
  </si>
  <si>
    <t>1251121491430</t>
  </si>
  <si>
    <t>Thép cuộn cán nóng 2.45x1262 SS400</t>
  </si>
  <si>
    <t>1251121491423</t>
  </si>
  <si>
    <t>Thép cuộn cán nóng 6.30x1210 SAE1006 II</t>
  </si>
  <si>
    <t>6.30×1210×C</t>
  </si>
  <si>
    <t>1251121491416</t>
  </si>
  <si>
    <t>Thép cuộn cán nóng 6.30x1210 SAE1006</t>
  </si>
  <si>
    <t>1251121491409</t>
  </si>
  <si>
    <t>Thép cuộn cán nóng 2.00x1220 SAE1006 II</t>
  </si>
  <si>
    <t>2.00×1220×C</t>
  </si>
  <si>
    <t>1251121491393</t>
  </si>
  <si>
    <t>Thép cuộn cán nóng 2.00x1220 SAE1006</t>
  </si>
  <si>
    <t>1251121491386</t>
  </si>
  <si>
    <t>Thép cuộn cán nóng 2.00x1219 S355JR II</t>
  </si>
  <si>
    <t>2.00×1219×C</t>
  </si>
  <si>
    <t>1251121491379</t>
  </si>
  <si>
    <t>Thép cuộn cán nóng 2.00x1219 S355JR</t>
  </si>
  <si>
    <t>1251121491362</t>
  </si>
  <si>
    <t>Thép cuộn cán nóng 12.00x1524 S355JR II</t>
  </si>
  <si>
    <t>12.00×1524×C</t>
  </si>
  <si>
    <t>1251121491355</t>
  </si>
  <si>
    <t>Thép cuộn cán nóng 12.00x1524 S355JR</t>
  </si>
  <si>
    <t>1251121491348</t>
  </si>
  <si>
    <t>Thép cuộn cán nóng 6.00x1524 S355JR II</t>
  </si>
  <si>
    <t>6.00×1524×C</t>
  </si>
  <si>
    <t>1251121491331</t>
  </si>
  <si>
    <t>Thép cuộn cán nóng 6.00x1524 S355JR</t>
  </si>
  <si>
    <t>1251121491324</t>
  </si>
  <si>
    <t>Thép cuộn cán nóng 4.70x1500 S275JR II</t>
  </si>
  <si>
    <t>4.70×1500×C</t>
  </si>
  <si>
    <t>1251121491317</t>
  </si>
  <si>
    <t>Thép cuộn cán nóng 4.70x1500 S275JR</t>
  </si>
  <si>
    <t>1251121491300</t>
  </si>
  <si>
    <t>Thép cuộn cán nóng 3.70x1500 S275JR II</t>
  </si>
  <si>
    <t>3.70×1500×C</t>
  </si>
  <si>
    <t>1251121491294</t>
  </si>
  <si>
    <t>Thép cuộn cán nóng 3.70x1500 S275JR</t>
  </si>
  <si>
    <t>1251121491287</t>
  </si>
  <si>
    <t>Thép cuộn cán nóng 2.80x1500 S275JR II</t>
  </si>
  <si>
    <t>2.80×1500×C</t>
  </si>
  <si>
    <t>1251121491270</t>
  </si>
  <si>
    <t>Thép cuộn cán nóng 2.80x1500 S275JR</t>
  </si>
  <si>
    <t>1251121491263</t>
  </si>
  <si>
    <t>Thép cuộn cán nóng 3.00x1235 SAE1006 II</t>
  </si>
  <si>
    <t>3.00×1235×C</t>
  </si>
  <si>
    <t>1251121491256</t>
  </si>
  <si>
    <t>Thép cuộn cán nóng 3.00x1235 SAE1006</t>
  </si>
  <si>
    <t>1251121491249</t>
  </si>
  <si>
    <t>Thép cuộn cán nóng 2.75x1515 SAE1006 II</t>
  </si>
  <si>
    <t>2.75×1515×C</t>
  </si>
  <si>
    <t>1251121491232</t>
  </si>
  <si>
    <t>Thép cuộn cán nóng 2.75x1515 SAE1006</t>
  </si>
  <si>
    <t>1251121491225</t>
  </si>
  <si>
    <t>Thép cuộn cán nóng 2.72x1265 SAE1006 II</t>
  </si>
  <si>
    <t>2.72×1265×C</t>
  </si>
  <si>
    <t>1251121491218</t>
  </si>
  <si>
    <t>Thép cuộn cán nóng 2.72x1265 SAE1006</t>
  </si>
  <si>
    <t>1251121491201</t>
  </si>
  <si>
    <t>Thép cuộn cán nóng 5.00x1270 SAE1006 II</t>
  </si>
  <si>
    <t>5.00×1270×C</t>
  </si>
  <si>
    <t>1251121491195</t>
  </si>
  <si>
    <t>Thép cuộn cán nóng 5.00x1270 SAE1006</t>
  </si>
  <si>
    <t>1251121491188</t>
  </si>
  <si>
    <t>Thép cuộn cán nóng 5.00x1520 SAE1006 II</t>
  </si>
  <si>
    <t>5.00×1520×C</t>
  </si>
  <si>
    <t>1251121491171</t>
  </si>
  <si>
    <t>Thép cuộn cán nóng 5.00x1520 SAE1006</t>
  </si>
  <si>
    <t>1251121491164</t>
  </si>
  <si>
    <t>Thép cuộn cán nóng 4.00x1520 SAE1006 II</t>
  </si>
  <si>
    <t>4.00×1520×C</t>
  </si>
  <si>
    <t>1251121491157</t>
  </si>
  <si>
    <t>Thép cuộn cán nóng 4.00x1520 SAE1006</t>
  </si>
  <si>
    <t>1251121491140</t>
  </si>
  <si>
    <t>Thép cuộn cán nóng 4.74x1219 SAE1006 II</t>
  </si>
  <si>
    <t>4.74×1219×C</t>
  </si>
  <si>
    <t>1251121491133</t>
  </si>
  <si>
    <t>Thép cuộn cán nóng 4.74x1219 SAE1006</t>
  </si>
  <si>
    <t>1251121491126</t>
  </si>
  <si>
    <t>Thép cuộn cán nóng 3.51x1219 SAE1006 II</t>
  </si>
  <si>
    <t>3.51×1219×C</t>
  </si>
  <si>
    <t>1251121491119</t>
  </si>
  <si>
    <t>Thép cuộn cán nóng 3.51x1219 SAE1006</t>
  </si>
  <si>
    <t>1251121491102</t>
  </si>
  <si>
    <t>Thép cuộn cán nóng 2.72x1219 SAE1006 II</t>
  </si>
  <si>
    <t>2.72×1219×C</t>
  </si>
  <si>
    <t>1251121491096</t>
  </si>
  <si>
    <t>Thép cuộn cán nóng 2.72x1219 SAE1006</t>
  </si>
  <si>
    <t>1251121491089</t>
  </si>
  <si>
    <t>Thép cuộn cán nóng 2.67x1219 SAE1006 II</t>
  </si>
  <si>
    <t>2.67×1219×C</t>
  </si>
  <si>
    <t>1251121491072</t>
  </si>
  <si>
    <t>Thép cuộn cán nóng 2.67x1219 SAE1006</t>
  </si>
  <si>
    <t>1251121491065</t>
  </si>
  <si>
    <t>Thép cuộn cán nóng 1.91x1219 SAE1006 II</t>
  </si>
  <si>
    <t>1.91×1219×C</t>
  </si>
  <si>
    <t>1251121491058</t>
  </si>
  <si>
    <t>Thép cuộn cán nóng 1.91x1219 SAE1006</t>
  </si>
  <si>
    <t>1251121491041</t>
  </si>
  <si>
    <t>Thép cuộn cán nóng 9.35x1219 ASTM A36 II</t>
  </si>
  <si>
    <t>9.35×1219×C</t>
  </si>
  <si>
    <t>1251121491034</t>
  </si>
  <si>
    <t>Thép cuộn cán nóng 9.35x1219 ASTM A36</t>
  </si>
  <si>
    <t>1251121491027</t>
  </si>
  <si>
    <t>Thép cuộn cán nóng 3.04x1219 ASTM A36 II</t>
  </si>
  <si>
    <t>3.04×1219×C</t>
  </si>
  <si>
    <t>1251121491010</t>
  </si>
  <si>
    <t>Thép cuộn cán nóng 3.04x1219 ASTM A36</t>
  </si>
  <si>
    <t>1251121491003</t>
  </si>
  <si>
    <t>Thép cuộn cán nóng 2.66x1219 ASTM A36 II</t>
  </si>
  <si>
    <t>2.66×1219×C</t>
  </si>
  <si>
    <t>1251121490990</t>
  </si>
  <si>
    <t>Thép cuộn cán nóng 2.66x1219 ASTM A36</t>
  </si>
  <si>
    <t>1251121490983</t>
  </si>
  <si>
    <t>Thép cuộn cán nóng 2.28x1219 ASTM A36 II</t>
  </si>
  <si>
    <t>2.28×1219×C</t>
  </si>
  <si>
    <t>1251121490976</t>
  </si>
  <si>
    <t>Thép cuộn cán nóng 2.28x1219 ASTM A36</t>
  </si>
  <si>
    <t>1251121490969</t>
  </si>
  <si>
    <t>Thép cuộn cán nóng 1.90x1219 ASTM A36 II</t>
  </si>
  <si>
    <t>1251121490952</t>
  </si>
  <si>
    <t>Thép cuộn cán nóng 1.90x1219 ASTM A36</t>
  </si>
  <si>
    <t>1251121490945</t>
  </si>
  <si>
    <t>Thép cuộn cán nóng 1.85x1219 ASTM A36 II</t>
  </si>
  <si>
    <t>1.85×1219×C</t>
  </si>
  <si>
    <t>1251121490938</t>
  </si>
  <si>
    <t>Thép cuộn cán nóng 1.85x1219 ASTM A36</t>
  </si>
  <si>
    <t>1251121490921</t>
  </si>
  <si>
    <t>Thép cuộn cán nóng 3.40x1219 ASTM A36 II</t>
  </si>
  <si>
    <t>3.40×1219×C</t>
  </si>
  <si>
    <t>1251121490914</t>
  </si>
  <si>
    <t>Thép cuộn cán nóng 3.40x1219 ASTM A36</t>
  </si>
  <si>
    <t>1251121490907</t>
  </si>
  <si>
    <t>Thép cuộn cán nóng 3.00x1219 ASTM A36 II</t>
  </si>
  <si>
    <t>1251121490891</t>
  </si>
  <si>
    <t>Thép cuộn cán nóng 3.00x1219 ASTM A36</t>
  </si>
  <si>
    <t>1251121490884</t>
  </si>
  <si>
    <t>Thép cuộn cán nóng 2.50x1219 ASTM A36 II</t>
  </si>
  <si>
    <t>1251121490877</t>
  </si>
  <si>
    <t>Thép cuộn cán nóng 2.50x1219 ASTM A36</t>
  </si>
  <si>
    <t>1251121490860</t>
  </si>
  <si>
    <t>Thép cuộn cán nóng 1.80x1219 ASTM A36 II</t>
  </si>
  <si>
    <t>1.80×1219×C</t>
  </si>
  <si>
    <t>1251121490853</t>
  </si>
  <si>
    <t>Thép cuộn cán nóng 1.80x1219 ASTM A36</t>
  </si>
  <si>
    <t>1251121490846</t>
  </si>
  <si>
    <t>Thép cuộn cán nóng 9.53x1524 ASTM A36 II</t>
  </si>
  <si>
    <t>9.53×1524×C</t>
  </si>
  <si>
    <t>1251121490839</t>
  </si>
  <si>
    <t>Thép cuộn cán nóng 9.53x1524 ASTM A36</t>
  </si>
  <si>
    <t>1251121490822</t>
  </si>
  <si>
    <t>Thép cuộn cán nóng 9.53x1219 ASTM A36 II</t>
  </si>
  <si>
    <t>9.53×1219×C</t>
  </si>
  <si>
    <t>1251121490815</t>
  </si>
  <si>
    <t>Thép cuộn cán nóng 9.53x1219 ASTM A36</t>
  </si>
  <si>
    <t>1251121490808</t>
  </si>
  <si>
    <t>Thép cuộn cán nóng 7.94x1524 ASTM A36 II</t>
  </si>
  <si>
    <t>7.94×1524×C</t>
  </si>
  <si>
    <t>1251121490792</t>
  </si>
  <si>
    <t>Thép cuộn cán nóng 7.94x1524 ASTM A36</t>
  </si>
  <si>
    <t>1251121490785</t>
  </si>
  <si>
    <t>Thép cuộn cán nóng 7.94x1219 ASTM A36 II</t>
  </si>
  <si>
    <t>7.94×1219×C</t>
  </si>
  <si>
    <t>1251121490778</t>
  </si>
  <si>
    <t>Thép cuộn cán nóng 7.94x1219 ASTM A36</t>
  </si>
  <si>
    <t>1251121490761</t>
  </si>
  <si>
    <t>Thép cuộn cán nóng 6.35x1524 ASTM A36 II</t>
  </si>
  <si>
    <t>6.35×1524×C</t>
  </si>
  <si>
    <t>1251121490754</t>
  </si>
  <si>
    <t>Thép cuộn cán nóng 6.35x1524 ASTM A36</t>
  </si>
  <si>
    <t>1251121490747</t>
  </si>
  <si>
    <t>Thép cuộn cán nóng 4.76x1524 ASTM A36 II</t>
  </si>
  <si>
    <t>4.76×1524×C</t>
  </si>
  <si>
    <t>1251121490730</t>
  </si>
  <si>
    <t>Thép cuộn cán nóng 4.76x1524 ASTM A36</t>
  </si>
  <si>
    <t>1251121490723</t>
  </si>
  <si>
    <t>Thép cuộn cán nóng 4.17x1219 ASTM A36 II</t>
  </si>
  <si>
    <t>4.17×1219×C</t>
  </si>
  <si>
    <t>1251121490716</t>
  </si>
  <si>
    <t>Thép cuộn cán nóng 4.17x1219 ASTM A36</t>
  </si>
  <si>
    <t>1251121490709</t>
  </si>
  <si>
    <t>Thép cuộn cán nóng 3.18x1219 ASTM A36 II</t>
  </si>
  <si>
    <t>3.18×1219×C</t>
  </si>
  <si>
    <t>1251121490693</t>
  </si>
  <si>
    <t>Thép cuộn cán nóng 3.18x1219 ASTM A36</t>
  </si>
  <si>
    <t>1251121490686</t>
  </si>
  <si>
    <t>Thép cuộn cán nóng 3.05x1219 ASTM A36 II</t>
  </si>
  <si>
    <t>3.05×1219×C</t>
  </si>
  <si>
    <t>1251121490679</t>
  </si>
  <si>
    <t>Thép cuộn cán nóng 3.05x1219 ASTM A36</t>
  </si>
  <si>
    <t>1251121490662</t>
  </si>
  <si>
    <t>Thép cuộn cán nóng 2.67x1219 ASTM A36 II</t>
  </si>
  <si>
    <t>1251121490655</t>
  </si>
  <si>
    <t>Thép cuộn cán nóng 2.67x1219 ASTM A36</t>
  </si>
  <si>
    <t>1251121490648</t>
  </si>
  <si>
    <t>Thép cuộn cán nóng 2.03x1219 ASTM A36 II</t>
  </si>
  <si>
    <t>2.03×1219×C</t>
  </si>
  <si>
    <t>1251121490631</t>
  </si>
  <si>
    <t>Thép cuộn cán nóng 2.03x1219 ASTM A36</t>
  </si>
  <si>
    <t>1251121490624</t>
  </si>
  <si>
    <t>Thép cuộn cán nóng 1.91x1219 ASTM A36 II</t>
  </si>
  <si>
    <t>1251121490617</t>
  </si>
  <si>
    <t>Thép cuộn cán nóng 1.91x1219 ASTM A36</t>
  </si>
  <si>
    <t>1251121490600</t>
  </si>
  <si>
    <t>Thép cuộn cán nóng 12.00x1524 S235JR II</t>
  </si>
  <si>
    <t>1251121490563</t>
  </si>
  <si>
    <t>Thép cuộn cán nóng 12.00x1524 S235JR</t>
  </si>
  <si>
    <t>1251121490556</t>
  </si>
  <si>
    <t>Thép cuộn cán nóng 6.00x1524 S235JR II</t>
  </si>
  <si>
    <t>1251121490549</t>
  </si>
  <si>
    <t>Thép cuộn cán nóng 6.00x1524 S235JR</t>
  </si>
  <si>
    <t>1251121490532</t>
  </si>
  <si>
    <t>Thép cuộn cán nóng 2.00x1219 S275JR II</t>
  </si>
  <si>
    <t>1251121490525</t>
  </si>
  <si>
    <t>Thép cuộn cán nóng 2.00x1219 S275JR</t>
  </si>
  <si>
    <t>1251121490518</t>
  </si>
  <si>
    <t>Thép cuộn cán nóng 1.50x1219 S235JR II</t>
  </si>
  <si>
    <t>1.50×1219×C</t>
  </si>
  <si>
    <t>1251121490501</t>
  </si>
  <si>
    <t>Thép cuộn cán nóng 1.50x1219 S235JR</t>
  </si>
  <si>
    <t>1251121490495</t>
  </si>
  <si>
    <t>Thép cuộn cán nóng 12.00x1524 S275JR II</t>
  </si>
  <si>
    <t>1251121490488</t>
  </si>
  <si>
    <t>Thép cuộn cán nóng 12.00x1524 S275JR</t>
  </si>
  <si>
    <t>1251121490471</t>
  </si>
  <si>
    <t>Thép cuộn cán nóng 6.00x1524 S275JR II</t>
  </si>
  <si>
    <t>1251121490464</t>
  </si>
  <si>
    <t>Thép cuộn cán nóng 6.00x1524 S275JR</t>
  </si>
  <si>
    <t>1251121490457</t>
  </si>
  <si>
    <t>Thép cuộn cán nóng 3.95x1262 SAE1017 II</t>
  </si>
  <si>
    <t>3.95×1262×C</t>
  </si>
  <si>
    <t>1251121490440</t>
  </si>
  <si>
    <t>Thép cuộn cán nóng 3.95x1262 SAE1017</t>
  </si>
  <si>
    <t>1251121490433</t>
  </si>
  <si>
    <t>Thép cuộn cán nóng 3.00x1262 SAE1017 II</t>
  </si>
  <si>
    <t>1251121490426</t>
  </si>
  <si>
    <t>Thép cuộn cán nóng 3.00x1262 SAE1017</t>
  </si>
  <si>
    <t>1251121490419</t>
  </si>
  <si>
    <t>Thép cuộn cán nóng 3.95x1262 SS400 II</t>
  </si>
  <si>
    <t>1251121490358</t>
  </si>
  <si>
    <t>Thép cuộn cán nóng 3.95x1262 SS400</t>
  </si>
  <si>
    <t>1251121490341</t>
  </si>
  <si>
    <t>Thép cuộn cán nóng 2.45x1212 SAE1017 II</t>
  </si>
  <si>
    <t>2.45×1212×C</t>
  </si>
  <si>
    <t>1251121490334</t>
  </si>
  <si>
    <t>Thép cuộn cán nóng 2.45x1212 SAE1017</t>
  </si>
  <si>
    <t>1251121490327</t>
  </si>
  <si>
    <t>Thép cuộn cán nóng 3.45x1262 SAE1017 II</t>
  </si>
  <si>
    <t>1251121490310</t>
  </si>
  <si>
    <t>Thép cuộn cán nóng 3.45x1262 SAE1017</t>
  </si>
  <si>
    <t>1251121490303</t>
  </si>
  <si>
    <t>Thép cuộn cán nóng 2.75x1106 SAE1006 II</t>
  </si>
  <si>
    <t>2.75×1106×C</t>
  </si>
  <si>
    <t>1251121490297</t>
  </si>
  <si>
    <t>Thép cuộn cán nóng 2.75x1106 SAE1006</t>
  </si>
  <si>
    <t>1251121490280</t>
  </si>
  <si>
    <t>Thép cuộn cán nóng 2.50x1106 SAE1006 II</t>
  </si>
  <si>
    <t>2.50×1106×C</t>
  </si>
  <si>
    <t>1251121490273</t>
  </si>
  <si>
    <t>Thép cuộn cán nóng 2.50x1106 SAE1006</t>
  </si>
  <si>
    <t>1251121490266</t>
  </si>
  <si>
    <t>Thép cuộn cán nóng 2.50x1187 SAE1006 II</t>
  </si>
  <si>
    <t>2.50×1187×C</t>
  </si>
  <si>
    <t>1251121490259</t>
  </si>
  <si>
    <t>Thép cuộn cán nóng 2.50x1187 SAE1006</t>
  </si>
  <si>
    <t>1251121490242</t>
  </si>
  <si>
    <t>Thép cuộn cán nóng 1.75x1250 SPHC II</t>
  </si>
  <si>
    <t>1251121489956</t>
  </si>
  <si>
    <t>Thép cuộn cán nóng 1.75x1250 SPHC</t>
  </si>
  <si>
    <t>1251121489949</t>
  </si>
  <si>
    <t>Thép cuộn cán nóng 11.80x1260 SS400 II</t>
  </si>
  <si>
    <t>11.80×1260×C</t>
  </si>
  <si>
    <t>1251121489932</t>
  </si>
  <si>
    <t>Thép cuộn cán nóng 11.80x1260 SS400</t>
  </si>
  <si>
    <t>1251121489925</t>
  </si>
  <si>
    <t>Thép cuộn cán nóng 5.60x1520 S275JR II</t>
  </si>
  <si>
    <t>5.60×1520×C</t>
  </si>
  <si>
    <t>1251121489918</t>
  </si>
  <si>
    <t>Thép cuộn cán nóng 5.60x1520 S275JR</t>
  </si>
  <si>
    <t>1251121489901</t>
  </si>
  <si>
    <t>Thép cuộn cán nóng 4.25x1520 S275JR II</t>
  </si>
  <si>
    <t>4.25×1520×C</t>
  </si>
  <si>
    <t>1251121489895</t>
  </si>
  <si>
    <t>Thép cuộn cán nóng 4.25x1520 S275JR</t>
  </si>
  <si>
    <t>1251121489888</t>
  </si>
  <si>
    <t>Thép cuộn cán nóng 5.80x1219 S275JR II</t>
  </si>
  <si>
    <t>5.80×1219×C</t>
  </si>
  <si>
    <t>1251121489871</t>
  </si>
  <si>
    <t>Thép cuộn cán nóng 5.80x1219 S275JR</t>
  </si>
  <si>
    <t>1251121489864</t>
  </si>
  <si>
    <t>Thép cuộn cán nóng 5.60x1219 S275JR II</t>
  </si>
  <si>
    <t>5.60×1219×C</t>
  </si>
  <si>
    <t>1251121489857</t>
  </si>
  <si>
    <t>Thép cuộn cán nóng 5.60x1219 S275JR</t>
  </si>
  <si>
    <t>1251121489840</t>
  </si>
  <si>
    <t>Thép cuộn cán nóng 4.75x1219 S275JR II</t>
  </si>
  <si>
    <t>4.75×1219×C</t>
  </si>
  <si>
    <t>1251121489833</t>
  </si>
  <si>
    <t>Thép cuộn cán nóng 4.75x1219 S275JR</t>
  </si>
  <si>
    <t>1251121489826</t>
  </si>
  <si>
    <t>Thép cuộn cán nóng 9.75x1520 S275JR II</t>
  </si>
  <si>
    <t>9.75×1520×C</t>
  </si>
  <si>
    <t>1251121489819</t>
  </si>
  <si>
    <t>Thép cuộn cán nóng 9.75x1520 S275JR</t>
  </si>
  <si>
    <t>1251121489802</t>
  </si>
  <si>
    <t>Thép cuộn cán nóng 4.45x1520 S275JR II</t>
  </si>
  <si>
    <t>4.45×1520×C</t>
  </si>
  <si>
    <t>1251121489796</t>
  </si>
  <si>
    <t>Thép cuộn cán nóng 4.45x1520 S275JR</t>
  </si>
  <si>
    <t>1251121489789</t>
  </si>
  <si>
    <t>Thép cuộn cán nóng 2.00x1238 SAE1006 II</t>
  </si>
  <si>
    <t>2.00×1238×C</t>
  </si>
  <si>
    <t>1251121489772</t>
  </si>
  <si>
    <t>Thép cuộn cán nóng 2.00x1238 SAE1006</t>
  </si>
  <si>
    <t>1251121489765</t>
  </si>
  <si>
    <t>Thép cuộn cán nóng 2.05x1230 SAE1006 II</t>
  </si>
  <si>
    <t>2.05×1230×C</t>
  </si>
  <si>
    <t>1251121489758</t>
  </si>
  <si>
    <t>Thép cuộn cán nóng 2.05x1230 SAE1006</t>
  </si>
  <si>
    <t>1251121489741</t>
  </si>
  <si>
    <t>Thép cuộn cán nóng 2.75x1187 SAE1006 II</t>
  </si>
  <si>
    <t>2.75×1187×C</t>
  </si>
  <si>
    <t>1251121489734</t>
  </si>
  <si>
    <t>Thép cuộn cán nóng 2.75x1187 SAE1006</t>
  </si>
  <si>
    <t>1251121489727</t>
  </si>
  <si>
    <t>Thép cuộn cán nóng 3.95x1163 SAE1006 II</t>
  </si>
  <si>
    <t>3.95×1163×C</t>
  </si>
  <si>
    <t>1251121489710</t>
  </si>
  <si>
    <t>Thép cuộn cán nóng 3.95x1163 SAE1006</t>
  </si>
  <si>
    <t>1251121489703</t>
  </si>
  <si>
    <t>Thép cuộn cán nóng 4.00x1262 SAE1006 II</t>
  </si>
  <si>
    <t>1251121489697</t>
  </si>
  <si>
    <t>Thép cuộn cán nóng 4.00x1262 SAE1006</t>
  </si>
  <si>
    <t>1251121489680</t>
  </si>
  <si>
    <t>Thép HRC HSPM 2.00x108Y SS400</t>
  </si>
  <si>
    <t>2.00×1087×C</t>
  </si>
  <si>
    <t>1251122110033</t>
  </si>
  <si>
    <t>Thép HRC HSPM 2.00x108Y SS400 II</t>
  </si>
  <si>
    <t>1251122110040</t>
  </si>
  <si>
    <t>Thép HRC HSPM 4.00x122Y BJPC II</t>
  </si>
  <si>
    <t>1251122110224</t>
  </si>
  <si>
    <t>Thép HRC HSPM 3.20x122Y BJPC II</t>
  </si>
  <si>
    <t>3.20×1227×C</t>
  </si>
  <si>
    <t>1251122110248</t>
  </si>
  <si>
    <t>Thép HRC HSPM 3.00x122Y BJPC II</t>
  </si>
  <si>
    <t>3.00×1227×C</t>
  </si>
  <si>
    <t>1251122110262</t>
  </si>
  <si>
    <t>Thép HRC HSPM 2.60x122Y SPHC II</t>
  </si>
  <si>
    <t>2.60×1227×C</t>
  </si>
  <si>
    <t>1251122110286</t>
  </si>
  <si>
    <t>Thép HRC HSPM 2.30x122Y SPHC II</t>
  </si>
  <si>
    <t>2.30×1227×C</t>
  </si>
  <si>
    <t>1251122110309</t>
  </si>
  <si>
    <t>Thép HRC HSPM 2.25x123Y BJPC II</t>
  </si>
  <si>
    <t>2.25×1237×C</t>
  </si>
  <si>
    <t>1251122110323</t>
  </si>
  <si>
    <t>Thép HRC HSPM 2.05x123Y SAE1006 II</t>
  </si>
  <si>
    <t>2.05×1237×C</t>
  </si>
  <si>
    <t>1251122110347</t>
  </si>
  <si>
    <t>Thép HRC HSPM 2.00x122Y BJPC II</t>
  </si>
  <si>
    <t>2.00×1227×C</t>
  </si>
  <si>
    <t>1251122110361</t>
  </si>
  <si>
    <t>Thép HRC HSPM 2.43x121X SPHC II</t>
  </si>
  <si>
    <t>1251122110422</t>
  </si>
  <si>
    <t>Thép HRC HSPM 2.93x121X SPHC II</t>
  </si>
  <si>
    <t>1251122110446</t>
  </si>
  <si>
    <t>Thép HRC HSPM 3.90x121X SPHC II</t>
  </si>
  <si>
    <t>1251122110460</t>
  </si>
  <si>
    <t>Thép HRC HSPM 1.93x121Y SPHC II</t>
  </si>
  <si>
    <t>1251122110484</t>
  </si>
  <si>
    <t>Thép HRC HSPM 1.56x121X SPHC II</t>
  </si>
  <si>
    <t>1251122110507</t>
  </si>
  <si>
    <t>Thép HRC HSPM 2.91x151Y S275JR II</t>
  </si>
  <si>
    <t>2.91×1517×C</t>
  </si>
  <si>
    <t>1251122110521</t>
  </si>
  <si>
    <t>Thép HRC HSPM 2.62x151Y S275JR II</t>
  </si>
  <si>
    <t>2.62×1517×C</t>
  </si>
  <si>
    <t>1251122110545</t>
  </si>
  <si>
    <t>Thép HRC HSPM 2.70x134X S275JR II</t>
  </si>
  <si>
    <t>2.70×1342×C</t>
  </si>
  <si>
    <t>1251122110569</t>
  </si>
  <si>
    <t>Thép HRC HSPM 3.15x152X S275JR II</t>
  </si>
  <si>
    <t>3.15×1522×C</t>
  </si>
  <si>
    <t>1251122110583</t>
  </si>
  <si>
    <t>Thép HRC HSPM 2.40x152X S275JR II</t>
  </si>
  <si>
    <t>2.40×1522×C</t>
  </si>
  <si>
    <t>1251122110606</t>
  </si>
  <si>
    <t>Thép HRC HSPM 4.62x152X S275JR II</t>
  </si>
  <si>
    <t>4.62×1522×C</t>
  </si>
  <si>
    <t>1251122110620</t>
  </si>
  <si>
    <t>Thép HRC HSPM 7.10x152X S275JR II</t>
  </si>
  <si>
    <t>7.10×1522×C</t>
  </si>
  <si>
    <t>1251122110644</t>
  </si>
  <si>
    <t>Thép HRC HSPM 2.48x121Y S275JR II</t>
  </si>
  <si>
    <t>2.48×1217×C</t>
  </si>
  <si>
    <t>1251122110668</t>
  </si>
  <si>
    <t>Thép HRC HSPM 3.10x130X SS400 II</t>
  </si>
  <si>
    <t>3.10×1302×C</t>
  </si>
  <si>
    <t>1251122110767</t>
  </si>
  <si>
    <t>Thép HRC HSPM 3.50x130X SS400 II</t>
  </si>
  <si>
    <t>3.50×1302×C</t>
  </si>
  <si>
    <t>1251122110781</t>
  </si>
  <si>
    <t>Thép HRC HSPM 4.50x117Y SS400 II</t>
  </si>
  <si>
    <t>4.50×1177×C</t>
  </si>
  <si>
    <t>1251122110804</t>
  </si>
  <si>
    <t>Thép HRC HSPM 2.00x1260 SAE1006 II</t>
  </si>
  <si>
    <t>2.00×1260×C</t>
  </si>
  <si>
    <t>1251122110132</t>
  </si>
  <si>
    <t>Thép HRC HSPM 2.30x1260 SAE1006 II</t>
  </si>
  <si>
    <t>2.30×1260×C</t>
  </si>
  <si>
    <t>1251122110149</t>
  </si>
  <si>
    <t>Thép HRC HSPM 2.50x1260 SAE1006 II</t>
  </si>
  <si>
    <t>2.50×1260×C</t>
  </si>
  <si>
    <t>1251122110156</t>
  </si>
  <si>
    <t>Thép HRC HSPM 2.80x1260 SAE1006 II</t>
  </si>
  <si>
    <t>2.80×1260×C</t>
  </si>
  <si>
    <t>1251122027003</t>
  </si>
  <si>
    <t>Thép HRC HSPM 3.20x1260 SAE1006 II</t>
  </si>
  <si>
    <t>3.20×1260×C</t>
  </si>
  <si>
    <t>1251122108504</t>
  </si>
  <si>
    <t>Thép HRC HSPM 3.80x1260 SAE1006 II</t>
  </si>
  <si>
    <t>3.80×1260×C</t>
  </si>
  <si>
    <t>1251122110163</t>
  </si>
  <si>
    <t>Thép HRC HSPM 1.80x1212 SAE1006 II</t>
  </si>
  <si>
    <t>1.80×1212×C</t>
  </si>
  <si>
    <t>1251122110187</t>
  </si>
  <si>
    <t>Thép HRC HSPM 2.00x1212 SAE1006 II</t>
  </si>
  <si>
    <t>1251122110200</t>
  </si>
  <si>
    <t>Thép HRC HSPM 3.10x130X SS400</t>
  </si>
  <si>
    <t>1251122110750</t>
  </si>
  <si>
    <t>Thép HRC HSPM 3.50x130X SS400</t>
  </si>
  <si>
    <t>1251122110774</t>
  </si>
  <si>
    <t>Thép HRC HSPM 4.50x117Y SS400</t>
  </si>
  <si>
    <t>1251122110798</t>
  </si>
  <si>
    <t>Thép HRC HSPM 4.00x122Y BJPC</t>
  </si>
  <si>
    <t>1251122110217</t>
  </si>
  <si>
    <t>Thép HRC HSPM 3.20x122Y BJPC</t>
  </si>
  <si>
    <t>1251122110231</t>
  </si>
  <si>
    <t>Thép HRC HSPM 3.00x122Y BJPC</t>
  </si>
  <si>
    <t>1251122110255</t>
  </si>
  <si>
    <t>Thép HRC HSPM 2.60x122Y SPHC</t>
  </si>
  <si>
    <t>1251122110279</t>
  </si>
  <si>
    <t>Thép HRC HSPM 2.30x122Y SPHC</t>
  </si>
  <si>
    <t>1251122110293</t>
  </si>
  <si>
    <t>Thép HRC HSPM 2.25x123Y BJPC</t>
  </si>
  <si>
    <t>1251122110316</t>
  </si>
  <si>
    <t>Thép HRC HSPM 2.05x123Y SAE1006</t>
  </si>
  <si>
    <t>1251122110330</t>
  </si>
  <si>
    <t>Thép HRC HSPM 2.00x122Y BJPC</t>
  </si>
  <si>
    <t>1251122110354</t>
  </si>
  <si>
    <t>Thép HRC HSPM 2.43x121X SPHC</t>
  </si>
  <si>
    <t>1251122110415</t>
  </si>
  <si>
    <t>Thép HRC HSPM 2.93x121X SPHC</t>
  </si>
  <si>
    <t>1251122110439</t>
  </si>
  <si>
    <t>Thép HRC HSPM 3.90x121X SPHC</t>
  </si>
  <si>
    <t>1251122110453</t>
  </si>
  <si>
    <t>Thép HRC HSPM 1.93x121Y SPHC</t>
  </si>
  <si>
    <t>1251122110477</t>
  </si>
  <si>
    <t>Thép HRC HSPM 1.56x121X SPHC</t>
  </si>
  <si>
    <t>1251122110491</t>
  </si>
  <si>
    <t>Thép HRC HSPM 2.91x151Y S275JR</t>
  </si>
  <si>
    <t>1251122110514</t>
  </si>
  <si>
    <t>Thép HRC HSPM 2.62x151Y S275JR</t>
  </si>
  <si>
    <t>1251122110538</t>
  </si>
  <si>
    <t>Thép HRC HSPM 2.70x134X S275JR</t>
  </si>
  <si>
    <t>1251122110552</t>
  </si>
  <si>
    <t>Thép HRC HSPM 3.15x152X S275JR</t>
  </si>
  <si>
    <t>1251122110576</t>
  </si>
  <si>
    <t>Thép HRC HSPM 2.40x152X S275JR</t>
  </si>
  <si>
    <t>1251122110590</t>
  </si>
  <si>
    <t>Thép HRC HSPM 4.62x152X S275JR</t>
  </si>
  <si>
    <t>1251122110613</t>
  </si>
  <si>
    <t>Thép HRC HSPM 7.10x152X S275JR</t>
  </si>
  <si>
    <t>1251122110637</t>
  </si>
  <si>
    <t>Thép HRC HSPM 2.48x121Y S275JR</t>
  </si>
  <si>
    <t>1251122110651</t>
  </si>
  <si>
    <t>Thép HRC HSPM 1.80x1212 SAE1006</t>
  </si>
  <si>
    <t>1251122110170</t>
  </si>
  <si>
    <t>Thép HRC HSPM 2.00x1212 SAE1006</t>
  </si>
  <si>
    <t>1251122110194</t>
  </si>
  <si>
    <t>Thép HRC HSPM 2.00x1260 SAE1006</t>
  </si>
  <si>
    <t>1251122026952</t>
  </si>
  <si>
    <t>Thép HRC HSPM 2.50x1260 SAE1006</t>
  </si>
  <si>
    <t>1251122026976</t>
  </si>
  <si>
    <t>Thép HRC HSPM 2.80x1260 SAE1006</t>
  </si>
  <si>
    <t>1251122026990</t>
  </si>
  <si>
    <t>Thép HRC HSPM 3.20x1260 SAE1006</t>
  </si>
  <si>
    <t>1251122108467</t>
  </si>
  <si>
    <t>Thép HRC HSPM 3.80x1260 SAE1006</t>
  </si>
  <si>
    <t>1251122108511</t>
  </si>
  <si>
    <t>Thép HRC HSPM 2.30x1260 SAE1006</t>
  </si>
  <si>
    <t>1251122109822</t>
  </si>
  <si>
    <t>Thép cuộn cán nóng 4.60x121X S275JR II</t>
  </si>
  <si>
    <t>4.60×1212×C</t>
  </si>
  <si>
    <t>1251121967317</t>
  </si>
  <si>
    <t>Thép cuộn cán nóng 4.60x121X S275JR</t>
  </si>
  <si>
    <t>1251121967300</t>
  </si>
  <si>
    <t>Thép cuộn cán nóng 11.40x121X S275JR II</t>
  </si>
  <si>
    <t>11.40×1212×C</t>
  </si>
  <si>
    <t>1251121967294</t>
  </si>
  <si>
    <t>Thép cuộn cán nóng 11.40x121X S275JR</t>
  </si>
  <si>
    <t>1251121967287</t>
  </si>
  <si>
    <t>Thép cuộn cán nóng 1.85x120X SPA-H II</t>
  </si>
  <si>
    <t>1.85×1202×C</t>
  </si>
  <si>
    <t>1251121966884</t>
  </si>
  <si>
    <t>Thép cuộn cán nóng 1.85x120X SPA-H</t>
  </si>
  <si>
    <t>1251121966877</t>
  </si>
  <si>
    <t>Thép cuộn cán nóng 2.30x120X BjPC II</t>
  </si>
  <si>
    <t>2.30×1202×C</t>
  </si>
  <si>
    <t>1251121965641</t>
  </si>
  <si>
    <t>Thép cuộn cán nóng 2.30x120X BjPC</t>
  </si>
  <si>
    <t>1251121965634</t>
  </si>
  <si>
    <t>Thép cuộn cán nóng 2.78x123X SAE1006 II</t>
  </si>
  <si>
    <t>2.78×1232×C</t>
  </si>
  <si>
    <t>1251121965627</t>
  </si>
  <si>
    <t>Thép cuộn cán nóng 2.78x123X SAE1006</t>
  </si>
  <si>
    <t>1251121965610</t>
  </si>
  <si>
    <t>Thép cuộn cán nóng 2.48x123X SAE1006 II</t>
  </si>
  <si>
    <t>2.48×1232×C</t>
  </si>
  <si>
    <t>1251121965603</t>
  </si>
  <si>
    <t>Thép cuộn cán nóng 2.48x123X SAE1006</t>
  </si>
  <si>
    <t>1251121965597</t>
  </si>
  <si>
    <t>Thép cuộn cán nóng 2.48x121Y SAE1006 II</t>
  </si>
  <si>
    <t>1251121965580</t>
  </si>
  <si>
    <t>Thép cuộn cán nóng 2.48x121Y SAE1006</t>
  </si>
  <si>
    <t>1251121965573</t>
  </si>
  <si>
    <t>Thép cuộn cán nóng 2.28x123X SAE1006 II</t>
  </si>
  <si>
    <t>2.28×1232×C</t>
  </si>
  <si>
    <t>1251121965566</t>
  </si>
  <si>
    <t>Thép cuộn cán nóng 2.28x123X SAE1006</t>
  </si>
  <si>
    <t>1251121965559</t>
  </si>
  <si>
    <t>Thép cuộn cán nóng 4.40x150X SS400 II</t>
  </si>
  <si>
    <t>1251121965542</t>
  </si>
  <si>
    <t>Thép cuộn cán nóng 4.40x150X SS400</t>
  </si>
  <si>
    <t>1251121965535</t>
  </si>
  <si>
    <t>Thép cuộn cán nóng 4.50x117Y SS400 II</t>
  </si>
  <si>
    <t>1251121965528</t>
  </si>
  <si>
    <t>Thép cuộn cán nóng 4.50x117Y SS400</t>
  </si>
  <si>
    <t>1251121965511</t>
  </si>
  <si>
    <t>Thép cuộn cán nóng 3.50x130X SS400 II</t>
  </si>
  <si>
    <t>1251121965504</t>
  </si>
  <si>
    <t>Thép cuộn cán nóng 3.50x130X SS400</t>
  </si>
  <si>
    <t>1251121965498</t>
  </si>
  <si>
    <t>Thép cuộn cán nóng 6.30x120X S275JR II</t>
  </si>
  <si>
    <t>6.30×1202×C</t>
  </si>
  <si>
    <t>1251121964484</t>
  </si>
  <si>
    <t>Thép cuộn cán nóng 6.30x120X S275JR</t>
  </si>
  <si>
    <t>1251121964477</t>
  </si>
  <si>
    <t>Thép cuộn cán nóng 7.10x120X S275JR II</t>
  </si>
  <si>
    <t>7.10×1202×C</t>
  </si>
  <si>
    <t>1251121964460</t>
  </si>
  <si>
    <t>Thép cuộn cán nóng 7.10x120X S275JR</t>
  </si>
  <si>
    <t>1251121964453</t>
  </si>
  <si>
    <t>Thép cuộn cán nóng 3.90x121X SAE1008 II</t>
  </si>
  <si>
    <t>1251121964330</t>
  </si>
  <si>
    <t>Thép cuộn cán nóng 3.90x121X SAE1008</t>
  </si>
  <si>
    <t>1251121964323</t>
  </si>
  <si>
    <t>Thép cuộn cán nóng 3.90x121X SAE1006 II</t>
  </si>
  <si>
    <t>1251121964316</t>
  </si>
  <si>
    <t>Thép cuộn cán nóng 2.43x121X SPHC</t>
  </si>
  <si>
    <t>1251121964163</t>
  </si>
  <si>
    <t>Thép cuộn cán nóng 7.55x152X S275JR II</t>
  </si>
  <si>
    <t>7.55×1522×C</t>
  </si>
  <si>
    <t>1251121964156</t>
  </si>
  <si>
    <t>Thép cuộn cán nóng 7.55x152X S275JR</t>
  </si>
  <si>
    <t>1251121964149</t>
  </si>
  <si>
    <t>Thép cuộn cán nóng 4.62x152X S275JR II</t>
  </si>
  <si>
    <t>1251121964132</t>
  </si>
  <si>
    <t>Thép cuộn cán nóng 4.62x152X S275JR</t>
  </si>
  <si>
    <t>1251121964125</t>
  </si>
  <si>
    <t>Thép cuộn cán nóng 2.40x152X S275JR II</t>
  </si>
  <si>
    <t>1251121964118</t>
  </si>
  <si>
    <t>Thép cuộn cán nóng 2.40x152X S275JR</t>
  </si>
  <si>
    <t>1251121964101</t>
  </si>
  <si>
    <t>Thép cuộn cán nóng 7.55x121Y S275JR II</t>
  </si>
  <si>
    <t>7.55×1217×C</t>
  </si>
  <si>
    <t>1251121964095</t>
  </si>
  <si>
    <t>Thép cuộn cán nóng 7.55x121Y S275JR</t>
  </si>
  <si>
    <t>1251121964088</t>
  </si>
  <si>
    <t>Thép cuộn cán nóng 4.62x121Y S275JR II</t>
  </si>
  <si>
    <t>4.62×1217×C</t>
  </si>
  <si>
    <t>1251121964071</t>
  </si>
  <si>
    <t>Thép cuộn cán nóng 4.62x121Y S275JR</t>
  </si>
  <si>
    <t>1251121964064</t>
  </si>
  <si>
    <t>Thép cuộn cán nóng 4.35x121Y S275JR II</t>
  </si>
  <si>
    <t>4.35×1217×C</t>
  </si>
  <si>
    <t>1251121964057</t>
  </si>
  <si>
    <t>Thép cuộn cán nóng 4.35x121Y S275JR</t>
  </si>
  <si>
    <t>1251121964040</t>
  </si>
  <si>
    <t>Thép cuộn cán nóng 3.15x152X S275JR II</t>
  </si>
  <si>
    <t>1251121964033</t>
  </si>
  <si>
    <t>Thép cuộn cán nóng 3.15x152X S275JR</t>
  </si>
  <si>
    <t>1251121964026</t>
  </si>
  <si>
    <t>Thép cuộn cán nóng 2.70x134X S275JR II</t>
  </si>
  <si>
    <t>1251121964019</t>
  </si>
  <si>
    <t>Thép cuộn cán nóng 2.70x134X S275JR</t>
  </si>
  <si>
    <t>1251121964002</t>
  </si>
  <si>
    <t>Thép cuộn cán nóng 2.62x151Y S275JR II</t>
  </si>
  <si>
    <t>1251121963999</t>
  </si>
  <si>
    <t>Thép cuộn cán nóng 2.62x151Y S275JR</t>
  </si>
  <si>
    <t>1251121963982</t>
  </si>
  <si>
    <t>Thép cuộn cán nóng 7.76x151Y S275JR II</t>
  </si>
  <si>
    <t>7.76×1517×C</t>
  </si>
  <si>
    <t>1251121963975</t>
  </si>
  <si>
    <t>Thép cuộn cán nóng 7.76x151Y S275JR</t>
  </si>
  <si>
    <t>1251121963968</t>
  </si>
  <si>
    <t>Thép cuộn cán nóng 2.91x151Y S275JR II</t>
  </si>
  <si>
    <t>1251121963951</t>
  </si>
  <si>
    <t>Thép cuộn cán nóng 2.91x151Y S275JR</t>
  </si>
  <si>
    <t>1251121963944</t>
  </si>
  <si>
    <t>Thép cuộn cán nóng 5.82x134X S275JR II</t>
  </si>
  <si>
    <t>5.82×1342×C</t>
  </si>
  <si>
    <t>1251121963937</t>
  </si>
  <si>
    <t>Thép cuộn cán nóng 5.82x134X S275JR</t>
  </si>
  <si>
    <t>1251121963920</t>
  </si>
  <si>
    <t>Thép cuộn cán nóng 3.00x120Y SS400 II</t>
  </si>
  <si>
    <t>3.00×1207×C</t>
  </si>
  <si>
    <t>1251121963869</t>
  </si>
  <si>
    <t>Thép cuộn cán nóng 3.00x120Y SS400</t>
  </si>
  <si>
    <t>1251121963852</t>
  </si>
  <si>
    <t>Thép cuộn cán nóng 3.00x131Y SS400 II</t>
  </si>
  <si>
    <t>1251121963845</t>
  </si>
  <si>
    <t>Thép cuộn cán nóng 3.00x131Y SS400</t>
  </si>
  <si>
    <t>1251121963838</t>
  </si>
  <si>
    <t>Thép cuộn cán nóng 3.00x138X SS400 II</t>
  </si>
  <si>
    <t>3.00×1382×C</t>
  </si>
  <si>
    <t>1251121963821</t>
  </si>
  <si>
    <t>Thép cuộn cán nóng 3.00x138X SS400</t>
  </si>
  <si>
    <t>1251121963814</t>
  </si>
  <si>
    <t>Thép cuộn cán nóng 4.45x141X SS400 II</t>
  </si>
  <si>
    <t>4.45×1412×C</t>
  </si>
  <si>
    <t>1251121963807</t>
  </si>
  <si>
    <t>Thép cuộn cán nóng 4.45x141X SS400</t>
  </si>
  <si>
    <t>1251121963791</t>
  </si>
  <si>
    <t>Thép cuộn cán nóng 2.60x122Y SPHC II</t>
  </si>
  <si>
    <t>1251121963685</t>
  </si>
  <si>
    <t>Thép cuộn cán nóng 2.60x122Y SPHC</t>
  </si>
  <si>
    <t>1251121963678</t>
  </si>
  <si>
    <t>Thép cuộn cán nóng 2.30x122Y SPHC II</t>
  </si>
  <si>
    <t>1251121963661</t>
  </si>
  <si>
    <t>Thép cuộn cán nóng 2.30x122Y SPHC</t>
  </si>
  <si>
    <t>1251121963654</t>
  </si>
  <si>
    <t>Thép cuộn cán nóng 1.90x125X SPHC II</t>
  </si>
  <si>
    <t>1.90×1252×C</t>
  </si>
  <si>
    <t>1251121963647</t>
  </si>
  <si>
    <t>Thép cuộn cán nóng 1.90x125X SPHC</t>
  </si>
  <si>
    <t>1251121963630</t>
  </si>
  <si>
    <t>Thép cuộn cán nóng 2.05x123Y SAE1006 II</t>
  </si>
  <si>
    <t>1251121963623</t>
  </si>
  <si>
    <t>Thép cuộn cán nóng 2.05x123Y SAE1006</t>
  </si>
  <si>
    <t>1251121963616</t>
  </si>
  <si>
    <t>Thép cuộn cán nóng 2.75x120X SAE1006 II</t>
  </si>
  <si>
    <t>1251121963609</t>
  </si>
  <si>
    <t>Thép cuộn cán nóng 2.75x120X SAE1006</t>
  </si>
  <si>
    <t>1251121963593</t>
  </si>
  <si>
    <t>Thép cuộn cán nóng 3.20x122Y BJPC II</t>
  </si>
  <si>
    <t>1251121963586</t>
  </si>
  <si>
    <t>Thép cuộn cán nóng 3.20x122Y BJPC</t>
  </si>
  <si>
    <t>1251121963579</t>
  </si>
  <si>
    <t>Thép cuộn cán nóng 2.25x123Y BJPC II</t>
  </si>
  <si>
    <t>1251121963562</t>
  </si>
  <si>
    <t>Thép cuộn cán nóng 2.25x123Y BJPC</t>
  </si>
  <si>
    <t>1251121963555</t>
  </si>
  <si>
    <t>Thép cuộn cán nóng 2.15x123X SAE1006 II</t>
  </si>
  <si>
    <t>2.15×1232×C</t>
  </si>
  <si>
    <t>1251121963364</t>
  </si>
  <si>
    <t>Thép cuộn cán nóng 2.15x123X SAE1006</t>
  </si>
  <si>
    <t>1251121963357</t>
  </si>
  <si>
    <t>Thép cuộn cán nóng 2.30x119X BjPC II</t>
  </si>
  <si>
    <t>2.30×1192×C</t>
  </si>
  <si>
    <t>1251121963340</t>
  </si>
  <si>
    <t>Thép cuộn cán nóng 2.30x119X BjPC</t>
  </si>
  <si>
    <t>1251121963333</t>
  </si>
  <si>
    <t>Thép cuộn cán nóng 2.75x130X SAE1006 II</t>
  </si>
  <si>
    <t>2.75×1302×C</t>
  </si>
  <si>
    <t>1251121963326</t>
  </si>
  <si>
    <t>Thép cuộn cán nóng 2.75x130X SAE1006</t>
  </si>
  <si>
    <t>1251121963319</t>
  </si>
  <si>
    <t>Thép cuộn cán nóng 1.80x1212 SAE1006 II</t>
  </si>
  <si>
    <t>1251121963104</t>
  </si>
  <si>
    <t>Thép cuộn cán nóng 1.80x1212 SAE1006</t>
  </si>
  <si>
    <t>1251121963098</t>
  </si>
  <si>
    <t>Thép cuộn cán nóng 4.40x131X SS400 II</t>
  </si>
  <si>
    <t>4.40×1312×C</t>
  </si>
  <si>
    <t>1251121963067</t>
  </si>
  <si>
    <t>Thép cuộn cán nóng 4.40x131X SS400</t>
  </si>
  <si>
    <t>1251121963050</t>
  </si>
  <si>
    <t>Thép cuộn cán nóng 4.30x150X SS400 II</t>
  </si>
  <si>
    <t>4.30×1502×C</t>
  </si>
  <si>
    <t>1251121963043</t>
  </si>
  <si>
    <t>Thép cuộn cán nóng 4.30x150X SS400</t>
  </si>
  <si>
    <t>1251121963036</t>
  </si>
  <si>
    <t>Thép cuộn cán nóng 3.00x141X SS400 II</t>
  </si>
  <si>
    <t>3.00×1412×C</t>
  </si>
  <si>
    <t>1251121963029</t>
  </si>
  <si>
    <t>Thép cuộn cán nóng 3.00x141X SS400</t>
  </si>
  <si>
    <t>1251121963012</t>
  </si>
  <si>
    <t>Thép cuộn cán nóng 2.90x141X SS400 II</t>
  </si>
  <si>
    <t>2.90×1412×C</t>
  </si>
  <si>
    <t>1251121963005</t>
  </si>
  <si>
    <t>Thép cuộn cán nóng 2.90x141X SS400</t>
  </si>
  <si>
    <t>1251121962992</t>
  </si>
  <si>
    <t>Thép cuộn cán nóng 2.80x141X SS400 II</t>
  </si>
  <si>
    <t>2.80×1412×C</t>
  </si>
  <si>
    <t>1251121962985</t>
  </si>
  <si>
    <t>Thép cuộn cán nóng 2.80x141X SS400</t>
  </si>
  <si>
    <t>1251121962978</t>
  </si>
  <si>
    <t>Thép cuộn cán nóng 5.00x126X SAE1006 II</t>
  </si>
  <si>
    <t>5.00×1262×C</t>
  </si>
  <si>
    <t>1251121962961</t>
  </si>
  <si>
    <t>Thép cuộn cán nóng 5.00x126X SAE1006</t>
  </si>
  <si>
    <t>1251121962954</t>
  </si>
  <si>
    <t>Thép cuộn cán nóng 3.75x123X SAE1006 II</t>
  </si>
  <si>
    <t>3.75×1232×C</t>
  </si>
  <si>
    <t>1251121962947</t>
  </si>
  <si>
    <t>Thép cuộn cán nóng 3.75x123X SAE1006</t>
  </si>
  <si>
    <t>1251121962930</t>
  </si>
  <si>
    <t>Thép cuộn cán nóng 1.90x125X S235JR</t>
  </si>
  <si>
    <t>1251121936092</t>
  </si>
  <si>
    <t>Thép cuộn cán nóng 11.75x152X S275JR II</t>
  </si>
  <si>
    <t>11.75×1522×C</t>
  </si>
  <si>
    <t>1251121936085</t>
  </si>
  <si>
    <t>Thép cuộn cán nóng 11.75x152X S275JR</t>
  </si>
  <si>
    <t>1251121936078</t>
  </si>
  <si>
    <t>Thép cuộn cán nóng 5.75x134X S275JR II</t>
  </si>
  <si>
    <t>5.75×1342×C</t>
  </si>
  <si>
    <t>1251121936061</t>
  </si>
  <si>
    <t>Thép cuộn cán nóng 5.75x134X S275JR</t>
  </si>
  <si>
    <t>1251121936054</t>
  </si>
  <si>
    <t>Thép cuộn cán nóng 4.75x134X S275JR II</t>
  </si>
  <si>
    <t>4.75×1342×C</t>
  </si>
  <si>
    <t>1251121936047</t>
  </si>
  <si>
    <t>Thép cuộn cán nóng 4.75x134X S275JR</t>
  </si>
  <si>
    <t>1251121936030</t>
  </si>
  <si>
    <t>Thép cuộn cán nóng 4.70x134X S275JR II</t>
  </si>
  <si>
    <t>4.70×1342×C</t>
  </si>
  <si>
    <t>1251121936023</t>
  </si>
  <si>
    <t>Thép cuộn cán nóng 4.70x134X S275JR</t>
  </si>
  <si>
    <t>1251121936016</t>
  </si>
  <si>
    <t>Thép cuộn cán nóng 2.70x152X S275JR II</t>
  </si>
  <si>
    <t>2.70×1522×C</t>
  </si>
  <si>
    <t>1251121936009</t>
  </si>
  <si>
    <t>Thép cuộn cán nóng 2.70x152X S275JR</t>
  </si>
  <si>
    <t>1251121935996</t>
  </si>
  <si>
    <t>Thép cuộn cán nóng 6.10x151Y S275JR II</t>
  </si>
  <si>
    <t>6.10×1517×C</t>
  </si>
  <si>
    <t>1251121935989</t>
  </si>
  <si>
    <t>Thép cuộn cán nóng 6.10x151Y S275JR</t>
  </si>
  <si>
    <t>1251121935972</t>
  </si>
  <si>
    <t>Thép cuộn cán nóng 11.60x149Y S275JR II</t>
  </si>
  <si>
    <t>11.60×1497×C</t>
  </si>
  <si>
    <t>1251121935965</t>
  </si>
  <si>
    <t>Thép cuộn cán nóng 11.60x149Y S275JR</t>
  </si>
  <si>
    <t>1251121935958</t>
  </si>
  <si>
    <t>Thép cuộn cán nóng 8.50x124Y S275JR II</t>
  </si>
  <si>
    <t>8.50×1247×C</t>
  </si>
  <si>
    <t>1251121935941</t>
  </si>
  <si>
    <t>Thép cuộn cán nóng 8.50x124Y S275JR</t>
  </si>
  <si>
    <t>1251121935934</t>
  </si>
  <si>
    <t>Thép cuộn cán nóng 5.00x111X SAE1008 II</t>
  </si>
  <si>
    <t>5.00×1112×C</t>
  </si>
  <si>
    <t>1251121935927</t>
  </si>
  <si>
    <t>Thép cuộn cán nóng 5.00x111X SAE1008</t>
  </si>
  <si>
    <t>1251121935910</t>
  </si>
  <si>
    <t>Thép cuộn cán nóng 5.59x107X SAE1008 II</t>
  </si>
  <si>
    <t>5.59×1072×C</t>
  </si>
  <si>
    <t>1251121935903</t>
  </si>
  <si>
    <t>Thép cuộn cán nóng 5.59x107X SAE1008</t>
  </si>
  <si>
    <t>1251121935897</t>
  </si>
  <si>
    <t>Thép cuộn cán nóng 1.88x121Y SPHC II</t>
  </si>
  <si>
    <t>1.88×1217×C</t>
  </si>
  <si>
    <t>1251121935880</t>
  </si>
  <si>
    <t>Thép cuộn cán nóng 1.88x121Y SPHC</t>
  </si>
  <si>
    <t>1251121935873</t>
  </si>
  <si>
    <t>Thép cuộn cán nóng 1.78x121Y SPHC II</t>
  </si>
  <si>
    <t>1.78×1217×C</t>
  </si>
  <si>
    <t>1251121935866</t>
  </si>
  <si>
    <t>Thép cuộn cán nóng 1.78x121Y SPHC</t>
  </si>
  <si>
    <t>1251121935859</t>
  </si>
  <si>
    <t>Thép cuộn cán nóng 2.10x125Y SPHC II</t>
  </si>
  <si>
    <t>2.10×1257×C</t>
  </si>
  <si>
    <t>1251121935842</t>
  </si>
  <si>
    <t>Thép cuộn cán nóng 2.10x125Y SPHC</t>
  </si>
  <si>
    <t>1251121935835</t>
  </si>
  <si>
    <t>Thép cuộn cán nóng 2.50x125Y SPHC II</t>
  </si>
  <si>
    <t>2.50×1257×C</t>
  </si>
  <si>
    <t>1251121935828</t>
  </si>
  <si>
    <t>Thép cuộn cán nóng 2.50x125Y SPHC</t>
  </si>
  <si>
    <t>1251121935811</t>
  </si>
  <si>
    <t>Thép cuộn cán nóng 3.00x125Y SPHC II</t>
  </si>
  <si>
    <t>3.00×1257×C</t>
  </si>
  <si>
    <t>1251121935804</t>
  </si>
  <si>
    <t>Thép cuộn cán nóng 3.00x125Y SPHC</t>
  </si>
  <si>
    <t>1251121935798</t>
  </si>
  <si>
    <t>Thép cuộn cán nóng 2.00x125Y SPHC II</t>
  </si>
  <si>
    <t>2.00×1257×C</t>
  </si>
  <si>
    <t>1251121935781</t>
  </si>
  <si>
    <t>Thép cuộn cán nóng 2.00x125Y SPHC</t>
  </si>
  <si>
    <t>1251121935774</t>
  </si>
  <si>
    <t>Thép cuộn cán nóng 1.50x121Y SAE1006 II</t>
  </si>
  <si>
    <t>1251121935767</t>
  </si>
  <si>
    <t>Thép cuộn cán nóng 1.50x121Y SAE1006</t>
  </si>
  <si>
    <t>1251121935750</t>
  </si>
  <si>
    <t>Thép cuộn cán nóng 2.10x126X SAE1006 II</t>
  </si>
  <si>
    <t>1251121935743</t>
  </si>
  <si>
    <t>Thép cuộn cán nóng 2.10x126X SAE1006</t>
  </si>
  <si>
    <t>1251121935736</t>
  </si>
  <si>
    <t>Thép cuộn cán nóng 2.10x123X SAE1006 II</t>
  </si>
  <si>
    <t>2.10×1232×C</t>
  </si>
  <si>
    <t>1251121935729</t>
  </si>
  <si>
    <t>Thép cuộn cán nóng 2.10x123X SAE1006</t>
  </si>
  <si>
    <t>1251121935712</t>
  </si>
  <si>
    <t>Thép cuộn cán nóng 2.87x137Y SS400 II</t>
  </si>
  <si>
    <t>2.87×1377×C</t>
  </si>
  <si>
    <t>1251121935705</t>
  </si>
  <si>
    <t>Thép cuộn cán nóng 2.87x137Y SS400</t>
  </si>
  <si>
    <t>1251121935699</t>
  </si>
  <si>
    <t>Thép cuộn cán nóng 2.30x137Y SS400 II</t>
  </si>
  <si>
    <t>2.30×1377×C</t>
  </si>
  <si>
    <t>1251121935682</t>
  </si>
  <si>
    <t>Thép cuộn cán nóng 2.30x137Y SS400</t>
  </si>
  <si>
    <t>1251121935675</t>
  </si>
  <si>
    <t>Thép cuộn cán nóng 3.58x137Y SS400 II</t>
  </si>
  <si>
    <t>3.58×1377×C</t>
  </si>
  <si>
    <t>1251121935668</t>
  </si>
  <si>
    <t>Thép cuộn cán nóng 3.58x137Y SS400</t>
  </si>
  <si>
    <t>1251121935651</t>
  </si>
  <si>
    <t>Thép cuộn cán nóng 7.35x137Y SS400 II</t>
  </si>
  <si>
    <t>7.35×1377×C</t>
  </si>
  <si>
    <t>1251121935644</t>
  </si>
  <si>
    <t>Thép cuộn cán nóng 7.35x137Y SS400</t>
  </si>
  <si>
    <t>1251121935637</t>
  </si>
  <si>
    <t>Thép cuộn cán nóng 5.80x120Y SS400 II</t>
  </si>
  <si>
    <t>5.80×1207×C</t>
  </si>
  <si>
    <t>1251121935620</t>
  </si>
  <si>
    <t>Thép cuộn cán nóng 5.80x120Y SS400</t>
  </si>
  <si>
    <t>1251121935613</t>
  </si>
  <si>
    <t>Thép cuộn cán nóng 2.87x120Y SS400 II</t>
  </si>
  <si>
    <t>2.87×1207×C</t>
  </si>
  <si>
    <t>1251121935606</t>
  </si>
  <si>
    <t>Thép cuộn cán nóng 2.87x120Y SS400</t>
  </si>
  <si>
    <t>1251121935590</t>
  </si>
  <si>
    <t>Thép cuộn cán nóng 2.46x120Y SS400 II</t>
  </si>
  <si>
    <t>2.46×1207×C</t>
  </si>
  <si>
    <t>1251121935583</t>
  </si>
  <si>
    <t>Thép cuộn cán nóng 2.46x120Y SS400</t>
  </si>
  <si>
    <t>1251121935576</t>
  </si>
  <si>
    <t>Thép cuộn cán nóng 4.35x120Y SS400 II</t>
  </si>
  <si>
    <t>4.35×1207×C</t>
  </si>
  <si>
    <t>1251121935569</t>
  </si>
  <si>
    <t>Thép cuộn cán nóng 4.35x120Y SS400</t>
  </si>
  <si>
    <t>1251121935552</t>
  </si>
  <si>
    <t>Thép cuộn cán nóng 2.87x105X SS400 II</t>
  </si>
  <si>
    <t>2.87×1052×C</t>
  </si>
  <si>
    <t>1251121935545</t>
  </si>
  <si>
    <t>Thép cuộn cán nóng 2.87x105X SS400</t>
  </si>
  <si>
    <t>1251121935538</t>
  </si>
  <si>
    <t>Thép cuộn cán nóng 6.35x105X SS400 II</t>
  </si>
  <si>
    <t>6.35×1052×C</t>
  </si>
  <si>
    <t>1251121935521</t>
  </si>
  <si>
    <t>Thép cuộn cán nóng 6.35x105X SS400</t>
  </si>
  <si>
    <t>1251121935514</t>
  </si>
  <si>
    <t>Thép cuộn cán nóng 4.25x105X SS400 II</t>
  </si>
  <si>
    <t>4.25×1052×C</t>
  </si>
  <si>
    <t>1251121935507</t>
  </si>
  <si>
    <t>Thép cuộn cán nóng 4.25x105X SS400</t>
  </si>
  <si>
    <t>1251121935491</t>
  </si>
  <si>
    <t>Thép cuộn cán nóng 3.40x131X SS400 II</t>
  </si>
  <si>
    <t>3.40×1312×C</t>
  </si>
  <si>
    <t>1251121935361</t>
  </si>
  <si>
    <t>Thép cuộn cán nóng 3.40x131X SS400</t>
  </si>
  <si>
    <t>1251121935354</t>
  </si>
  <si>
    <t>Thép cuộn cán nóng 3.32x131X SS400 II</t>
  </si>
  <si>
    <t>3.32×1312×C</t>
  </si>
  <si>
    <t>1251121935347</t>
  </si>
  <si>
    <t>Thép cuộn cán nóng 3.32x131X SS400</t>
  </si>
  <si>
    <t>1251121935330</t>
  </si>
  <si>
    <t>Thép cuộn cán nóng 5.70x106X SS400 II</t>
  </si>
  <si>
    <t>5.70×1062×C</t>
  </si>
  <si>
    <t>1251121935323</t>
  </si>
  <si>
    <t>Thép cuộn cán nóng 5.70x106X SS400</t>
  </si>
  <si>
    <t>1251121935316</t>
  </si>
  <si>
    <t>Thép cuộn cán nóng 3.00x106X SS400 II</t>
  </si>
  <si>
    <t>3.00×1062×C</t>
  </si>
  <si>
    <t>1251121935309</t>
  </si>
  <si>
    <t>Thép cuộn cán nóng 3.00x106X SS400</t>
  </si>
  <si>
    <t>1251121935293</t>
  </si>
  <si>
    <t>Thép cuộn cán nóng 2.65x104X SS400 II</t>
  </si>
  <si>
    <t>2.65×1042×C</t>
  </si>
  <si>
    <t>1251121935286</t>
  </si>
  <si>
    <t>Thép cuộn cán nóng 2.65x104X SS400</t>
  </si>
  <si>
    <t>1251121935279</t>
  </si>
  <si>
    <t>Thép cuộn cán nóng 2.40x104X SS400 II</t>
  </si>
  <si>
    <t>2.40×1042×C</t>
  </si>
  <si>
    <t>1251121935262</t>
  </si>
  <si>
    <t>Thép cuộn cán nóng 2.40x104X SS400</t>
  </si>
  <si>
    <t>1251121935255</t>
  </si>
  <si>
    <t>Thép cuộn cán nóng 3.65x120X SS400 II</t>
  </si>
  <si>
    <t>3.65×1202×C</t>
  </si>
  <si>
    <t>1251121935248</t>
  </si>
  <si>
    <t>Thép cuộn cán nóng 3.65x120X SS400</t>
  </si>
  <si>
    <t>1251121935231</t>
  </si>
  <si>
    <t>Thép cuộn cán nóng 3.00x130X SPHC II</t>
  </si>
  <si>
    <t>3.00×1302×C</t>
  </si>
  <si>
    <t>1251121935224</t>
  </si>
  <si>
    <t>Thép cuộn cán nóng 3.00x130X SPHC</t>
  </si>
  <si>
    <t>1251121935217</t>
  </si>
  <si>
    <t>Thép cuộn cán nóng 2.30x130X SPHC II</t>
  </si>
  <si>
    <t>2.30×1302×C</t>
  </si>
  <si>
    <t>1251121935200</t>
  </si>
  <si>
    <t>Thép cuộn cán nóng 2.30x130X SPHC</t>
  </si>
  <si>
    <t>1251121935194</t>
  </si>
  <si>
    <t>Thép cuộn cán nóng 2.00x130X SPHC II</t>
  </si>
  <si>
    <t>2.00×1302×C</t>
  </si>
  <si>
    <t>1251121935187</t>
  </si>
  <si>
    <t>Thép cuộn cán nóng 2.00x130X SPHC</t>
  </si>
  <si>
    <t>1251121935170</t>
  </si>
  <si>
    <t>Thép cuộn cán nóng 2.20x120X SPHC II</t>
  </si>
  <si>
    <t>2.20×1202×C</t>
  </si>
  <si>
    <t>1251121935163</t>
  </si>
  <si>
    <t>Thép cuộn cán nóng 2.20x120X SPHC</t>
  </si>
  <si>
    <t>1251121935156</t>
  </si>
  <si>
    <t>Thép cuộn cán nóng 3.00x121Y SPHC II</t>
  </si>
  <si>
    <t>1251121935149</t>
  </si>
  <si>
    <t>Thép cuộn cán nóng 3.00x121Y SPHC</t>
  </si>
  <si>
    <t>1251121935132</t>
  </si>
  <si>
    <t>Thép cuộn cán nóng 2.05x121Y SPHC II</t>
  </si>
  <si>
    <t>2.05×1217×C</t>
  </si>
  <si>
    <t>1251121935125</t>
  </si>
  <si>
    <t>Thép cuộn cán nóng 2.05x121Y SPHC</t>
  </si>
  <si>
    <t>1251121935118</t>
  </si>
  <si>
    <t>Thép cuộn cán nóng 3.95x115Y SAE1006 II</t>
  </si>
  <si>
    <t>3.95×1157×C</t>
  </si>
  <si>
    <t>1251121935101</t>
  </si>
  <si>
    <t>Thép cuộn cán nóng 3.95x115Y SAE1006</t>
  </si>
  <si>
    <t>1251121935095</t>
  </si>
  <si>
    <t>Thép cuộn cán nóng 3.45x114X SAE1006 II</t>
  </si>
  <si>
    <t>3.45×1142×C</t>
  </si>
  <si>
    <t>1251121935088</t>
  </si>
  <si>
    <t>Thép cuộn cán nóng 3.45x114X SAE1006</t>
  </si>
  <si>
    <t>1251121935071</t>
  </si>
  <si>
    <t>Thép cuộn cán nóng 2.65x125X SAE1006 II</t>
  </si>
  <si>
    <t>2.65×1252×C</t>
  </si>
  <si>
    <t>1251121935064</t>
  </si>
  <si>
    <t>Thép cuộn cán nóng 2.65x125X SAE1006</t>
  </si>
  <si>
    <t>1251121935057</t>
  </si>
  <si>
    <t>Thép cuộn cán nóng 2.90x123X SAE1006 II</t>
  </si>
  <si>
    <t>2.90×1232×C</t>
  </si>
  <si>
    <t>1251121935040</t>
  </si>
  <si>
    <t>Thép cuộn cán nóng 2.90x123X SAE1006</t>
  </si>
  <si>
    <t>1251121935033</t>
  </si>
  <si>
    <t>Thép cuộn cán nóng 2.00x122X SAE1006 II</t>
  </si>
  <si>
    <t>2.00×1222×C</t>
  </si>
  <si>
    <t>1251121935026</t>
  </si>
  <si>
    <t>Thép cuộn cán nóng 2.00x122X SAE1006</t>
  </si>
  <si>
    <t>1251121935019</t>
  </si>
  <si>
    <t>Thép cuộn cán nóng 4.50x123X SAE1006 II</t>
  </si>
  <si>
    <t>4.50×1232×C</t>
  </si>
  <si>
    <t>1251121935002</t>
  </si>
  <si>
    <t>Thép cuộn cán nóng 4.50x123X SAE1006</t>
  </si>
  <si>
    <t>1251121934999</t>
  </si>
  <si>
    <t>Thép cuộn cán nóng 2.75x123X SAE1006 II</t>
  </si>
  <si>
    <t>2.75×1232×C</t>
  </si>
  <si>
    <t>1251121934982</t>
  </si>
  <si>
    <t>Thép cuộn cán nóng 2.75x123X SAE1006</t>
  </si>
  <si>
    <t>1251121934975</t>
  </si>
  <si>
    <t>Thép cuộn cán nóng 3.50x115Y SAE1006 II</t>
  </si>
  <si>
    <t>3.50×1157×C</t>
  </si>
  <si>
    <t>1251121934968</t>
  </si>
  <si>
    <t>Thép cuộn cán nóng 3.50x115Y SAE1006</t>
  </si>
  <si>
    <t>1251121934951</t>
  </si>
  <si>
    <t>Thép cuộn cán nóng 2.60x128Y SAE1006 II</t>
  </si>
  <si>
    <t>2.60×1287×C</t>
  </si>
  <si>
    <t>1251121934944</t>
  </si>
  <si>
    <t>Thép cuộn cán nóng 2.60x128Y SAE1006</t>
  </si>
  <si>
    <t>1251121934937</t>
  </si>
  <si>
    <t>Thép cuộn cán nóng 2.30x128Y SAE1006 II</t>
  </si>
  <si>
    <t>2.30×1287×C</t>
  </si>
  <si>
    <t>1251121934920</t>
  </si>
  <si>
    <t>Thép cuộn cán nóng 2.30x128Y SAE1006</t>
  </si>
  <si>
    <t>1251121934913</t>
  </si>
  <si>
    <t>Thép cuộn cán nóng 2.40x125X SAE1006 II</t>
  </si>
  <si>
    <t>2.40×1252×C</t>
  </si>
  <si>
    <t>1251121934906</t>
  </si>
  <si>
    <t>Thép cuộn cán nóng 2.40x125X SAE1006</t>
  </si>
  <si>
    <t>1251121934890</t>
  </si>
  <si>
    <t>Thép cuộn cán nóng 4.00x105X SAE1006 II</t>
  </si>
  <si>
    <t>4.00×1052×C</t>
  </si>
  <si>
    <t>1251121934883</t>
  </si>
  <si>
    <t>Thép cuộn cán nóng 4.00x105X SAE1006</t>
  </si>
  <si>
    <t>1251121934876</t>
  </si>
  <si>
    <t>Thép cuộn cán nóng 3.20x105X SAE1006 II</t>
  </si>
  <si>
    <t>3.20×1052×C</t>
  </si>
  <si>
    <t>1251121934869</t>
  </si>
  <si>
    <t>Thép cuộn cán nóng 3.20x105X SAE1006</t>
  </si>
  <si>
    <t>1251121934852</t>
  </si>
  <si>
    <t>Thép cuộn cán nóng 3.50x114X SAE1006 II</t>
  </si>
  <si>
    <t>3.50×1142×C</t>
  </si>
  <si>
    <t>1251121934845</t>
  </si>
  <si>
    <t>Thép cuộn cán nóng 3.50x114X SAE1006</t>
  </si>
  <si>
    <t>1251121934838</t>
  </si>
  <si>
    <t>Thép cuộn cán nóng 3.50x110X SAE1006 II</t>
  </si>
  <si>
    <t>3.50×1102×C</t>
  </si>
  <si>
    <t>1251121934821</t>
  </si>
  <si>
    <t>Thép cuộn cán nóng 3.50x110X SAE1006</t>
  </si>
  <si>
    <t>1251121934814</t>
  </si>
  <si>
    <t>Thép cuộn cán nóng 3.50x105X SAE1006 II</t>
  </si>
  <si>
    <t>3.50×1052×C</t>
  </si>
  <si>
    <t>1251121934807</t>
  </si>
  <si>
    <t>Thép cuộn cán nóng 3.50x105X SAE1006</t>
  </si>
  <si>
    <t>1251121934791</t>
  </si>
  <si>
    <t>Thép cuộn cán nóng 2.80x105X SAE1006 II</t>
  </si>
  <si>
    <t>2.80×1052×C</t>
  </si>
  <si>
    <t>1251121934784</t>
  </si>
  <si>
    <t>Thép cuộn cán nóng 2.80x105X SAE1006</t>
  </si>
  <si>
    <t>1251121934777</t>
  </si>
  <si>
    <t>Thép cuộn cán nóng 3.80x100X SAE1006 II</t>
  </si>
  <si>
    <t>3.80×1002×C</t>
  </si>
  <si>
    <t>1251121934760</t>
  </si>
  <si>
    <t>Thép cuộn cán nóng 3.80x100X SAE1006</t>
  </si>
  <si>
    <t>1251121934753</t>
  </si>
  <si>
    <t>Thép cuộn cán nóng 3.20x100X SAE1006 II</t>
  </si>
  <si>
    <t>3.20×1002×C</t>
  </si>
  <si>
    <t>1251121934746</t>
  </si>
  <si>
    <t>Thép cuộn cán nóng 3.20x100X SAE1006</t>
  </si>
  <si>
    <t>1251121934739</t>
  </si>
  <si>
    <t>Thép cuộn cán nóng 3.00x100X SAE1006 II</t>
  </si>
  <si>
    <t>3.00×1002×C</t>
  </si>
  <si>
    <t>1251121934722</t>
  </si>
  <si>
    <t>Thép cuộn cán nóng 3.00x100X SAE1006</t>
  </si>
  <si>
    <t>1251121934715</t>
  </si>
  <si>
    <t>Thép cuộn cán nóng 2.80x100X SAE1006 II</t>
  </si>
  <si>
    <t>2.80×1002×C</t>
  </si>
  <si>
    <t>1251121934708</t>
  </si>
  <si>
    <t>Thép cuộn cán nóng 2.80x100X SAE1006</t>
  </si>
  <si>
    <t>1251121934692</t>
  </si>
  <si>
    <t>Thép cuộn cán nóng 2.50x100X SAE1006 II</t>
  </si>
  <si>
    <t>2.50×1002×C</t>
  </si>
  <si>
    <t>1251121934685</t>
  </si>
  <si>
    <t>Thép cuộn cán nóng 2.50x100X SAE1006</t>
  </si>
  <si>
    <t>1251121934678</t>
  </si>
  <si>
    <t>Thép cuộn cán nóng 2.30x100X SAE1006 II</t>
  </si>
  <si>
    <t>2.30×1002×C</t>
  </si>
  <si>
    <t>1251121934661</t>
  </si>
  <si>
    <t>Thép cuộn cán nóng 2.30x100X SAE1006</t>
  </si>
  <si>
    <t>1251121934654</t>
  </si>
  <si>
    <t>Thép cuộn cán nóng 2.00x100X SAE1006 II</t>
  </si>
  <si>
    <t>2.00×1002×C</t>
  </si>
  <si>
    <t>1251121934647</t>
  </si>
  <si>
    <t>Thép cuộn cán nóng 2.00x100X SAE1006</t>
  </si>
  <si>
    <t>1251121934630</t>
  </si>
  <si>
    <t>Thép cuộn cán nóng 3.00x121Y SAE1008 II</t>
  </si>
  <si>
    <t>1251121934623</t>
  </si>
  <si>
    <t>Thép cuộn cán nóng 3.00x121Y SAE1008</t>
  </si>
  <si>
    <t>1251121934616</t>
  </si>
  <si>
    <t>Thép cuộn cán nóng 2.45x131Y S235JR II</t>
  </si>
  <si>
    <t>2.45×1317×C</t>
  </si>
  <si>
    <t>1251121934609</t>
  </si>
  <si>
    <t>Thép cuộn cán nóng 2.45x131Y S235JR</t>
  </si>
  <si>
    <t>1251121934593</t>
  </si>
  <si>
    <t>Thép cuộn cán nóng 2.12x131Y S235JR II</t>
  </si>
  <si>
    <t>1251121934586</t>
  </si>
  <si>
    <t>Thép cuộn cán nóng 2.12x131Y S235JR</t>
  </si>
  <si>
    <t>1251121934579</t>
  </si>
  <si>
    <t>Thép cuộn cán nóng 2.00x131Y S235JR II</t>
  </si>
  <si>
    <t>2.00×1317×C</t>
  </si>
  <si>
    <t>1251121934562</t>
  </si>
  <si>
    <t>Thép cuộn cán nóng 2.00x131Y S235JR</t>
  </si>
  <si>
    <t>1251121934555</t>
  </si>
  <si>
    <t>Thép cuộn cán nóng 1.90x131Y S235JR II</t>
  </si>
  <si>
    <t>1.90×1317×C</t>
  </si>
  <si>
    <t>1251121934548</t>
  </si>
  <si>
    <t>Thép cuộn cán nóng 1.90x131Y S235JR</t>
  </si>
  <si>
    <t>1251121934531</t>
  </si>
  <si>
    <t>Thép cuộn cán nóng 1.85x131Y S235JR II</t>
  </si>
  <si>
    <t>1.85×1317×C</t>
  </si>
  <si>
    <t>1251121934524</t>
  </si>
  <si>
    <t>Thép cuộn cán nóng 1.85x131Y S235JR</t>
  </si>
  <si>
    <t>1251121934517</t>
  </si>
  <si>
    <t>Thép cuộn cán nóng 2.50x123X S275JR II</t>
  </si>
  <si>
    <t>2.50×1232×C</t>
  </si>
  <si>
    <t>1251121934500</t>
  </si>
  <si>
    <t>Thép cuộn cán nóng 2.50x123X S275JR</t>
  </si>
  <si>
    <t>1251121934494</t>
  </si>
  <si>
    <t>Thép cuộn cán nóng 7.90x125X S275JR II</t>
  </si>
  <si>
    <t>7.90×1252×C</t>
  </si>
  <si>
    <t>1251121934487</t>
  </si>
  <si>
    <t>Thép cuộn cán nóng 7.90x125X S275JR</t>
  </si>
  <si>
    <t>1251121934470</t>
  </si>
  <si>
    <t>Thép cuộn cán nóng 4.95x150X S275JR II</t>
  </si>
  <si>
    <t>4.95×1502×C</t>
  </si>
  <si>
    <t>1251121934463</t>
  </si>
  <si>
    <t>Thép cuộn cán nóng 4.95x150X S275JR</t>
  </si>
  <si>
    <t>1251121934456</t>
  </si>
  <si>
    <t>Thép cuộn cán nóng 2.95x125X S275JR II</t>
  </si>
  <si>
    <t>2.95×1252×C</t>
  </si>
  <si>
    <t>1251121934449</t>
  </si>
  <si>
    <t>Thép cuộn cán nóng 2.95x125X S275JR</t>
  </si>
  <si>
    <t>1251121934432</t>
  </si>
  <si>
    <t>Thép cuộn cán nóng 5.00x146X S275JR II</t>
  </si>
  <si>
    <t>5.00×1462×C</t>
  </si>
  <si>
    <t>1251121934425</t>
  </si>
  <si>
    <t>Thép cuộn cán nóng 5.00x146X S275JR</t>
  </si>
  <si>
    <t>1251121934418</t>
  </si>
  <si>
    <t>Thép cuộn cán nóng 3.50x146X S275JR II</t>
  </si>
  <si>
    <t>3.50×1462×C</t>
  </si>
  <si>
    <t>1251121934401</t>
  </si>
  <si>
    <t>Thép cuộn cán nóng 3.50x146X S275JR</t>
  </si>
  <si>
    <t>1251121934395</t>
  </si>
  <si>
    <t>Thép cuộn cán nóng 9.90x150X S275JR II</t>
  </si>
  <si>
    <t>1251121934388</t>
  </si>
  <si>
    <t>Thép cuộn cán nóng 9.90x150X S275JR</t>
  </si>
  <si>
    <t>1251121934371</t>
  </si>
  <si>
    <t>Thép cuộn cán nóng 9.90x125X S275JR II</t>
  </si>
  <si>
    <t>9.90×1252×C</t>
  </si>
  <si>
    <t>1251121934364</t>
  </si>
  <si>
    <t>Thép cuộn cán nóng 9.90x125X S275JR</t>
  </si>
  <si>
    <t>1251121934357</t>
  </si>
  <si>
    <t>Thép cuộn cán nóng 7.90x150X S275JR II</t>
  </si>
  <si>
    <t>1251121934340</t>
  </si>
  <si>
    <t>Thép cuộn cán nóng 7.90x150X S275JR</t>
  </si>
  <si>
    <t>1251121934333</t>
  </si>
  <si>
    <t>Thép cuộn cán nóng 5.90x150X S275JR II</t>
  </si>
  <si>
    <t>1251121934326</t>
  </si>
  <si>
    <t>Thép cuộn cán nóng 5.90x150X S275JR</t>
  </si>
  <si>
    <t>1251121934319</t>
  </si>
  <si>
    <t>Thép cuộn cán nóng 5.90x125X S275JR II</t>
  </si>
  <si>
    <t>5.90×1252×C</t>
  </si>
  <si>
    <t>1251121934302</t>
  </si>
  <si>
    <t>Thép cuộn cán nóng 5.90x125X S275JR</t>
  </si>
  <si>
    <t>1251121934296</t>
  </si>
  <si>
    <t>Thép cuộn cán nóng 4.90x150X S275JR II</t>
  </si>
  <si>
    <t>1251121934289</t>
  </si>
  <si>
    <t>Thép cuộn cán nóng 4.90x150X S275JR</t>
  </si>
  <si>
    <t>1251121934272</t>
  </si>
  <si>
    <t>Thép cuộn cán nóng 4.90x125X S275JR II</t>
  </si>
  <si>
    <t>4.90×1252×C</t>
  </si>
  <si>
    <t>1251121934265</t>
  </si>
  <si>
    <t>Thép cuộn cán nóng 4.90x125X S275JR</t>
  </si>
  <si>
    <t>1251121934258</t>
  </si>
  <si>
    <t>Thép cuộn cán nóng 4.80x150X S275JR II</t>
  </si>
  <si>
    <t>1251121934241</t>
  </si>
  <si>
    <t>Thép cuộn cán nóng 4.80x150X S275JR</t>
  </si>
  <si>
    <t>1251121934234</t>
  </si>
  <si>
    <t>Thép cuộn cán nóng 3.90x125X S275JR II</t>
  </si>
  <si>
    <t>3.90×1252×C</t>
  </si>
  <si>
    <t>1251121934227</t>
  </si>
  <si>
    <t>Thép cuộn cán nóng 3.90x125X S275JR</t>
  </si>
  <si>
    <t>1251121934210</t>
  </si>
  <si>
    <t>Thép cuộn cán nóng 2.95x150X S275JR II</t>
  </si>
  <si>
    <t>2.95×1502×C</t>
  </si>
  <si>
    <t>1251121934203</t>
  </si>
  <si>
    <t>Thép cuộn cán nóng 2.95x150X S275JR</t>
  </si>
  <si>
    <t>1251121934197</t>
  </si>
  <si>
    <t>Thép cuộn cán nóng 2.45x150X S275JR II</t>
  </si>
  <si>
    <t>1251121934180</t>
  </si>
  <si>
    <t>Thép cuộn cán nóng 2.45x150X S275JR</t>
  </si>
  <si>
    <t>1251121934173</t>
  </si>
  <si>
    <t>Thép cuộn cán nóng 2.45x125X S275JR II</t>
  </si>
  <si>
    <t>1251121934166</t>
  </si>
  <si>
    <t>Thép cuộn cán nóng 2.45x125X S275JR</t>
  </si>
  <si>
    <t>1251121934159</t>
  </si>
  <si>
    <t>Thép cuộn cán nóng 2.40x150X S275JR II</t>
  </si>
  <si>
    <t>1251121934142</t>
  </si>
  <si>
    <t>Thép cuộn cán nóng 2.40x150X S275JR</t>
  </si>
  <si>
    <t>1251121934135</t>
  </si>
  <si>
    <t>Thép cuộn cán nóng 3.67x129X S275JR II</t>
  </si>
  <si>
    <t>3.67×1292×C</t>
  </si>
  <si>
    <t>1251121934128</t>
  </si>
  <si>
    <t>Thép cuộn cán nóng 3.67x129X S275JR</t>
  </si>
  <si>
    <t>1251121934111</t>
  </si>
  <si>
    <t>Thép cuộn cán nóng 2.87x121Y S275JR II</t>
  </si>
  <si>
    <t>2.87×1217×C</t>
  </si>
  <si>
    <t>1251121934104</t>
  </si>
  <si>
    <t>Thép cuộn cán nóng 2.87x121Y S275JR</t>
  </si>
  <si>
    <t>1251121934098</t>
  </si>
  <si>
    <t>Thép HRC HSPM 4.00x123X SAE1006 II</t>
  </si>
  <si>
    <t>4.00×1232×C</t>
  </si>
  <si>
    <t>1251122100720</t>
  </si>
  <si>
    <t>Thép HRC HSPM 3.00x123X SAE1006 II</t>
  </si>
  <si>
    <t>3.00×1232×C</t>
  </si>
  <si>
    <t>1251122100706</t>
  </si>
  <si>
    <t>Thép HRC HSPM 2.50x123X SAE1006 II</t>
  </si>
  <si>
    <t>1251122100683</t>
  </si>
  <si>
    <t>Thép HRC HSPM 2.30x123X SAE1006 II</t>
  </si>
  <si>
    <t>2.30×1232×C</t>
  </si>
  <si>
    <t>1251122100669</t>
  </si>
  <si>
    <t>Thép HRC HSPM 2.00x123X SAE1006 II</t>
  </si>
  <si>
    <t>2.00×1232×C</t>
  </si>
  <si>
    <t>1251122100645</t>
  </si>
  <si>
    <t>Thép HRC HSPM 2.95x151Y S275JR II</t>
  </si>
  <si>
    <t>2.95×1517×C</t>
  </si>
  <si>
    <t>1251122100621</t>
  </si>
  <si>
    <t>Thép HRC HSPM 2.50x146X S275JR II</t>
  </si>
  <si>
    <t>2.50×1462×C</t>
  </si>
  <si>
    <t>1251122100607</t>
  </si>
  <si>
    <t>Thép HRC HSPM 2.25x121Y S275JR II</t>
  </si>
  <si>
    <t>2.25×1217×C</t>
  </si>
  <si>
    <t>1251122100584</t>
  </si>
  <si>
    <t>Thép HRC HSPM 2.00x121Y S275JR II</t>
  </si>
  <si>
    <t>1251122100560</t>
  </si>
  <si>
    <t>Thép HRC HSPM 4.25x152X S275JR II</t>
  </si>
  <si>
    <t>4.25×1522×C</t>
  </si>
  <si>
    <t>1251122100546</t>
  </si>
  <si>
    <t>Thép HRC HSPM 3.75x152X S275JR II</t>
  </si>
  <si>
    <t>3.75×1522×C</t>
  </si>
  <si>
    <t>1251122100522</t>
  </si>
  <si>
    <t>Thép HRC HSPM 2.90x152X S275JR II</t>
  </si>
  <si>
    <t>2.90×1522×C</t>
  </si>
  <si>
    <t>1251122100508</t>
  </si>
  <si>
    <t>Thép HRC HSPM 2.93x152X S275JR II</t>
  </si>
  <si>
    <t>2.93×1522×C</t>
  </si>
  <si>
    <t>1251122100485</t>
  </si>
  <si>
    <t>Thép HRC HSPM 2.85x152X S275JR II</t>
  </si>
  <si>
    <t>2.85×1522×C</t>
  </si>
  <si>
    <t>1251122100461</t>
  </si>
  <si>
    <t>Thép HRC HSPM 2.75x152X S275JR II</t>
  </si>
  <si>
    <t>2.75×1522×C</t>
  </si>
  <si>
    <t>1251122100447</t>
  </si>
  <si>
    <t>Thép HRC HSPM 2.65x152X S275JR II</t>
  </si>
  <si>
    <t>2.65×1522×C</t>
  </si>
  <si>
    <t>1251122100423</t>
  </si>
  <si>
    <t>Thép HRC HSPM 3.90x151Y S275JR II</t>
  </si>
  <si>
    <t>3.90×1517×C</t>
  </si>
  <si>
    <t>1251122100409</t>
  </si>
  <si>
    <t>Thép HRC HSPM 2.90x151Y S275JR II</t>
  </si>
  <si>
    <t>2.90×1517×C</t>
  </si>
  <si>
    <t>1251122100386</t>
  </si>
  <si>
    <t>Thép HRC HSPM 2.70x151Y S275JR II</t>
  </si>
  <si>
    <t>1251122100362</t>
  </si>
  <si>
    <t>Thép HRC HSPM 2.45x151Y S275JR II</t>
  </si>
  <si>
    <t>2.45×1517×C</t>
  </si>
  <si>
    <t>1251122100348</t>
  </si>
  <si>
    <t>Thép HRC HSPM 4.76x152X ASTM A36 II</t>
  </si>
  <si>
    <t>4.76×1522×C</t>
  </si>
  <si>
    <t>1251122100324</t>
  </si>
  <si>
    <t>Thép HRC HSPM 4.76x121Y ASTM A36 II</t>
  </si>
  <si>
    <t>4.76×1217×C</t>
  </si>
  <si>
    <t>1251122100300</t>
  </si>
  <si>
    <t>Thép HRC HSPM 3.42x152X ASTM A36 II</t>
  </si>
  <si>
    <t>3.42×1522×C</t>
  </si>
  <si>
    <t>1251122100287</t>
  </si>
  <si>
    <t>Thép HRC HSPM 2.25x121Y SPHC II</t>
  </si>
  <si>
    <t>1251122100263</t>
  </si>
  <si>
    <t>Thép HRC HSPM 1.82x121Y SAE1008 II</t>
  </si>
  <si>
    <t>1.82×1217×C</t>
  </si>
  <si>
    <t>1251122100225</t>
  </si>
  <si>
    <t>Thép HRC HSPM 2.59x121Y SAE1008 II</t>
  </si>
  <si>
    <t>2.59×1217×C</t>
  </si>
  <si>
    <t>1251122100201</t>
  </si>
  <si>
    <t>Thép HRC HSPM 4.76x121Y CS type B II</t>
  </si>
  <si>
    <t>1251122100188</t>
  </si>
  <si>
    <t>Thép HRC HSPM 3.04x121Y CS type B II</t>
  </si>
  <si>
    <t>1251122100164</t>
  </si>
  <si>
    <t>Thép HRC HSPM 2.63x121Y CS type B II</t>
  </si>
  <si>
    <t>2.63×1217×C</t>
  </si>
  <si>
    <t>1251122100140</t>
  </si>
  <si>
    <t>Thép HRC HSPM 1.80x121Y CS type B II</t>
  </si>
  <si>
    <t>1251122100126</t>
  </si>
  <si>
    <t>Thép HRC HSPM 2.90x121Y CS type B II</t>
  </si>
  <si>
    <t>1251122100102</t>
  </si>
  <si>
    <t>Thép HRC HSPM 3.30x121Y CS type B II</t>
  </si>
  <si>
    <t>1251122100089</t>
  </si>
  <si>
    <t>Thép HRC HSPM 2.55x121Y CS type B II</t>
  </si>
  <si>
    <t>1251122100065</t>
  </si>
  <si>
    <t>Thép HRC HSPM 2.25x151Y SPHC II</t>
  </si>
  <si>
    <t>1251122100041</t>
  </si>
  <si>
    <t>Thép HRC HSPM 2.00x151Y SPHC II</t>
  </si>
  <si>
    <t>2.00×1517×C</t>
  </si>
  <si>
    <t>1251122100027</t>
  </si>
  <si>
    <t>Thép HRC HSPM 2.00x121Y SPHC II</t>
  </si>
  <si>
    <t>1251122100249</t>
  </si>
  <si>
    <t>Thép HRC HSPM 2.00x151Y SPHC</t>
  </si>
  <si>
    <t>1251122100010</t>
  </si>
  <si>
    <t>Thép HRC HSPM 2.25x151Y SPHC</t>
  </si>
  <si>
    <t>1251122100034</t>
  </si>
  <si>
    <t>Thép HRC HSPM 2.55x121Y CS type B</t>
  </si>
  <si>
    <t>1251122100058</t>
  </si>
  <si>
    <t>Thép HRC HSPM 3.30x121Y CS type B</t>
  </si>
  <si>
    <t>1251122100072</t>
  </si>
  <si>
    <t>Thép HRC HSPM 2.90x121Y CS type B</t>
  </si>
  <si>
    <t>1251122100096</t>
  </si>
  <si>
    <t>Thép HRC HSPM 1.80x121Y CS type B</t>
  </si>
  <si>
    <t>1251122100119</t>
  </si>
  <si>
    <t>Thép HRC HSPM 2.63x121Y CS type B</t>
  </si>
  <si>
    <t>1251122100133</t>
  </si>
  <si>
    <t>Thép HRC HSPM 3.04x121Y CS type B</t>
  </si>
  <si>
    <t>1251122100157</t>
  </si>
  <si>
    <t>Thép HRC HSPM 4.76x121Y CS type B</t>
  </si>
  <si>
    <t>1251122100171</t>
  </si>
  <si>
    <t>Thép HRC HSPM 2.59x121Y SAE1008</t>
  </si>
  <si>
    <t>1251122100195</t>
  </si>
  <si>
    <t>Thép HRC HSPM 1.82x121Y SAE1008</t>
  </si>
  <si>
    <t>1251122100218</t>
  </si>
  <si>
    <t>Thép HRC HSPM 2.00x121Y SPHC</t>
  </si>
  <si>
    <t>1251122100232</t>
  </si>
  <si>
    <t>Thép HRC HSPM 2.25x121Y SPHC</t>
  </si>
  <si>
    <t>1251122100256</t>
  </si>
  <si>
    <t>Thép HRC HSPM 3.42x152X ASTM A36</t>
  </si>
  <si>
    <t>1251122100270</t>
  </si>
  <si>
    <t>Thép HRC HSPM 4.76x121Y ASTM A36</t>
  </si>
  <si>
    <t>1251122100294</t>
  </si>
  <si>
    <t>Thép HRC HSPM 4.76x152X ASTM A36</t>
  </si>
  <si>
    <t>1251122100317</t>
  </si>
  <si>
    <t>Thép HRC HSPM 3.90x151Y S275JR</t>
  </si>
  <si>
    <t>1251122100393</t>
  </si>
  <si>
    <t>Thép HRC HSPM 2.65x152X S275JR</t>
  </si>
  <si>
    <t>1251122100416</t>
  </si>
  <si>
    <t>Thép HRC HSPM 2.75x152X S275JR</t>
  </si>
  <si>
    <t>1251122100430</t>
  </si>
  <si>
    <t>Thép HRC HSPM 2.85x152X S275JR</t>
  </si>
  <si>
    <t>1251122100454</t>
  </si>
  <si>
    <t>Thép HRC HSPM 2.93x152X S275JR</t>
  </si>
  <si>
    <t>1251122100478</t>
  </si>
  <si>
    <t>Thép HRC HSPM 2.90x152X S275JR</t>
  </si>
  <si>
    <t>1251122100492</t>
  </si>
  <si>
    <t>Thép HRC HSPM 2.25x121Y S275JR</t>
  </si>
  <si>
    <t>1251122100577</t>
  </si>
  <si>
    <t>Thép HRC HSPM 2.50x146X S275JR</t>
  </si>
  <si>
    <t>1251122100591</t>
  </si>
  <si>
    <t>Thép HRC HSPM 2.95x151Y S275JR</t>
  </si>
  <si>
    <t>1251122100614</t>
  </si>
  <si>
    <t>Thép HRC HSPM 2.00x123X SAE1006</t>
  </si>
  <si>
    <t>1251122100638</t>
  </si>
  <si>
    <t>Thép HRC HSPM 2.30x123X SAE1006</t>
  </si>
  <si>
    <t>1251122100652</t>
  </si>
  <si>
    <t>Thép HRC HSPM 2.50x123X SAE1006</t>
  </si>
  <si>
    <t>1251122100676</t>
  </si>
  <si>
    <t>Thép HRC HSPM 3.00x123X SAE1006</t>
  </si>
  <si>
    <t>1251122100690</t>
  </si>
  <si>
    <t>Thép HRC HSPM 4.00x123X SAE1006</t>
  </si>
  <si>
    <t>1251122100713</t>
  </si>
  <si>
    <t>Thép HRC HSPM 2.45x151Y S275JR</t>
  </si>
  <si>
    <t>1251122100331</t>
  </si>
  <si>
    <t>Thép HRC HSPM 2.70x151Y S275JR</t>
  </si>
  <si>
    <t>1251122100355</t>
  </si>
  <si>
    <t>Thép HRC HSPM 2.90x151Y S275JR</t>
  </si>
  <si>
    <t>1251122100379</t>
  </si>
  <si>
    <t>Thép HRC HSPM 3.75x152X S275JR</t>
  </si>
  <si>
    <t>1251122100515</t>
  </si>
  <si>
    <t>Thép HRC HSPM 4.25x152X S275JR</t>
  </si>
  <si>
    <t>1251122100539</t>
  </si>
  <si>
    <t>Thép HRC HSPM 2.00x121Y S275JR</t>
  </si>
  <si>
    <t>1251122100553</t>
  </si>
  <si>
    <t>Thép cuộn cán nóng 4.00x124X SAE1006 II</t>
  </si>
  <si>
    <t>4.00×1242×C</t>
  </si>
  <si>
    <t>1251121955079</t>
  </si>
  <si>
    <t>Thép cuộn cán nóng 4.00x124X SAE1006</t>
  </si>
  <si>
    <t>1251121955062</t>
  </si>
  <si>
    <t>Thép cuộn cán nóng 5.70x134X S275JR II</t>
  </si>
  <si>
    <t>5.70×1342×C</t>
  </si>
  <si>
    <t>1251121955048</t>
  </si>
  <si>
    <t>Thép cuộn cán nóng 5.70x134X S275JR</t>
  </si>
  <si>
    <t>1251121955031</t>
  </si>
  <si>
    <t>Thép cuộn cán nóng 5.60x121X S275JR II</t>
  </si>
  <si>
    <t>5.60×1212×C</t>
  </si>
  <si>
    <t>1251121955024</t>
  </si>
  <si>
    <t>Thép cuộn cán nóng 5.60x121X S275JR</t>
  </si>
  <si>
    <t>1251121955017</t>
  </si>
  <si>
    <t>Thép cuộn cán nóng 5.00x126X SAE1008 II</t>
  </si>
  <si>
    <t>1251121955000</t>
  </si>
  <si>
    <t>Thép cuộn cán nóng 5.00x126X SAE1008</t>
  </si>
  <si>
    <t>1251121954997</t>
  </si>
  <si>
    <t>Thép cuộn cán nóng 4.50x126X SAE1008 II</t>
  </si>
  <si>
    <t>1251121954980</t>
  </si>
  <si>
    <t>Thép cuộn cán nóng 4.50x126X SAE1008</t>
  </si>
  <si>
    <t>1251121954973</t>
  </si>
  <si>
    <t>Thép cuộn cán nóng 4.25x121X S275JR II</t>
  </si>
  <si>
    <t>4.25×1212×C</t>
  </si>
  <si>
    <t>1251121954966</t>
  </si>
  <si>
    <t>Thép cuộn cán nóng 4.25x121X S275JR</t>
  </si>
  <si>
    <t>1251121954959</t>
  </si>
  <si>
    <t>Thép cuộn cán nóng 2.88x152X S275JR II</t>
  </si>
  <si>
    <t>2.88×1522×C</t>
  </si>
  <si>
    <t>1251121954942</t>
  </si>
  <si>
    <t>Thép cuộn cán nóng 2.88x152X S275JR</t>
  </si>
  <si>
    <t>1251121954935</t>
  </si>
  <si>
    <t>Thép cuộn cán nóng 2.88x121X S275JR II</t>
  </si>
  <si>
    <t>2.88×1212×C</t>
  </si>
  <si>
    <t>1251121954928</t>
  </si>
  <si>
    <t>Thép cuộn cán nóng 2.88x121X S275JR</t>
  </si>
  <si>
    <t>1251121954911</t>
  </si>
  <si>
    <t>Thép cuộn cán nóng 2.75x136X SAE1006 II</t>
  </si>
  <si>
    <t>2.75×1362×C</t>
  </si>
  <si>
    <t>1251121954904</t>
  </si>
  <si>
    <t>Thép cuộn cán nóng 2.75x136X SAE1006</t>
  </si>
  <si>
    <t>1251121954898</t>
  </si>
  <si>
    <t>Thép cuộn cán nóng 2.75x134X S275JR II</t>
  </si>
  <si>
    <t>2.75×1342×C</t>
  </si>
  <si>
    <t>1251121954881</t>
  </si>
  <si>
    <t>Thép cuộn cán nóng 2.75x134X S275JR</t>
  </si>
  <si>
    <t>1251121954874</t>
  </si>
  <si>
    <t>Thép cuộn cán nóng 2.70x122X SAE1006 II</t>
  </si>
  <si>
    <t>2.70×1222×C</t>
  </si>
  <si>
    <t>1251121954867</t>
  </si>
  <si>
    <t>Thép cuộn cán nóng 2.70x122X SAE1006</t>
  </si>
  <si>
    <t>1251121954850</t>
  </si>
  <si>
    <t>Thép cuộn cán nóng 2.50x136X SAE1006 II</t>
  </si>
  <si>
    <t>2.50×1362×C</t>
  </si>
  <si>
    <t>1251121954843</t>
  </si>
  <si>
    <t>Thép cuộn cán nóng 2.50x136X SAE1006</t>
  </si>
  <si>
    <t>1251121954836</t>
  </si>
  <si>
    <t>Thép cuộn cán nóng 2.43x121X S275JR II</t>
  </si>
  <si>
    <t>1251121954829</t>
  </si>
  <si>
    <t>Thép cuộn cán nóng 2.43x121X S275JR</t>
  </si>
  <si>
    <t>1251121954812</t>
  </si>
  <si>
    <t>Thép cuộn cán nóng 1.93x121X SPHC II</t>
  </si>
  <si>
    <t>1.93×1212×C</t>
  </si>
  <si>
    <t>1251121954805</t>
  </si>
  <si>
    <t>Thép cuộn cán nóng 1.93x121X SPHC</t>
  </si>
  <si>
    <t>1251121954799</t>
  </si>
  <si>
    <t>Thép cuộn cán nóng 1.75x121X SPHC II</t>
  </si>
  <si>
    <t>1.75×1212×C</t>
  </si>
  <si>
    <t>1251121954782</t>
  </si>
  <si>
    <t>Thép cuộn cán nóng 1.75x121X SPHC</t>
  </si>
  <si>
    <t>1251121954775</t>
  </si>
  <si>
    <t>Thép cuộn cán nóng 2.30x122X SAE1006 II</t>
  </si>
  <si>
    <t>2.30×1222×C</t>
  </si>
  <si>
    <t>1251121954768</t>
  </si>
  <si>
    <t>Thép cuộn cán nóng 2.30x122X SAE1006</t>
  </si>
  <si>
    <t>1251121954751</t>
  </si>
  <si>
    <t>Thép cuộn cán nóng 2.50x122X SAE1006 II</t>
  </si>
  <si>
    <t>2.50×1222×C</t>
  </si>
  <si>
    <t>1251121954744</t>
  </si>
  <si>
    <t>Thép cuộn cán nóng 2.50x122X SAE1006</t>
  </si>
  <si>
    <t>1251121954737</t>
  </si>
  <si>
    <t>Thép cuộn cán nóng 1.20x125X SPHC II</t>
  </si>
  <si>
    <t>1.20×1252×C</t>
  </si>
  <si>
    <t>1251121954706</t>
  </si>
  <si>
    <t>Thép cuộn cán nóng 1.20x125X SPHC</t>
  </si>
  <si>
    <t>1251121954690</t>
  </si>
  <si>
    <t>Thép cuộn cán nóng 1.30x125X SPHC II</t>
  </si>
  <si>
    <t>1.30×1252×C</t>
  </si>
  <si>
    <t>1251121954683</t>
  </si>
  <si>
    <t>Thép cuộn cán nóng 1.30x125X SPHC</t>
  </si>
  <si>
    <t>1251121954676</t>
  </si>
  <si>
    <t>Thép cuộn cán nóng 1.40x125X SPHC II</t>
  </si>
  <si>
    <t>1.40×1252×C</t>
  </si>
  <si>
    <t>1251121954669</t>
  </si>
  <si>
    <t>Thép cuộn cán nóng 1.40x125X SPHC</t>
  </si>
  <si>
    <t>1251121954652</t>
  </si>
  <si>
    <t>Thép cuộn cán nóng 1.50x125X SPHC II</t>
  </si>
  <si>
    <t>1.50×1252×C</t>
  </si>
  <si>
    <t>1251121954645</t>
  </si>
  <si>
    <t>Thép cuộn cán nóng 1.50x125X SPHC</t>
  </si>
  <si>
    <t>1251121954638</t>
  </si>
  <si>
    <t>Thép cuộn cán nóng 2.80x121Y SAE1006 II</t>
  </si>
  <si>
    <t>2.80×1217×C</t>
  </si>
  <si>
    <t>1251121954614</t>
  </si>
  <si>
    <t>Thép cuộn cán nóng 2.80x121Y SAE1006</t>
  </si>
  <si>
    <t>1251121954607</t>
  </si>
  <si>
    <t>Thép cuộn cán nóng 2.80x123Y SAE1006 II</t>
  </si>
  <si>
    <t>1251121954591</t>
  </si>
  <si>
    <t>Thép cuộn cán nóng 2.80x123Y SAE1006</t>
  </si>
  <si>
    <t>1251121954584</t>
  </si>
  <si>
    <t>Thép cuộn cán nóng 2.80x126Y SAE1006 II</t>
  </si>
  <si>
    <t>2.80×1267×C</t>
  </si>
  <si>
    <t>1251121954577</t>
  </si>
  <si>
    <t>Thép cuộn cán nóng 2.80x126Y SAE1006</t>
  </si>
  <si>
    <t>1251121954560</t>
  </si>
  <si>
    <t>Thép cuộn cán nóng 3.95x123X SAE1017 II</t>
  </si>
  <si>
    <t>1251121954546</t>
  </si>
  <si>
    <t>Thép cuộn cán nóng 3.95x123X SAE1017</t>
  </si>
  <si>
    <t>1251121954539</t>
  </si>
  <si>
    <t>Thép cuộn cán nóng 3.00x123X SAE1017 II</t>
  </si>
  <si>
    <t>1251121954522</t>
  </si>
  <si>
    <t>Thép cuộn cán nóng 3.00x123X SAE1017</t>
  </si>
  <si>
    <t>1251121954515</t>
  </si>
  <si>
    <t>Thép cuộn cán nóng 3.00x121Y SAE1006 II</t>
  </si>
  <si>
    <t>1251121954508</t>
  </si>
  <si>
    <t>Thép cuộn cán nóng 3.00x121Y SAE1006</t>
  </si>
  <si>
    <t>1251121954492</t>
  </si>
  <si>
    <t>Thép cuộn cán nóng 1.60x120Y SPA-H II</t>
  </si>
  <si>
    <t>1.60×1207×C</t>
  </si>
  <si>
    <t>1251121954454</t>
  </si>
  <si>
    <t>Thép cuộn cán nóng 1.60x120Y SPA-H</t>
  </si>
  <si>
    <t>1251121954447</t>
  </si>
  <si>
    <t>Thép cuộn cán nóng 1.80x120X SPA-H II</t>
  </si>
  <si>
    <t>1.80×1202×C</t>
  </si>
  <si>
    <t>1251121954430</t>
  </si>
  <si>
    <t>Thép cuộn cán nóng 1.80x120X SPA-H</t>
  </si>
  <si>
    <t>1251121954423</t>
  </si>
  <si>
    <t>Thép cuộn cán nóng 2.80x120X SPA-H II</t>
  </si>
  <si>
    <t>2.80×1202×C</t>
  </si>
  <si>
    <t>1251121954416</t>
  </si>
  <si>
    <t>Thép cuộn cán nóng 2.80x120X SPA-H</t>
  </si>
  <si>
    <t>1251121954409</t>
  </si>
  <si>
    <t>Thép cuộn cán nóng 2.50x112X SAE1006 II</t>
  </si>
  <si>
    <t>2.50×1122×C</t>
  </si>
  <si>
    <t>1251121954393</t>
  </si>
  <si>
    <t>Thép cuộn cán nóng 2.50x112X SAE1006</t>
  </si>
  <si>
    <t>1251121954386</t>
  </si>
  <si>
    <t>Thép cuộn cán nóng 2.50x126X SPHT1 II</t>
  </si>
  <si>
    <t>JIS G 3132: 2018</t>
  </si>
  <si>
    <t>1251121954232</t>
  </si>
  <si>
    <t>Thép cuộn cán nóng 2.50x126X SPHT1</t>
  </si>
  <si>
    <t>1251121954225</t>
  </si>
  <si>
    <t>Thép cuộn cán nóng 2.00x131X S235JR II</t>
  </si>
  <si>
    <t>2.00×1312×C</t>
  </si>
  <si>
    <t>1251121954218</t>
  </si>
  <si>
    <t>Thép cuộn cán nóng 2.00x131X S235JR</t>
  </si>
  <si>
    <t>1251121954201</t>
  </si>
  <si>
    <t>Thép cuộn cán nóng 2.30x131X S235JR II</t>
  </si>
  <si>
    <t>2.30×1312×C</t>
  </si>
  <si>
    <t>1251121954195</t>
  </si>
  <si>
    <t>Thép cuộn cán nóng 2.30x131X S235JR</t>
  </si>
  <si>
    <t>1251121954188</t>
  </si>
  <si>
    <t>Thép cuộn cán nóng 2.50x131X S235JR II</t>
  </si>
  <si>
    <t>2.50×1312×C</t>
  </si>
  <si>
    <t>1251121954171</t>
  </si>
  <si>
    <t>Thép cuộn cán nóng 2.50x131X S235JR</t>
  </si>
  <si>
    <t>1251121954164</t>
  </si>
  <si>
    <t>Thép cuộn cán nóng 2.80x131X S235JR II</t>
  </si>
  <si>
    <t>2.80×1312×C</t>
  </si>
  <si>
    <t>1251121954157</t>
  </si>
  <si>
    <t>Thép cuộn cán nóng 2.80x131X S235JR</t>
  </si>
  <si>
    <t>1251121954140</t>
  </si>
  <si>
    <t>Thép cuộn cán nóng 4.90x125X SS400 II</t>
  </si>
  <si>
    <t>1251121954058</t>
  </si>
  <si>
    <t>Thép cuộn cán nóng 4.90x125X SS400</t>
  </si>
  <si>
    <t>1251121954041</t>
  </si>
  <si>
    <t>Thép cuộn cán nóng 2.45x136X SAE1006 II</t>
  </si>
  <si>
    <t>2.45×1362×C</t>
  </si>
  <si>
    <t>1251121954034</t>
  </si>
  <si>
    <t>Thép cuộn cán nóng 2.45x136X SAE1006</t>
  </si>
  <si>
    <t>1251121954027</t>
  </si>
  <si>
    <t>Thép cuộn cán nóng 2.30x136X SAE1006 II</t>
  </si>
  <si>
    <t>2.30×1362×C</t>
  </si>
  <si>
    <t>1251121954010</t>
  </si>
  <si>
    <t>Thép cuộn cán nóng 2.30x136X SAE1006</t>
  </si>
  <si>
    <t>1251121954003</t>
  </si>
  <si>
    <t>Thép cuộn cán nóng 2.00x136X SAE1006 II</t>
  </si>
  <si>
    <t>2.00×1362×C</t>
  </si>
  <si>
    <t>1251121953990</t>
  </si>
  <si>
    <t>Thép cuộn cán nóng 2.00x136X SAE1006</t>
  </si>
  <si>
    <t>1251121953983</t>
  </si>
  <si>
    <t>Thép cuộn cán nóng 3.90x150X SS400 II</t>
  </si>
  <si>
    <t>1251121953976</t>
  </si>
  <si>
    <t>Thép cuộn cán nóng 3.90x150X SS400</t>
  </si>
  <si>
    <t>1251121953969</t>
  </si>
  <si>
    <t>Thép cuộn cán nóng 2.45x121Y SAE1008 II</t>
  </si>
  <si>
    <t>1251121953952</t>
  </si>
  <si>
    <t>Thép cuộn cán nóng 2.45x121Y SAE1008</t>
  </si>
  <si>
    <t>1251121953945</t>
  </si>
  <si>
    <t>Thép cuộn cán nóng 2.25x121Y SAE1008 II</t>
  </si>
  <si>
    <t>1251121953938</t>
  </si>
  <si>
    <t>Thép cuộn cán nóng 2.25x121Y SAE1008</t>
  </si>
  <si>
    <t>1251121953921</t>
  </si>
  <si>
    <t>Thép cuộn cán nóng 2.70x125X SPHC II</t>
  </si>
  <si>
    <t>1251121953914</t>
  </si>
  <si>
    <t>Thép cuộn cán nóng 2.70x125X SPHC</t>
  </si>
  <si>
    <t>1251121953907</t>
  </si>
  <si>
    <t>Thép cuộn cán nóng 2.10x125X SAE1006 II</t>
  </si>
  <si>
    <t>2.10×1252×C</t>
  </si>
  <si>
    <t>1251121953891</t>
  </si>
  <si>
    <t>Thép cuộn cán nóng 2.10x125X SAE1006</t>
  </si>
  <si>
    <t>1251121953884</t>
  </si>
  <si>
    <t>Thép cuộn cán nóng 5.30x103X SS400 II</t>
  </si>
  <si>
    <t>5.30×1032×C</t>
  </si>
  <si>
    <t>1251121953877</t>
  </si>
  <si>
    <t>Thép cuộn cán nóng 5.30x103X SS400</t>
  </si>
  <si>
    <t>1251121953860</t>
  </si>
  <si>
    <t>Thép cuộn cán nóng 2.50x124X SS400 II</t>
  </si>
  <si>
    <t>2.50×1242×C</t>
  </si>
  <si>
    <t>1251121953853</t>
  </si>
  <si>
    <t>Thép cuộn cán nóng 2.50x124X SS400</t>
  </si>
  <si>
    <t>1251121953846</t>
  </si>
  <si>
    <t>Thép cuộn cán nóng 1.60x125X S235JR II</t>
  </si>
  <si>
    <t>1.60×1252×C</t>
  </si>
  <si>
    <t>1251121936221</t>
  </si>
  <si>
    <t>Thép cuộn cán nóng 1.60x125X S235JR</t>
  </si>
  <si>
    <t>1251121936214</t>
  </si>
  <si>
    <t>Thép cuộn cán nóng 4.20x125X S355JR II</t>
  </si>
  <si>
    <t>4.20×1252×C</t>
  </si>
  <si>
    <t>1251121936207</t>
  </si>
  <si>
    <t>Thép cuộn cán nóng 4.20x125X S355JR</t>
  </si>
  <si>
    <t>1251121936191</t>
  </si>
  <si>
    <t>Thép cuộn cán nóng 2.85x125X S355JR II</t>
  </si>
  <si>
    <t>2.85×1252×C</t>
  </si>
  <si>
    <t>1251121936184</t>
  </si>
  <si>
    <t>Thép cuộn cán nóng 2.85x125X S355JR</t>
  </si>
  <si>
    <t>1251121936177</t>
  </si>
  <si>
    <t>Thép cuộn cán nóng 2.35x125X S355JR II</t>
  </si>
  <si>
    <t>2.35×1252×C</t>
  </si>
  <si>
    <t>1251121936160</t>
  </si>
  <si>
    <t>Thép cuộn cán nóng 2.35x125X S355JR</t>
  </si>
  <si>
    <t>1251121936153</t>
  </si>
  <si>
    <t>Thép cuộn cán nóng 3.50x125X S235JR II</t>
  </si>
  <si>
    <t>3.50×1252×C</t>
  </si>
  <si>
    <t>1251121936146</t>
  </si>
  <si>
    <t>Thép cuộn cán nóng 3.50x125X S235JR</t>
  </si>
  <si>
    <t>1251121936139</t>
  </si>
  <si>
    <t>Thép cuộn cán nóng 2.85x125X S235JR II</t>
  </si>
  <si>
    <t>1251121936122</t>
  </si>
  <si>
    <t>Thép cuộn cán nóng 2.85x125X S235JR</t>
  </si>
  <si>
    <t>1251121936115</t>
  </si>
  <si>
    <t>Thép cuộn cán nóng 1.90x125X S235JR II</t>
  </si>
  <si>
    <t>1251121936108</t>
  </si>
  <si>
    <t>Thép cuộn cán nóng 2.50x150X SS400 II</t>
  </si>
  <si>
    <t>2.50×1502×C</t>
  </si>
  <si>
    <t>1251121926550</t>
  </si>
  <si>
    <t>Thép cuộn cán nóng 2.50x150X SS400</t>
  </si>
  <si>
    <t>1251121926543</t>
  </si>
  <si>
    <t>Thép cuộn cán nóng 2.50x122Y SAE1006 II</t>
  </si>
  <si>
    <t>2.50×1227×C</t>
  </si>
  <si>
    <t>1251121926505</t>
  </si>
  <si>
    <t>Thép cuộn cán nóng 2.50x122Y SAE1006</t>
  </si>
  <si>
    <t>1251121926499</t>
  </si>
  <si>
    <t>Thép cuộn cán nóng 6.75x120X SS400 II</t>
  </si>
  <si>
    <t>6.75×1202×C</t>
  </si>
  <si>
    <t>1251121926475</t>
  </si>
  <si>
    <t>Thép cuộn cán nóng 6.75x120X SS400</t>
  </si>
  <si>
    <t>1251121926468</t>
  </si>
  <si>
    <t>Thép cuộn cán nóng 4.40x120X SS400 II</t>
  </si>
  <si>
    <t>1251121926451</t>
  </si>
  <si>
    <t>Thép cuộn cán nóng 4.40x120X SS400</t>
  </si>
  <si>
    <t>1251121926444</t>
  </si>
  <si>
    <t>Thép cuộn cán nóng 4.40x129X SS400 II</t>
  </si>
  <si>
    <t>4.40×1292×C</t>
  </si>
  <si>
    <t>1251121926437</t>
  </si>
  <si>
    <t>Thép cuộn cán nóng 4.40x129X SS400</t>
  </si>
  <si>
    <t>1251121926420</t>
  </si>
  <si>
    <t>Thép cuộn cán nóng 3.25x142X SS400 II</t>
  </si>
  <si>
    <t>3.25×1422×C</t>
  </si>
  <si>
    <t>1251121926413</t>
  </si>
  <si>
    <t>Thép cuộn cán nóng 3.25x142X SS400</t>
  </si>
  <si>
    <t>1251121926406</t>
  </si>
  <si>
    <t>Thép cuộn cán nóng 2.85x142X SS400 II</t>
  </si>
  <si>
    <t>2.85×1422×C</t>
  </si>
  <si>
    <t>1251121926390</t>
  </si>
  <si>
    <t>Thép cuộn cán nóng 2.85x142X SS400</t>
  </si>
  <si>
    <t>1251121926383</t>
  </si>
  <si>
    <t>Thép cuộn cán nóng 2.35x129X SS400 II</t>
  </si>
  <si>
    <t>2.35×1292×C</t>
  </si>
  <si>
    <t>1251121926376</t>
  </si>
  <si>
    <t>Thép cuộn cán nóng 2.35x129X SS400</t>
  </si>
  <si>
    <t>1251121926369</t>
  </si>
  <si>
    <t>Thép cuộn cán nóng 2.25x129X SS400 II</t>
  </si>
  <si>
    <t>2.25×1292×C</t>
  </si>
  <si>
    <t>1251121926352</t>
  </si>
  <si>
    <t>Thép cuộn cán nóng 2.25x129X SS400</t>
  </si>
  <si>
    <t>1251121926345</t>
  </si>
  <si>
    <t>Thép cuộn cán nóng 3.95x126X SS400 II</t>
  </si>
  <si>
    <t>1251121926338</t>
  </si>
  <si>
    <t>Thép cuộn cán nóng 3.95x126X SS400</t>
  </si>
  <si>
    <t>1251121926321</t>
  </si>
  <si>
    <t>Thép cuộn cán nóng 2.70x151Y SAE1006 II</t>
  </si>
  <si>
    <t>1251121926314</t>
  </si>
  <si>
    <t>Thép cuộn cán nóng 2.70x151Y SAE1006</t>
  </si>
  <si>
    <t>1251121926307</t>
  </si>
  <si>
    <t>Thép cuộn cán nóng 3.00x101Y SAE1006 II</t>
  </si>
  <si>
    <t>3.00×1017×C</t>
  </si>
  <si>
    <t>1251121926291</t>
  </si>
  <si>
    <t>Thép cuộn cán nóng 3.00x101Y SAE1006</t>
  </si>
  <si>
    <t>1251121926284</t>
  </si>
  <si>
    <t>Thép cuộn cán nóng 3.45x121X SAE1006 II</t>
  </si>
  <si>
    <t>3.45×1212×C</t>
  </si>
  <si>
    <t>1251121926277</t>
  </si>
  <si>
    <t>Thép cuộn cán nóng 3.45x121X SAE1006</t>
  </si>
  <si>
    <t>1251121926260</t>
  </si>
  <si>
    <t>Thép cuộn cán nóng 2.25x104Y SAE1006 II</t>
  </si>
  <si>
    <t>2.25×1047×C</t>
  </si>
  <si>
    <t>1251121926253</t>
  </si>
  <si>
    <t>Thép cuộn cán nóng 2.25x104Y SAE1006</t>
  </si>
  <si>
    <t>1251121926246</t>
  </si>
  <si>
    <t>Thép cuộn cán nóng 2.00x104Y SAE1006 II</t>
  </si>
  <si>
    <t>2.00×1047×C</t>
  </si>
  <si>
    <t>1251121926239</t>
  </si>
  <si>
    <t>Thép cuộn cán nóng 2.00x104Y SAE1006</t>
  </si>
  <si>
    <t>1251121926222</t>
  </si>
  <si>
    <t>Thép cuộn cán nóng 2.00x125X SPHC II</t>
  </si>
  <si>
    <t>1251121926215</t>
  </si>
  <si>
    <t>Thép cuộn cán nóng 2.00x125X SPHC</t>
  </si>
  <si>
    <t>1251121926208</t>
  </si>
  <si>
    <t>Thép cuộn cán nóng 3.45x126X SAE1017 II</t>
  </si>
  <si>
    <t>1251121926192</t>
  </si>
  <si>
    <t>Thép cuộn cán nóng 3.45x126X SAE1017</t>
  </si>
  <si>
    <t>1251121926185</t>
  </si>
  <si>
    <t>Thép cuộn cán nóng 3.00x126X SAE1017 II</t>
  </si>
  <si>
    <t>1251121926178</t>
  </si>
  <si>
    <t>Thép cuộn cán nóng 3.00x126X SAE1017</t>
  </si>
  <si>
    <t>1251121926161</t>
  </si>
  <si>
    <t>Thép cuộn cán nóng 2.50x126X SAE1017 II</t>
  </si>
  <si>
    <t>1251121926154</t>
  </si>
  <si>
    <t>Thép cuộn cán nóng 2.50x126X SAE1017</t>
  </si>
  <si>
    <t>1251121926147</t>
  </si>
  <si>
    <t>Thép cuộn cán nóng 4.65x152X S275JR II</t>
  </si>
  <si>
    <t>4.65×1522×C</t>
  </si>
  <si>
    <t>1251121926130</t>
  </si>
  <si>
    <t>Thép cuộn cán nóng 4.65x152X S275JR</t>
  </si>
  <si>
    <t>1251121926123</t>
  </si>
  <si>
    <t>Thép cuộn cán nóng 3.65x152X S275JR II</t>
  </si>
  <si>
    <t>3.65×1522×C</t>
  </si>
  <si>
    <t>1251121926116</t>
  </si>
  <si>
    <t>Thép cuộn cán nóng 3.65x152X S275JR</t>
  </si>
  <si>
    <t>1251121926109</t>
  </si>
  <si>
    <t>Thép cuộn cán nóng 4.60x121Y S275JR II</t>
  </si>
  <si>
    <t>4.60×1217×C</t>
  </si>
  <si>
    <t>1251121926093</t>
  </si>
  <si>
    <t>Thép cuộn cán nóng 4.60x121Y S275JR</t>
  </si>
  <si>
    <t>1251121926086</t>
  </si>
  <si>
    <t>Thép cuộn cán nóng 2.90x121Y S275JR II</t>
  </si>
  <si>
    <t>1251121926079</t>
  </si>
  <si>
    <t>Thép cuộn cán nóng 2.90x121Y S275JR</t>
  </si>
  <si>
    <t>1251121926062</t>
  </si>
  <si>
    <t>Thép cuộn cán nóng 2.40x121Y S275JR II</t>
  </si>
  <si>
    <t>2.40×1217×C</t>
  </si>
  <si>
    <t>1251121926055</t>
  </si>
  <si>
    <t>Thép cuộn cán nóng 2.40x121Y S275JR</t>
  </si>
  <si>
    <t>1251121926048</t>
  </si>
  <si>
    <t>Thép cuộn cán nóng 2.72x125X S275JR II</t>
  </si>
  <si>
    <t>2.72×1252×C</t>
  </si>
  <si>
    <t>1251121926031</t>
  </si>
  <si>
    <t>Thép cuộn cán nóng 2.72x125X S275JR</t>
  </si>
  <si>
    <t>1251121926024</t>
  </si>
  <si>
    <t>Thép cuộn cán nóng 2.72x121Y S275JR II</t>
  </si>
  <si>
    <t>2.72×1217×C</t>
  </si>
  <si>
    <t>1251121926017</t>
  </si>
  <si>
    <t>Thép cuộn cán nóng 2.72x121Y S275JR</t>
  </si>
  <si>
    <t>1251121926000</t>
  </si>
  <si>
    <t>Thép cuộn cán nóng 3.65x121Y S275JR II</t>
  </si>
  <si>
    <t>3.65×1217×C</t>
  </si>
  <si>
    <t>1251121925997</t>
  </si>
  <si>
    <t>Thép cuộn cán nóng 3.65x121Y S275JR</t>
  </si>
  <si>
    <t>1251121925980</t>
  </si>
  <si>
    <t>Thép cuộn cán nóng 11.65x121Y S275JR II</t>
  </si>
  <si>
    <t>11.65×1217×C</t>
  </si>
  <si>
    <t>1251121925973</t>
  </si>
  <si>
    <t>Thép cuộn cán nóng 11.65x121Y S275JR</t>
  </si>
  <si>
    <t>1251121925966</t>
  </si>
  <si>
    <t>Thép cuộn cán nóng 4.85x121Y S275JR II</t>
  </si>
  <si>
    <t>4.85×1217×C</t>
  </si>
  <si>
    <t>1251121925959</t>
  </si>
  <si>
    <t>Thép cuộn cán nóng 4.85x121Y S275JR</t>
  </si>
  <si>
    <t>1251121925942</t>
  </si>
  <si>
    <t>Thép cuộn cán nóng 6.00x152X S275JR II</t>
  </si>
  <si>
    <t>6.00×1522×C</t>
  </si>
  <si>
    <t>1251121925935</t>
  </si>
  <si>
    <t>Thép cuộn cán nóng 6.00x152X S275JR</t>
  </si>
  <si>
    <t>1251121925928</t>
  </si>
  <si>
    <t>Thép cuộn cán nóng 11.80x151Y S275JR II</t>
  </si>
  <si>
    <t>11.80×1517×C</t>
  </si>
  <si>
    <t>1251121925911</t>
  </si>
  <si>
    <t>Thép cuộn cán nóng 11.80x151Y S275JR</t>
  </si>
  <si>
    <t>1251121925904</t>
  </si>
  <si>
    <t>Thép cuộn cán nóng 11.70x151Y S275JR II</t>
  </si>
  <si>
    <t>11.70×1517×C</t>
  </si>
  <si>
    <t>1251121925898</t>
  </si>
  <si>
    <t>Thép cuộn cán nóng 11.70x151Y S275JR</t>
  </si>
  <si>
    <t>1251121925881</t>
  </si>
  <si>
    <t>Thép cuộn cán nóng 7.80x151Y S275JR II</t>
  </si>
  <si>
    <t>7.80×1517×C</t>
  </si>
  <si>
    <t>1251121925874</t>
  </si>
  <si>
    <t>Thép cuộn cán nóng 7.80x151Y S275JR</t>
  </si>
  <si>
    <t>1251121925867</t>
  </si>
  <si>
    <t>Thép cuộn cán nóng 7.70x151Y S275JR II</t>
  </si>
  <si>
    <t>7.70×1517×C</t>
  </si>
  <si>
    <t>1251121925850</t>
  </si>
  <si>
    <t>Thép cuộn cán nóng 7.70x151Y S275JR</t>
  </si>
  <si>
    <t>1251121925843</t>
  </si>
  <si>
    <t>Thép cuộn cán nóng 5.90x151Y S275JR II</t>
  </si>
  <si>
    <t>5.90×1517×C</t>
  </si>
  <si>
    <t>1251121925836</t>
  </si>
  <si>
    <t>Thép cuộn cán nóng 5.90x151Y S275JR</t>
  </si>
  <si>
    <t>1251121925829</t>
  </si>
  <si>
    <t>Thép cuộn cán nóng 4.10x151Y S275JR II</t>
  </si>
  <si>
    <t>4.10×1517×C</t>
  </si>
  <si>
    <t>1251121925812</t>
  </si>
  <si>
    <t>Thép cuộn cán nóng 4.10x151Y S275JR</t>
  </si>
  <si>
    <t>1251121925805</t>
  </si>
  <si>
    <t>Thép cuộn cán nóng 4.00x151Y S275JR II</t>
  </si>
  <si>
    <t>4.00×1517×C</t>
  </si>
  <si>
    <t>1251121925799</t>
  </si>
  <si>
    <t>Thép cuộn cán nóng 4.00x151Y S275JR</t>
  </si>
  <si>
    <t>1251121925782</t>
  </si>
  <si>
    <t>Thép cuộn cán nóng 3.80x151Y S275JR II</t>
  </si>
  <si>
    <t>3.80×1517×C</t>
  </si>
  <si>
    <t>1251121925775</t>
  </si>
  <si>
    <t>Thép cuộn cán nóng 3.80x151Y S275JR</t>
  </si>
  <si>
    <t>1251121925768</t>
  </si>
  <si>
    <t>Thép cuộn cán nóng 3.65x151Y S275JR II</t>
  </si>
  <si>
    <t>1251121925751</t>
  </si>
  <si>
    <t>Thép cuộn cán nóng 3.65x151Y S275JR</t>
  </si>
  <si>
    <t>1251121925744</t>
  </si>
  <si>
    <t>Thép cuộn cán nóng 5.90x134X S275JR II</t>
  </si>
  <si>
    <t>5.90×1342×C</t>
  </si>
  <si>
    <t>1251121925737</t>
  </si>
  <si>
    <t>Thép cuộn cán nóng 5.90x134X S275JR</t>
  </si>
  <si>
    <t>1251121925720</t>
  </si>
  <si>
    <t>Thép cuộn cán nóng 9.70x121X S275JR II</t>
  </si>
  <si>
    <t>9.70×1212×C</t>
  </si>
  <si>
    <t>1251121925713</t>
  </si>
  <si>
    <t>Thép cuộn cán nóng 9.70x121X S275JR</t>
  </si>
  <si>
    <t>1251121925706</t>
  </si>
  <si>
    <t>Thép cuộn cán nóng 7.80x121X S275JR II</t>
  </si>
  <si>
    <t>7.80×1212×C</t>
  </si>
  <si>
    <t>1251121925690</t>
  </si>
  <si>
    <t>Thép cuộn cán nóng 7.80x121X S275JR</t>
  </si>
  <si>
    <t>1251121925683</t>
  </si>
  <si>
    <t>Thép cuộn cán nóng 7.70x121X S275JR II</t>
  </si>
  <si>
    <t>7.70×1212×C</t>
  </si>
  <si>
    <t>1251121925676</t>
  </si>
  <si>
    <t>Thép cuộn cán nóng 7.70x121X S275JR</t>
  </si>
  <si>
    <t>1251121925669</t>
  </si>
  <si>
    <t>Thép cuộn cán nóng 5.50x121X S275JR II</t>
  </si>
  <si>
    <t>5.50×1212×C</t>
  </si>
  <si>
    <t>1251121925652</t>
  </si>
  <si>
    <t>Thép cuộn cán nóng 5.50x121X S275JR</t>
  </si>
  <si>
    <t>1251121925645</t>
  </si>
  <si>
    <t>Thép cuộn cán nóng 4.80x121X S275JR II</t>
  </si>
  <si>
    <t>4.80×1212×C</t>
  </si>
  <si>
    <t>1251121925638</t>
  </si>
  <si>
    <t>Thép cuộn cán nóng 4.80x121X S275JR</t>
  </si>
  <si>
    <t>1251121925621</t>
  </si>
  <si>
    <t>Thép cuộn cán nóng 4.40x121X S275JR II</t>
  </si>
  <si>
    <t>1251121925614</t>
  </si>
  <si>
    <t>Thép cuộn cán nóng 4.40x121X S275JR</t>
  </si>
  <si>
    <t>1251121925607</t>
  </si>
  <si>
    <t>Thép cuộn cán nóng 3.70x121X S275JR II</t>
  </si>
  <si>
    <t>3.70×1212×C</t>
  </si>
  <si>
    <t>1251121925591</t>
  </si>
  <si>
    <t>Thép cuộn cán nóng 3.70x121X S275JR</t>
  </si>
  <si>
    <t>1251121925584</t>
  </si>
  <si>
    <t>Thép cuộn cán nóng 2.90x121X S275JR II</t>
  </si>
  <si>
    <t>1251121925577</t>
  </si>
  <si>
    <t>Thép cuộn cán nóng 2.90x121X S275JR</t>
  </si>
  <si>
    <t>1251121925560</t>
  </si>
  <si>
    <t>Thép cuộn cán nóng 2.45x121X S275JR II</t>
  </si>
  <si>
    <t>1251121925553</t>
  </si>
  <si>
    <t>Thép cuộn cán nóng 2.45x121X S275JR</t>
  </si>
  <si>
    <t>1251121925546</t>
  </si>
  <si>
    <t>Thép cuộn cán nóng 9.60x121Y S275JR II</t>
  </si>
  <si>
    <t>9.60×1217×C</t>
  </si>
  <si>
    <t>1251121925539</t>
  </si>
  <si>
    <t>Thép cuộn cán nóng 9.60x121Y S275JR</t>
  </si>
  <si>
    <t>1251121925522</t>
  </si>
  <si>
    <t>Thép cuộn cán nóng 7.70x121Y S275JR II</t>
  </si>
  <si>
    <t>7.70×1217×C</t>
  </si>
  <si>
    <t>1251121925515</t>
  </si>
  <si>
    <t>Thép cuộn cán nóng 7.70x121Y S275JR</t>
  </si>
  <si>
    <t>1251121925508</t>
  </si>
  <si>
    <t>Thép cuộn cán nóng 4.75x121Y S275JR II</t>
  </si>
  <si>
    <t>1251121925492</t>
  </si>
  <si>
    <t>Thép cuộn cán nóng 4.75x121Y S275JR</t>
  </si>
  <si>
    <t>1251121925485</t>
  </si>
  <si>
    <t>Thép cuộn cán nóng 4.70x152X S275JR II</t>
  </si>
  <si>
    <t>1251121925478</t>
  </si>
  <si>
    <t>Thép cuộn cán nóng 4.70x152X S275JR</t>
  </si>
  <si>
    <t>1251121925461</t>
  </si>
  <si>
    <t>Thép cuộn cán nóng 2.75x152X S275JR II</t>
  </si>
  <si>
    <t>1251121925454</t>
  </si>
  <si>
    <t>Thép cuộn cán nóng 2.75x152X S275JR</t>
  </si>
  <si>
    <t>1251121925447</t>
  </si>
  <si>
    <t>Thép cuộn cán nóng 2.45x152X S275JR II</t>
  </si>
  <si>
    <t>1251121925430</t>
  </si>
  <si>
    <t>Thép cuộn cán nóng 2.45x152X S275JR</t>
  </si>
  <si>
    <t>1251121925423</t>
  </si>
  <si>
    <t>Thép cuộn cán nóng 2.30x152X S275JR II</t>
  </si>
  <si>
    <t>2.30×1522×C</t>
  </si>
  <si>
    <t>1251121925416</t>
  </si>
  <si>
    <t>Thép cuộn cán nóng 2.30x152X S275JR</t>
  </si>
  <si>
    <t>1251121925409</t>
  </si>
  <si>
    <t>Thép cuộn cán nóng 4.90x134X S275JR II</t>
  </si>
  <si>
    <t>4.90×1342×C</t>
  </si>
  <si>
    <t>1251121925393</t>
  </si>
  <si>
    <t>Thép cuộn cán nóng 4.90x134X S275JR</t>
  </si>
  <si>
    <t>1251121925386</t>
  </si>
  <si>
    <t>Thép cuộn cán nóng 4.60x134X S275JR II</t>
  </si>
  <si>
    <t>4.60×1342×C</t>
  </si>
  <si>
    <t>1251121925379</t>
  </si>
  <si>
    <t>Thép cuộn cán nóng 4.60x134X S275JR</t>
  </si>
  <si>
    <t>1251121925362</t>
  </si>
  <si>
    <t>Thép cuộn cán nóng 4.40x134X S275JR II</t>
  </si>
  <si>
    <t>4.40×1342×C</t>
  </si>
  <si>
    <t>1251121925355</t>
  </si>
  <si>
    <t>Thép cuộn cán nóng 4.40x134X S275JR</t>
  </si>
  <si>
    <t>1251121925348</t>
  </si>
  <si>
    <t>Thép cuộn cán nóng 4.20x134X S275JR II</t>
  </si>
  <si>
    <t>4.20×1342×C</t>
  </si>
  <si>
    <t>1251121925331</t>
  </si>
  <si>
    <t>Thép cuộn cán nóng 4.20x134X S275JR</t>
  </si>
  <si>
    <t>1251121925324</t>
  </si>
  <si>
    <t>Thép cuộn cán nóng 9.75x121Y S275JR II</t>
  </si>
  <si>
    <t>9.75×1217×C</t>
  </si>
  <si>
    <t>1251121925317</t>
  </si>
  <si>
    <t>Thép cuộn cán nóng 9.75x121Y S275JR</t>
  </si>
  <si>
    <t>1251121925300</t>
  </si>
  <si>
    <t>Thép cuộn cán nóng 7.60x121Y S275JR II</t>
  </si>
  <si>
    <t>7.60×1217×C</t>
  </si>
  <si>
    <t>1251121925294</t>
  </si>
  <si>
    <t>Thép cuộn cán nóng 7.60x121Y S275JR</t>
  </si>
  <si>
    <t>1251121925287</t>
  </si>
  <si>
    <t>Thép cuộn cán nóng 4.20x121Y S275JR II</t>
  </si>
  <si>
    <t>4.20×1217×C</t>
  </si>
  <si>
    <t>1251121925270</t>
  </si>
  <si>
    <t>Thép cuộn cán nóng 4.20x121Y S275JR</t>
  </si>
  <si>
    <t>1251121925263</t>
  </si>
  <si>
    <t>Thép cuộn cán nóng 2.95x121Y S275JR II</t>
  </si>
  <si>
    <t>2.95×1217×C</t>
  </si>
  <si>
    <t>1251121925256</t>
  </si>
  <si>
    <t>Thép cuộn cán nóng 2.95x121Y S275JR</t>
  </si>
  <si>
    <t>1251121925249</t>
  </si>
  <si>
    <t>Thép cuộn cán nóng 2.25x121Y S275JR II</t>
  </si>
  <si>
    <t>1251121925232</t>
  </si>
  <si>
    <t>Thép cuộn cán nóng 2.25x121Y S275JR</t>
  </si>
  <si>
    <t>1251121925225</t>
  </si>
  <si>
    <t>Thép cuộn cán nóng 3.90x140X SS400 II</t>
  </si>
  <si>
    <t>3.90×1402×C</t>
  </si>
  <si>
    <t>1251121925218</t>
  </si>
  <si>
    <t>Thép cuộn cán nóng 3.90x140X SS400</t>
  </si>
  <si>
    <t>1251121925201</t>
  </si>
  <si>
    <t>Thép cuộn cán nóng 2.50x123X SS400 II</t>
  </si>
  <si>
    <t>1251121925195</t>
  </si>
  <si>
    <t>Thép cuộn cán nóng 2.50x123X SS400</t>
  </si>
  <si>
    <t>1251121925188</t>
  </si>
  <si>
    <t>Thép cuộn cán nóng 2.00x120X SPHC II</t>
  </si>
  <si>
    <t>2.00×1202×C</t>
  </si>
  <si>
    <t>1251121925171</t>
  </si>
  <si>
    <t>Thép cuộn cán nóng 2.00x120X SPHC</t>
  </si>
  <si>
    <t>1251121925164</t>
  </si>
  <si>
    <t>Thép cuộn cán nóng 2.40x121Y SPHC II</t>
  </si>
  <si>
    <t>1251121925157</t>
  </si>
  <si>
    <t>Thép cuộn cán nóng 2.40x121Y SPHC</t>
  </si>
  <si>
    <t>1251121925140</t>
  </si>
  <si>
    <t>Thép cuộn cán nóng 2.10x121Y SPHC II</t>
  </si>
  <si>
    <t>2.10×1217×C</t>
  </si>
  <si>
    <t>1251121925133</t>
  </si>
  <si>
    <t>Thép cuộn cán nóng 2.10x121Y SPHC</t>
  </si>
  <si>
    <t>1251121925126</t>
  </si>
  <si>
    <t>Thép cuộn cán nóng 1.80x121Y SPHC II</t>
  </si>
  <si>
    <t>1251121925119</t>
  </si>
  <si>
    <t>Thép cuộn cán nóng 1.80x121Y SPHC</t>
  </si>
  <si>
    <t>1251121925102</t>
  </si>
  <si>
    <t>Thép cuộn cán nóng 1.70x121Y SPHC II</t>
  </si>
  <si>
    <t>1.70×1217×C</t>
  </si>
  <si>
    <t>1251121925096</t>
  </si>
  <si>
    <t>Thép cuộn cán nóng 1.70x121Y SPHC</t>
  </si>
  <si>
    <t>1251121925089</t>
  </si>
  <si>
    <t>Thép cuộn cán nóng 1.55x121Y SPHC II</t>
  </si>
  <si>
    <t>1.55×1217×C</t>
  </si>
  <si>
    <t>1251121925072</t>
  </si>
  <si>
    <t>Thép cuộn cán nóng 1.55x121Y SPHC</t>
  </si>
  <si>
    <t>1251121925065</t>
  </si>
  <si>
    <t>Thép cuộn cán nóng 4.90x152X SPHC II</t>
  </si>
  <si>
    <t>4.90×1522×C</t>
  </si>
  <si>
    <t>1251121925058</t>
  </si>
  <si>
    <t>Thép cuộn cán nóng 4.90x152X SPHC</t>
  </si>
  <si>
    <t>1251121925041</t>
  </si>
  <si>
    <t>Thép cuộn cán nóng 4.70x152X SPHC II</t>
  </si>
  <si>
    <t>1251121925034</t>
  </si>
  <si>
    <t>Thép cuộn cán nóng 4.70x152X SPHC</t>
  </si>
  <si>
    <t>1251121925027</t>
  </si>
  <si>
    <t>Thép cuộn cán nóng 5.10x121X SPHT1 II</t>
  </si>
  <si>
    <t>5.10×1212×C</t>
  </si>
  <si>
    <t>MS 1768 : 2004</t>
  </si>
  <si>
    <t>1251121925010</t>
  </si>
  <si>
    <t>Thép cuộn cán nóng 5.10x121X SPHT1</t>
  </si>
  <si>
    <t>1251121925003</t>
  </si>
  <si>
    <t>Thép cuộn cán nóng 2.60x121Y SS400 II</t>
  </si>
  <si>
    <t>1251121924990</t>
  </si>
  <si>
    <t>Thép cuộn cán nóng 2.60x121Y SS400</t>
  </si>
  <si>
    <t>1251121924983</t>
  </si>
  <si>
    <t>Thép cuộn cán nóng 6.00x150X S235JR II</t>
  </si>
  <si>
    <t>1251121924976</t>
  </si>
  <si>
    <t>Thép cuộn cán nóng 6.00x150X S235JR</t>
  </si>
  <si>
    <t>1251121924969</t>
  </si>
  <si>
    <t>Thép cuộn cán nóng 4.00x125X S235JR II</t>
  </si>
  <si>
    <t>4.00×1252×C</t>
  </si>
  <si>
    <t>1251121924952</t>
  </si>
  <si>
    <t>Thép cuộn cán nóng 4.00x125X S235JR</t>
  </si>
  <si>
    <t>1251121924945</t>
  </si>
  <si>
    <t>Thép cuộn cán nóng 12.00x150X S275JR II</t>
  </si>
  <si>
    <t>1251121924938</t>
  </si>
  <si>
    <t>Thép cuộn cán nóng 12.00x150X S275JR</t>
  </si>
  <si>
    <t>1251121924921</t>
  </si>
  <si>
    <t>Thép cuộn cán nóng 10.00x150X S275JR II</t>
  </si>
  <si>
    <t>10.00×1502×C</t>
  </si>
  <si>
    <t>1251121924914</t>
  </si>
  <si>
    <t>Thép cuộn cán nóng 10.00x150X S275JR</t>
  </si>
  <si>
    <t>1251121924907</t>
  </si>
  <si>
    <t>Thép cuộn cán nóng 8.00x150X S275JR II</t>
  </si>
  <si>
    <t>8.00×1502×C</t>
  </si>
  <si>
    <t>1251121924891</t>
  </si>
  <si>
    <t>Thép cuộn cán nóng 8.00x150X S275JR</t>
  </si>
  <si>
    <t>1251121924884</t>
  </si>
  <si>
    <t>Thép cuộn cán nóng 6.00x150X S275JR II</t>
  </si>
  <si>
    <t>1251121924877</t>
  </si>
  <si>
    <t>Thép cuộn cán nóng 6.00x150X S275JR</t>
  </si>
  <si>
    <t>1251121924860</t>
  </si>
  <si>
    <t>Thép cuộn cán nóng 5.00x150X S275JR II</t>
  </si>
  <si>
    <t>1251121924853</t>
  </si>
  <si>
    <t>Thép cuộn cán nóng 5.00x150X S275JR</t>
  </si>
  <si>
    <t>1251121924846</t>
  </si>
  <si>
    <t>Thép cuộn cán nóng 2.15x125X SAE1006 II</t>
  </si>
  <si>
    <t>2.15×1252×C</t>
  </si>
  <si>
    <t>1251121924822</t>
  </si>
  <si>
    <t>Thép cuộn cán nóng 2.15x125X SAE1006</t>
  </si>
  <si>
    <t>1251121924815</t>
  </si>
  <si>
    <t>Thép cuộn cán nóng 1.90x125X SAE1006 II</t>
  </si>
  <si>
    <t>1251121924808</t>
  </si>
  <si>
    <t>Thép cuộn cán nóng 1.90x125X SAE1006</t>
  </si>
  <si>
    <t>1251121924792</t>
  </si>
  <si>
    <t>Thép cuộn cán nóng 3.80x126Y SAE1006 II</t>
  </si>
  <si>
    <t>3.80×1267×C</t>
  </si>
  <si>
    <t>1251121924785</t>
  </si>
  <si>
    <t>Thép cuộn cán nóng 3.80x126Y SAE1006</t>
  </si>
  <si>
    <t>1251121924778</t>
  </si>
  <si>
    <t>Thép cuộn cán nóng 3.20x126Y SAE1006 II</t>
  </si>
  <si>
    <t>3.20×1267×C</t>
  </si>
  <si>
    <t>1251121924761</t>
  </si>
  <si>
    <t>Thép cuộn cán nóng 3.20x126Y SAE1006</t>
  </si>
  <si>
    <t>1251121924754</t>
  </si>
  <si>
    <t>Thép cuộn cán nóng 3.70x123X SAE1006 II</t>
  </si>
  <si>
    <t>3.70×1232×C</t>
  </si>
  <si>
    <t>1251121924747</t>
  </si>
  <si>
    <t>Thép cuộn cán nóng 3.70x123X SAE1006</t>
  </si>
  <si>
    <t>1251121924730</t>
  </si>
  <si>
    <t>Thép cuộn cán nóng 3.90x124X SAE1006 II</t>
  </si>
  <si>
    <t>3.90×1242×C</t>
  </si>
  <si>
    <t>1251121924723</t>
  </si>
  <si>
    <t>Thép cuộn cán nóng 3.90x124X SAE1006</t>
  </si>
  <si>
    <t>1251121924716</t>
  </si>
  <si>
    <t>Thép cuộn cán nóng 3.30x124X SAE1006 II</t>
  </si>
  <si>
    <t>3.30×1242×C</t>
  </si>
  <si>
    <t>1251121924709</t>
  </si>
  <si>
    <t>Thép cuộn cán nóng 3.30x124X SAE1006</t>
  </si>
  <si>
    <t>1251121924693</t>
  </si>
  <si>
    <t>Thép cuộn cán nóng 3.00x124X SAE1006 II</t>
  </si>
  <si>
    <t>3.00×1242×C</t>
  </si>
  <si>
    <t>1251121924686</t>
  </si>
  <si>
    <t>Thép cuộn cán nóng 3.00x124X SAE1006</t>
  </si>
  <si>
    <t>1251121924679</t>
  </si>
  <si>
    <t>Thép cuộn cán nóng 3.00x125X SAE1006 II</t>
  </si>
  <si>
    <t>1251121924662</t>
  </si>
  <si>
    <t>Thép cuộn cán nóng 3.00x125X SAE1006</t>
  </si>
  <si>
    <t>1251121924655</t>
  </si>
  <si>
    <t>Thép cuộn cán nóng 2.30x110Y SAE1006 II</t>
  </si>
  <si>
    <t>2.30×1107×C</t>
  </si>
  <si>
    <t>1251121924648</t>
  </si>
  <si>
    <t>Thép cuộn cán nóng 2.30x110Y SAE1006</t>
  </si>
  <si>
    <t>1251121924631</t>
  </si>
  <si>
    <t>Thép cuộn cán nóng 2.20x110Y SAE1006 II</t>
  </si>
  <si>
    <t>2.20×1107×C</t>
  </si>
  <si>
    <t>1251121924624</t>
  </si>
  <si>
    <t>Thép cuộn cán nóng 2.20x110Y SAE1006</t>
  </si>
  <si>
    <t>1251121924617</t>
  </si>
  <si>
    <t>Thép cuộn cán nóng 2.00x110Y SAE1006 II</t>
  </si>
  <si>
    <t>2.00×1107×C</t>
  </si>
  <si>
    <t>1251121924600</t>
  </si>
  <si>
    <t>Thép cuộn cán nóng 2.00x110Y SAE1006</t>
  </si>
  <si>
    <t>1251121924594</t>
  </si>
  <si>
    <t>Thép cuộn cán nóng 3.40x126X SAE1006 II</t>
  </si>
  <si>
    <t>3.40×1262×C</t>
  </si>
  <si>
    <t>1251121924587</t>
  </si>
  <si>
    <t>Thép cuộn cán nóng 3.40x126X SAE1006</t>
  </si>
  <si>
    <t>1251121924570</t>
  </si>
  <si>
    <t>Thép cuộn cán nóng 2.75x126X SAE1006 II</t>
  </si>
  <si>
    <t>2.75×1262×C</t>
  </si>
  <si>
    <t>1251121924563</t>
  </si>
  <si>
    <t>Thép cuộn cán nóng 2.75x126X SAE1006</t>
  </si>
  <si>
    <t>1251121924556</t>
  </si>
  <si>
    <t>Thép cuộn cán nóng 4.30x125X SAE1006 II</t>
  </si>
  <si>
    <t>4.30×1252×C</t>
  </si>
  <si>
    <t>1251121924549</t>
  </si>
  <si>
    <t>Thép cuộn cán nóng 4.30x125X SAE1006</t>
  </si>
  <si>
    <t>1251121924532</t>
  </si>
  <si>
    <t>Thép cuộn cán nóng 3.45x125X SAE1006 II</t>
  </si>
  <si>
    <t>3.45×1252×C</t>
  </si>
  <si>
    <t>1251121924525</t>
  </si>
  <si>
    <t>Thép cuộn cán nóng 3.45x125X SAE1006</t>
  </si>
  <si>
    <t>1251121924518</t>
  </si>
  <si>
    <t>Thép cuộn cán nóng 3.50x125X SAE1006 II</t>
  </si>
  <si>
    <t>1251121924501</t>
  </si>
  <si>
    <t>Thép cuộn cán nóng 3.50x125X SAE1006</t>
  </si>
  <si>
    <t>1251121924495</t>
  </si>
  <si>
    <t>Thép cuộn cán nóng 3.05x125X SAE1006 II</t>
  </si>
  <si>
    <t>3.05×1252×C</t>
  </si>
  <si>
    <t>1251121924488</t>
  </si>
  <si>
    <t>Thép cuộn cán nóng 3.05x125X SAE1006</t>
  </si>
  <si>
    <t>1251121924471</t>
  </si>
  <si>
    <t>Thép cuộn cán nóng 4.75x123X SAE1006 II</t>
  </si>
  <si>
    <t>4.75×1232×C</t>
  </si>
  <si>
    <t>1251121924464</t>
  </si>
  <si>
    <t>Thép cuộn cán nóng 4.75x123X SAE1006</t>
  </si>
  <si>
    <t>1251121924457</t>
  </si>
  <si>
    <t>Thép cuộn cán nóng 4.75x121Y SAE1006 II</t>
  </si>
  <si>
    <t>1251121924440</t>
  </si>
  <si>
    <t>Thép cuộn cán nóng 4.75x121Y SAE1006</t>
  </si>
  <si>
    <t>1251121924433</t>
  </si>
  <si>
    <t>Thép cuộn cán nóng 2.65x120X SAE1006 II</t>
  </si>
  <si>
    <t>2.65×1202×C</t>
  </si>
  <si>
    <t>1251121924426</t>
  </si>
  <si>
    <t>Thép cuộn cán nóng 2.65x120X SAE1006</t>
  </si>
  <si>
    <t>1251121924419</t>
  </si>
  <si>
    <t>Thép cuộn cán nóng 2.50x121Y SAE1006 II</t>
  </si>
  <si>
    <t>1251121924402</t>
  </si>
  <si>
    <t>Thép cuộn cán nóng 2.50x121Y SAE1006</t>
  </si>
  <si>
    <t>1251121924396</t>
  </si>
  <si>
    <t>Thép cuộn cán nóng 2.30x121Y SAE1006 II</t>
  </si>
  <si>
    <t>1251121924389</t>
  </si>
  <si>
    <t>Thép cuộn cán nóng 2.30x121Y SAE1006</t>
  </si>
  <si>
    <t>1251121924372</t>
  </si>
  <si>
    <t>Thép cuộn cán nóng 2.40x115Y SPHC II</t>
  </si>
  <si>
    <t>1251121924365</t>
  </si>
  <si>
    <t>Thép cuộn cán nóng 2.40x115Y SPHC</t>
  </si>
  <si>
    <t>1251121924358</t>
  </si>
  <si>
    <t>Thép cuộn cán nóng 2.25x115Y SPHC II</t>
  </si>
  <si>
    <t>2.25×1157×C</t>
  </si>
  <si>
    <t>1251121924341</t>
  </si>
  <si>
    <t>Thép cuộn cán nóng 2.25x115Y SPHC</t>
  </si>
  <si>
    <t>1251121924334</t>
  </si>
  <si>
    <t>Thép cuộn cán nóng 2.00x115Y SPHC II</t>
  </si>
  <si>
    <t>2.00×1157×C</t>
  </si>
  <si>
    <t>1251121924327</t>
  </si>
  <si>
    <t>Thép cuộn cán nóng 2.00x115Y SPHC</t>
  </si>
  <si>
    <t>1251121924310</t>
  </si>
  <si>
    <t>Thép cuộn cán nóng 1.82x121Y ASTM A36 II</t>
  </si>
  <si>
    <t>1251121924303</t>
  </si>
  <si>
    <t>Thép cuộn cán nóng 1.82x121Y ASTM A36</t>
  </si>
  <si>
    <t>1251121924297</t>
  </si>
  <si>
    <t>Thép cuộn cán nóng 2.16x121Y ASTM A36 II</t>
  </si>
  <si>
    <t>2.16×1217×C</t>
  </si>
  <si>
    <t>1251121924280</t>
  </si>
  <si>
    <t>Thép cuộn cán nóng 2.16x121Y ASTM A36</t>
  </si>
  <si>
    <t>1251121924273</t>
  </si>
  <si>
    <t>Thép cuộn cán nóng 2.59x121Y ASTM A36 II</t>
  </si>
  <si>
    <t>1251121924266</t>
  </si>
  <si>
    <t>Thép cuộn cán nóng 2.59x121Y ASTM A36</t>
  </si>
  <si>
    <t>1251121924259</t>
  </si>
  <si>
    <t>Thép cuộn cán nóng 2.92x121Y ASTM A36 II</t>
  </si>
  <si>
    <t>2.92×1217×C</t>
  </si>
  <si>
    <t>1251121924242</t>
  </si>
  <si>
    <t>Thép cuộn cán nóng 2.92x121Y ASTM A36</t>
  </si>
  <si>
    <t>1251121924235</t>
  </si>
  <si>
    <t>Thép cuộn cán nóng 4.50x121Y ASTM A36 II</t>
  </si>
  <si>
    <t>1251121924228</t>
  </si>
  <si>
    <t>Thép cuộn cán nóng 4.50x121Y ASTM A36</t>
  </si>
  <si>
    <t>1251121924211</t>
  </si>
  <si>
    <t>Thép cuộn cán nóng 2.80x125X S275JR II</t>
  </si>
  <si>
    <t>1251121924204</t>
  </si>
  <si>
    <t>Thép cuộn cán nóng 2.80x125X S275JR</t>
  </si>
  <si>
    <t>1251121924198</t>
  </si>
  <si>
    <t>Thép cuộn cán nóng 4.00x150X S275JR II</t>
  </si>
  <si>
    <t>1251121924181</t>
  </si>
  <si>
    <t>Thép cuộn cán nóng 4.00x150X S275JR</t>
  </si>
  <si>
    <t>1251121924174</t>
  </si>
  <si>
    <t>Thép cuộn cán nóng 3.00x150X S275JR II</t>
  </si>
  <si>
    <t>1251121924167</t>
  </si>
  <si>
    <t>Thép cuộn cán nóng 3.00x150X S275JR</t>
  </si>
  <si>
    <t>1251121924150</t>
  </si>
  <si>
    <t>Thép cuộn cán nóng 3.00x125X S275JR II</t>
  </si>
  <si>
    <t>1251121924143</t>
  </si>
  <si>
    <t>Thép cuộn cán nóng 3.00x125X S275JR</t>
  </si>
  <si>
    <t>1251121924136</t>
  </si>
  <si>
    <t>Thép cuộn cán nóng 11.85x150X S275JR II</t>
  </si>
  <si>
    <t>11.85×1502×C</t>
  </si>
  <si>
    <t>1251121924129</t>
  </si>
  <si>
    <t>Thép cuộn cán nóng 11.85x150X S275JR</t>
  </si>
  <si>
    <t>1251121924112</t>
  </si>
  <si>
    <t>Thép cuộn cán nóng 9.85x150X S275JR II</t>
  </si>
  <si>
    <t>9.85×1502×C</t>
  </si>
  <si>
    <t>1251121924105</t>
  </si>
  <si>
    <t>Thép cuộn cán nóng 9.85x150X S275JR</t>
  </si>
  <si>
    <t>1251121924099</t>
  </si>
  <si>
    <t>Thép cuộn cán nóng 7.85x150X S275JR II</t>
  </si>
  <si>
    <t>7.85×1502×C</t>
  </si>
  <si>
    <t>1251121924082</t>
  </si>
  <si>
    <t>Thép cuộn cán nóng 7.85x150X S275JR</t>
  </si>
  <si>
    <t>1251121924075</t>
  </si>
  <si>
    <t>Thép cuộn cán nóng 5.85x150X S275JR II</t>
  </si>
  <si>
    <t>1251121924068</t>
  </si>
  <si>
    <t>Thép cuộn cán nóng 5.85x150X S275JR</t>
  </si>
  <si>
    <t>1251121924051</t>
  </si>
  <si>
    <t>Thép cuộn cán nóng 4.85x150X S275JR II</t>
  </si>
  <si>
    <t>1251121924044</t>
  </si>
  <si>
    <t>Thép cuộn cán nóng 4.85x150X S275JR</t>
  </si>
  <si>
    <t>1251121924037</t>
  </si>
  <si>
    <t>Thép cuộn cán nóng 2.90x150X S275JR II</t>
  </si>
  <si>
    <t>1251121924020</t>
  </si>
  <si>
    <t>Thép cuộn cán nóng 2.90x150X S275JR</t>
  </si>
  <si>
    <t>1251121924013</t>
  </si>
  <si>
    <t>Thép cuộn cán nóng 3.20x1130 SPA-H II</t>
  </si>
  <si>
    <t>3.20×1130×C</t>
  </si>
  <si>
    <t>1251121924006</t>
  </si>
  <si>
    <t>Thép cuộn cán nóng 3.20x1130 SPA-H</t>
  </si>
  <si>
    <t>1251121923993</t>
  </si>
  <si>
    <t>Thép cuộn cán nóng 2.80x121Y SS400 II</t>
  </si>
  <si>
    <t>1251121923986</t>
  </si>
  <si>
    <t>Thép cuộn cán nóng 2.80x121Y SS400</t>
  </si>
  <si>
    <t>1251121923979</t>
  </si>
  <si>
    <t>Thép cuộn cán nóng 2.50x121Y SS400 II</t>
  </si>
  <si>
    <t>1251121923962</t>
  </si>
  <si>
    <t>Thép cuộn cán nóng 2.50x121Y SS400</t>
  </si>
  <si>
    <t>1251121923955</t>
  </si>
  <si>
    <t>Thép cuộn cán nóng 4.50x126Y SS400 II</t>
  </si>
  <si>
    <t>4.50×1267×C</t>
  </si>
  <si>
    <t>1251121923931</t>
  </si>
  <si>
    <t>Thép cuộn cán nóng 4.50x126Y SS400</t>
  </si>
  <si>
    <t>1251121923924</t>
  </si>
  <si>
    <t>Thép cuộn cán nóng 4.40x126Y SS400 II</t>
  </si>
  <si>
    <t>4.40×1267×C</t>
  </si>
  <si>
    <t>1251121923917</t>
  </si>
  <si>
    <t>Thép cuộn cán nóng 4.40x126Y SS400</t>
  </si>
  <si>
    <t>1251121923900</t>
  </si>
  <si>
    <t>Thép cuộn cán nóng 4.30x126Y SS400 II</t>
  </si>
  <si>
    <t>4.30×1267×C</t>
  </si>
  <si>
    <t>1251121923894</t>
  </si>
  <si>
    <t>Thép cuộn cán nóng 4.30x126Y SS400</t>
  </si>
  <si>
    <t>1251121923887</t>
  </si>
  <si>
    <t>Thép cuộn cán nóng 4.20x126Y SS400 II</t>
  </si>
  <si>
    <t>4.20×1267×C</t>
  </si>
  <si>
    <t>1251121923870</t>
  </si>
  <si>
    <t>Thép cuộn cán nóng 4.20x126Y SS400</t>
  </si>
  <si>
    <t>1251121923863</t>
  </si>
  <si>
    <t>Thép cuộn cán nóng 3.80x126Y SS400 II</t>
  </si>
  <si>
    <t>1251121923856</t>
  </si>
  <si>
    <t>Thép cuộn cán nóng 3.80x126Y SS400</t>
  </si>
  <si>
    <t>1251121923849</t>
  </si>
  <si>
    <t>Thép cuộn cán nóng 3.75x126Y SS400 II</t>
  </si>
  <si>
    <t>3.75×1267×C</t>
  </si>
  <si>
    <t>1251121923832</t>
  </si>
  <si>
    <t>Thép cuộn cán nóng 3.75x126Y SS400</t>
  </si>
  <si>
    <t>1251121923825</t>
  </si>
  <si>
    <t>Thép cuộn cán nóng 3.70x126Y SS400 II</t>
  </si>
  <si>
    <t>1251121923818</t>
  </si>
  <si>
    <t>Thép cuộn cán nóng 3.70x126Y SS400</t>
  </si>
  <si>
    <t>1251121923801</t>
  </si>
  <si>
    <t>Thép cuộn cán nóng 3.65x126Y SS400 II</t>
  </si>
  <si>
    <t>3.65×1267×C</t>
  </si>
  <si>
    <t>1251121923795</t>
  </si>
  <si>
    <t>Thép cuộn cán nóng 3.65x126Y SS400</t>
  </si>
  <si>
    <t>1251121923788</t>
  </si>
  <si>
    <t>Thép cuộn cán nóng 3.50x126Y SS400 II</t>
  </si>
  <si>
    <t>3.50×1267×C</t>
  </si>
  <si>
    <t>1251121923771</t>
  </si>
  <si>
    <t>Thép cuộn cán nóng 3.50x126Y SS400</t>
  </si>
  <si>
    <t>1251121923764</t>
  </si>
  <si>
    <t>Thép cuộn cán nóng 3.35x126Y SS400 II</t>
  </si>
  <si>
    <t>3.35×1267×C</t>
  </si>
  <si>
    <t>1251121923757</t>
  </si>
  <si>
    <t>Thép cuộn cán nóng 3.35x126Y SS400</t>
  </si>
  <si>
    <t>1251121923740</t>
  </si>
  <si>
    <t>Thép cuộn cán nóng 3.30x126Y SS400 II</t>
  </si>
  <si>
    <t>3.30×1267×C</t>
  </si>
  <si>
    <t>1251121923733</t>
  </si>
  <si>
    <t>Thép cuộn cán nóng 3.30x126Y SS400</t>
  </si>
  <si>
    <t>1251121923726</t>
  </si>
  <si>
    <t>Thép cuộn cán nóng 3.25x126Y SS400 II</t>
  </si>
  <si>
    <t>3.25×1267×C</t>
  </si>
  <si>
    <t>1251121923719</t>
  </si>
  <si>
    <t>Thép cuộn cán nóng 3.25x126Y SS400</t>
  </si>
  <si>
    <t>1251121923702</t>
  </si>
  <si>
    <t>Thép cuộn cán nóng 3.20x126Y SS400 II</t>
  </si>
  <si>
    <t>1251121923696</t>
  </si>
  <si>
    <t>Thép cuộn cán nóng 3.20x126Y SS400</t>
  </si>
  <si>
    <t>1251121923689</t>
  </si>
  <si>
    <t>Thép cuộn cán nóng 3.10x126Y SS400 II</t>
  </si>
  <si>
    <t>3.10×1267×C</t>
  </si>
  <si>
    <t>1251121923672</t>
  </si>
  <si>
    <t>Thép cuộn cán nóng 3.10x126Y SS400</t>
  </si>
  <si>
    <t>1251121923665</t>
  </si>
  <si>
    <t>Thép cuộn cán nóng 3.05x126Y SS400 II</t>
  </si>
  <si>
    <t>3.05×1267×C</t>
  </si>
  <si>
    <t>1251121923658</t>
  </si>
  <si>
    <t>Thép cuộn cán nóng 3.05x126Y SS400</t>
  </si>
  <si>
    <t>1251121923641</t>
  </si>
  <si>
    <t>Thép cuộn cán nóng 3.00x126Y SS400 II</t>
  </si>
  <si>
    <t>3.00×1267×C</t>
  </si>
  <si>
    <t>1251121923634</t>
  </si>
  <si>
    <t>Thép cuộn cán nóng 3.00x126Y SS400</t>
  </si>
  <si>
    <t>1251121923627</t>
  </si>
  <si>
    <t>Thép cuộn cán nóng 2.95x126Y SS400 II</t>
  </si>
  <si>
    <t>2.95×1267×C</t>
  </si>
  <si>
    <t>1251121923610</t>
  </si>
  <si>
    <t>Thép cuộn cán nóng 2.95x126Y SS400</t>
  </si>
  <si>
    <t>1251121923603</t>
  </si>
  <si>
    <t>Thép cuộn cán nóng 2.87x120X SS400 II</t>
  </si>
  <si>
    <t>2.87×1202×C</t>
  </si>
  <si>
    <t>1251121923597</t>
  </si>
  <si>
    <t>Thép cuộn cán nóng 2.87x120X SS400</t>
  </si>
  <si>
    <t>1251121923580</t>
  </si>
  <si>
    <t>Thép cuộn cán nóng 2.75x126Y SS400 II</t>
  </si>
  <si>
    <t>2.75×1267×C</t>
  </si>
  <si>
    <t>1251121923573</t>
  </si>
  <si>
    <t>Thép cuộn cán nóng 2.75x126Y SS400</t>
  </si>
  <si>
    <t>1251121923566</t>
  </si>
  <si>
    <t>Thép cuộn cán nóng 2.68x126Y SS400 II</t>
  </si>
  <si>
    <t>2.68×1267×C</t>
  </si>
  <si>
    <t>1251121923559</t>
  </si>
  <si>
    <t>Thép cuộn cán nóng 2.68x126Y SS400</t>
  </si>
  <si>
    <t>1251121923542</t>
  </si>
  <si>
    <t>Thép cuộn cán nóng 2.60x126Y SS400 II</t>
  </si>
  <si>
    <t>1251121923535</t>
  </si>
  <si>
    <t>Thép cuộn cán nóng 2.60x126Y SS400</t>
  </si>
  <si>
    <t>1251121923528</t>
  </si>
  <si>
    <t>Thép cuộn cán nóng 2.50x120X SS400 II</t>
  </si>
  <si>
    <t>1251121923511</t>
  </si>
  <si>
    <t>Thép cuộn cán nóng 2.50x120X SS400</t>
  </si>
  <si>
    <t>1251121923504</t>
  </si>
  <si>
    <t>Thép cuộn cán nóng 2.45x120X SS400 II</t>
  </si>
  <si>
    <t>2.45×1202×C</t>
  </si>
  <si>
    <t>1251121923498</t>
  </si>
  <si>
    <t>Thép cuộn cán nóng 2.45x120X SS400</t>
  </si>
  <si>
    <t>1251121923481</t>
  </si>
  <si>
    <t>Thép cuộn cán nóng 2.30x126Y SS400 II</t>
  </si>
  <si>
    <t>2.30×1267×C</t>
  </si>
  <si>
    <t>1251121923474</t>
  </si>
  <si>
    <t>Thép cuộn cán nóng 2.30x126Y SS400</t>
  </si>
  <si>
    <t>1251121923467</t>
  </si>
  <si>
    <t>Thép cuộn cán nóng 2.95x120X S355JR II</t>
  </si>
  <si>
    <t>2.95×1202×C</t>
  </si>
  <si>
    <t>1251121923450</t>
  </si>
  <si>
    <t>Thép cuộn cán nóng 2.95x120X S355JR</t>
  </si>
  <si>
    <t>1251121923443</t>
  </si>
  <si>
    <t>Thép cuộn cán nóng 2.00x120X BjPC II</t>
  </si>
  <si>
    <t>1251121923436</t>
  </si>
  <si>
    <t>Thép cuộn cán nóng 2.00x120X BjPC</t>
  </si>
  <si>
    <t>1251121923429</t>
  </si>
  <si>
    <t>Thép cuộn cán nóng 3.50x126Y SPHC II</t>
  </si>
  <si>
    <t>1251121923412</t>
  </si>
  <si>
    <t>Thép cuộn cán nóng 3.50x126Y SPHC</t>
  </si>
  <si>
    <t>1251121923405</t>
  </si>
  <si>
    <t>Thép cuộn cán nóng 3.00x126Y SPHC II</t>
  </si>
  <si>
    <t>1251121923399</t>
  </si>
  <si>
    <t>Thép cuộn cán nóng 3.00x126Y SPHC</t>
  </si>
  <si>
    <t>1251121923382</t>
  </si>
  <si>
    <t>Thép cuộn cán nóng 2.87x126Y SPHC II</t>
  </si>
  <si>
    <t>2.87×1267×C</t>
  </si>
  <si>
    <t>1251121923375</t>
  </si>
  <si>
    <t>Thép cuộn cán nóng 2.87x126Y SPHC</t>
  </si>
  <si>
    <t>1251121923368</t>
  </si>
  <si>
    <t>Thép cuộn cán nóng 2.45x120X SPHC II</t>
  </si>
  <si>
    <t>1251121923351</t>
  </si>
  <si>
    <t>Thép cuộn cán nóng 2.45x120X SPHC</t>
  </si>
  <si>
    <t>1251121923344</t>
  </si>
  <si>
    <t>Thép cuộn cán nóng 2.30x126Y SPHC II</t>
  </si>
  <si>
    <t>1251121923337</t>
  </si>
  <si>
    <t>Thép cuộn cán nóng 2.30x126Y SPHC</t>
  </si>
  <si>
    <t>1251121923320</t>
  </si>
  <si>
    <t>Thép cuộn cán nóng 2.20x126Y SPHC II</t>
  </si>
  <si>
    <t>2.20×1267×C</t>
  </si>
  <si>
    <t>1251121923313</t>
  </si>
  <si>
    <t>Thép cuộn cán nóng 2.20x126Y SPHC</t>
  </si>
  <si>
    <t>1251121923306</t>
  </si>
  <si>
    <t>Thép cuộn cán nóng 2.00x126Y SPHC II</t>
  </si>
  <si>
    <t>2.00×1267×C</t>
  </si>
  <si>
    <t>1251121923290</t>
  </si>
  <si>
    <t>Thép cuộn cán nóng 2.00x126Y SPHC</t>
  </si>
  <si>
    <t>1251121923283</t>
  </si>
  <si>
    <t>Thép cuộn cán nóng 5.70x152X S275JR II</t>
  </si>
  <si>
    <t>1251121923276</t>
  </si>
  <si>
    <t>Thép cuộn cán nóng 5.70x152X S275JR</t>
  </si>
  <si>
    <t>1251121923269</t>
  </si>
  <si>
    <t>Thép cuộn cán nóng 11.60x121X S275JR II</t>
  </si>
  <si>
    <t>11.60×1212×C</t>
  </si>
  <si>
    <t>1251121923252</t>
  </si>
  <si>
    <t>Thép cuộn cán nóng 11.60x121X S275JR</t>
  </si>
  <si>
    <t>1251121923245</t>
  </si>
  <si>
    <t>Thép cuộn cán nóng 8.70x121X S275JR II</t>
  </si>
  <si>
    <t>8.70×1212×C</t>
  </si>
  <si>
    <t>1251121923238</t>
  </si>
  <si>
    <t>Thép cuộn cán nóng 8.70x121X S275JR</t>
  </si>
  <si>
    <t>1251121923221</t>
  </si>
  <si>
    <t>Thép cuộn cán nóng 11.65x152X S275JR II</t>
  </si>
  <si>
    <t>11.65×1522×C</t>
  </si>
  <si>
    <t>1251121923214</t>
  </si>
  <si>
    <t>Thép cuộn cán nóng 11.65x152X S275JR</t>
  </si>
  <si>
    <t>1251121923207</t>
  </si>
  <si>
    <t>Thép cuộn cán nóng 9.70x152X S275JR II</t>
  </si>
  <si>
    <t>9.70×1522×C</t>
  </si>
  <si>
    <t>1251121923191</t>
  </si>
  <si>
    <t>Thép cuộn cán nóng 9.70x152X S275JR</t>
  </si>
  <si>
    <t>1251121923184</t>
  </si>
  <si>
    <t>Thép cuộn cán nóng 7.40x152X S275JR II</t>
  </si>
  <si>
    <t>7.40×1522×C</t>
  </si>
  <si>
    <t>1251121923177</t>
  </si>
  <si>
    <t>Thép cuộn cán nóng 7.40x152X S275JR</t>
  </si>
  <si>
    <t>1251121923160</t>
  </si>
  <si>
    <t>Thép cuộn cán nóng 4.75x152X S275JR II</t>
  </si>
  <si>
    <t>1251121923153</t>
  </si>
  <si>
    <t>Thép cuộn cán nóng 4.75x152X S275JR</t>
  </si>
  <si>
    <t>1251121923146</t>
  </si>
  <si>
    <t>Thép cuộn cán nóng 3.80x152X S275JR II</t>
  </si>
  <si>
    <t>1251121923139</t>
  </si>
  <si>
    <t>Thép cuộn cán nóng 3.80x152X S275JR</t>
  </si>
  <si>
    <t>1251121923122</t>
  </si>
  <si>
    <t>Thép cuộn cán nóng 7.85x121Y S275JR II</t>
  </si>
  <si>
    <t>7.85×1217×C</t>
  </si>
  <si>
    <t>1251121923115</t>
  </si>
  <si>
    <t>Thép cuộn cán nóng 7.85x121Y S275JR</t>
  </si>
  <si>
    <t>1251121923108</t>
  </si>
  <si>
    <t>Thép cuộn cán nóng 5.75x121Y S275JR II</t>
  </si>
  <si>
    <t>5.75×1217×C</t>
  </si>
  <si>
    <t>1251121923092</t>
  </si>
  <si>
    <t>Thép cuộn cán nóng 5.75x121Y S275JR</t>
  </si>
  <si>
    <t>1251121923085</t>
  </si>
  <si>
    <t>Thép cuộn cán nóng 4.30x121Y S275JR II</t>
  </si>
  <si>
    <t>1251121923078</t>
  </si>
  <si>
    <t>Thép cuộn cán nóng 4.30x121Y S275JR</t>
  </si>
  <si>
    <t>1251121923061</t>
  </si>
  <si>
    <t>Thép cuộn cán nóng 3.80x121Y S275JR II</t>
  </si>
  <si>
    <t>3.80×1217×C</t>
  </si>
  <si>
    <t>1251121923054</t>
  </si>
  <si>
    <t>Thép cuộn cán nóng 3.80x121Y S275JR</t>
  </si>
  <si>
    <t>1251121923047</t>
  </si>
  <si>
    <t>Thép cuộn cán nóng 7.94x121Y ASTM A36 II</t>
  </si>
  <si>
    <t>7.94×1217×C</t>
  </si>
  <si>
    <t>1251121923030</t>
  </si>
  <si>
    <t>Thép cuộn cán nóng 7.94x121Y ASTM A36</t>
  </si>
  <si>
    <t>1251121923023</t>
  </si>
  <si>
    <t>Thép cuộn cán nóng 9.53x121Y ASTM A36 II</t>
  </si>
  <si>
    <t>9.53×1217×C</t>
  </si>
  <si>
    <t>1251121923016</t>
  </si>
  <si>
    <t>Thép cuộn cán nóng 9.53x121Y ASTM A36</t>
  </si>
  <si>
    <t>1251121923009</t>
  </si>
  <si>
    <t>Thép cuộn cán nóng 2.00x122Y SAE1006 II</t>
  </si>
  <si>
    <t>1251121922996</t>
  </si>
  <si>
    <t>Thép cuộn cán nóng 2.00x122Y SAE1006</t>
  </si>
  <si>
    <t>1251121922989</t>
  </si>
  <si>
    <t>Thép cuộn cán nóng 3.30x123X SAE1006 II</t>
  </si>
  <si>
    <t>3.30×1232×C</t>
  </si>
  <si>
    <t>1251121922972</t>
  </si>
  <si>
    <t>Thép cuộn cán nóng 3.30x123X SAE1006</t>
  </si>
  <si>
    <t>1251121922965</t>
  </si>
  <si>
    <t>Thép cuộn cán nóng 5.00x150X SPHT3 II</t>
  </si>
  <si>
    <t>1251121922873</t>
  </si>
  <si>
    <t>Thép cuộn cán nóng 5.00x150X SPHT3</t>
  </si>
  <si>
    <t>1251121922866</t>
  </si>
  <si>
    <t>Thép cuộn cán nóng 3.90x150X SPHT3 II</t>
  </si>
  <si>
    <t>1251121922859</t>
  </si>
  <si>
    <t>Thép cuộn cán nóng 3.90x150X SPHT3</t>
  </si>
  <si>
    <t>1251121922842</t>
  </si>
  <si>
    <t>Thép cuộn cán nóng 3.80x150X SPHT3 II</t>
  </si>
  <si>
    <t>3.80×1502×C</t>
  </si>
  <si>
    <t>1251121922835</t>
  </si>
  <si>
    <t>Thép cuộn cán nóng 3.80x150X SPHT3</t>
  </si>
  <si>
    <t>1251121922828</t>
  </si>
  <si>
    <t>Thép cuộn cán nóng 3.50x150X SPHT3 II</t>
  </si>
  <si>
    <t>3.50×1502×C</t>
  </si>
  <si>
    <t>1251121922811</t>
  </si>
  <si>
    <t>Thép cuộn cán nóng 3.50x150X SPHT3</t>
  </si>
  <si>
    <t>1251121922804</t>
  </si>
  <si>
    <t>Thép cuộn cán nóng 2.85x121Y SPHT3 II</t>
  </si>
  <si>
    <t>1251121922798</t>
  </si>
  <si>
    <t>Thép cuộn cán nóng 2.85x121Y SPHT3</t>
  </si>
  <si>
    <t>1251121922781</t>
  </si>
  <si>
    <t>Thép cuộn cán nóng 2.47x121Y SPHT3 II</t>
  </si>
  <si>
    <t>2.47×1217×C</t>
  </si>
  <si>
    <t>1251121922774</t>
  </si>
  <si>
    <t>Thép cuộn cán nóng 2.47x121Y SPHT3</t>
  </si>
  <si>
    <t>1251121922767</t>
  </si>
  <si>
    <t>Thép cuộn cán nóng 2.42x121Y SPHT3 II</t>
  </si>
  <si>
    <t>2.42×1217×C</t>
  </si>
  <si>
    <t>1251121922750</t>
  </si>
  <si>
    <t>Thép cuộn cán nóng 2.42x121Y SPHT3</t>
  </si>
  <si>
    <t>1251121922743</t>
  </si>
  <si>
    <t>Thép cuộn cán nóng 2.35x121Y SPHT3 II</t>
  </si>
  <si>
    <t>1251121922736</t>
  </si>
  <si>
    <t>Thép cuộn cán nóng 2.35x121Y SPHT3</t>
  </si>
  <si>
    <t>1251121922729</t>
  </si>
  <si>
    <t>Thép cuộn cán nóng 2.30x150X SPHT3 II</t>
  </si>
  <si>
    <t>2.30×1502×C</t>
  </si>
  <si>
    <t>1251121922712</t>
  </si>
  <si>
    <t>Thép cuộn cán nóng 2.30x150X SPHT3</t>
  </si>
  <si>
    <t>1251121922705</t>
  </si>
  <si>
    <t>Thép cuộn cán nóng 4.45x152X S275JR II</t>
  </si>
  <si>
    <t>4.45×1522×C</t>
  </si>
  <si>
    <t>1251121922699</t>
  </si>
  <si>
    <t>Thép cuộn cán nóng 4.45x152X S275JR</t>
  </si>
  <si>
    <t>1251121922682</t>
  </si>
  <si>
    <t>Thép cuộn cán nóng 4.20x150X S275JR II</t>
  </si>
  <si>
    <t>4.20×1502×C</t>
  </si>
  <si>
    <t>1251121922675</t>
  </si>
  <si>
    <t>Thép cuộn cán nóng 4.20x150X S275JR</t>
  </si>
  <si>
    <t>1251121922668</t>
  </si>
  <si>
    <t>Thép cuộn cán nóng 4.05x150X S275JR II</t>
  </si>
  <si>
    <t>4.05×1502×C</t>
  </si>
  <si>
    <t>1251121922651</t>
  </si>
  <si>
    <t>Thép cuộn cán nóng 4.05x150X S275JR</t>
  </si>
  <si>
    <t>1251121922644</t>
  </si>
  <si>
    <t>Thép cuộn cán nóng 3.75x121X S275JR II</t>
  </si>
  <si>
    <t>1251121922637</t>
  </si>
  <si>
    <t>Thép cuộn cán nóng 3.75x121X S275JR</t>
  </si>
  <si>
    <t>1251121922620</t>
  </si>
  <si>
    <t>Thép cuộn cán nóng 3.65x121X S275JR II</t>
  </si>
  <si>
    <t>3.65×1212×C</t>
  </si>
  <si>
    <t>1251121922613</t>
  </si>
  <si>
    <t>Thép cuộn cán nóng 3.65x121X S275JR</t>
  </si>
  <si>
    <t>1251121922606</t>
  </si>
  <si>
    <t>Thép cuộn cán nóng 2.80x150X S275JR II</t>
  </si>
  <si>
    <t>1251121922590</t>
  </si>
  <si>
    <t>Thép cuộn cán nóng 2.80x150X S275JR</t>
  </si>
  <si>
    <t>1251121922583</t>
  </si>
  <si>
    <t>Thép cuộn cán nóng 2.75x121X S275JR II</t>
  </si>
  <si>
    <t>1251121922576</t>
  </si>
  <si>
    <t>Thép cuộn cán nóng 2.75x121X S275JR</t>
  </si>
  <si>
    <t>1251121922569</t>
  </si>
  <si>
    <t>Thép cuộn cán nóng 2.60x150X S275JR II</t>
  </si>
  <si>
    <t>2.60×1502×C</t>
  </si>
  <si>
    <t>1251121922552</t>
  </si>
  <si>
    <t>Thép cuộn cán nóng 2.60x150X S275JR</t>
  </si>
  <si>
    <t>1251121922545</t>
  </si>
  <si>
    <t>Thép cuộn cán nóng 3.20x142X SAE1006 II</t>
  </si>
  <si>
    <t>1251121922538</t>
  </si>
  <si>
    <t>Thép cuộn cán nóng 3.20x142X SAE1006</t>
  </si>
  <si>
    <t>1251121922521</t>
  </si>
  <si>
    <t>Thép cuộn cán nóng 3.20x134X SAE1006 II</t>
  </si>
  <si>
    <t>3.20×1342×C</t>
  </si>
  <si>
    <t>1251121922514</t>
  </si>
  <si>
    <t>Thép cuộn cán nóng 3.20x134X SAE1006</t>
  </si>
  <si>
    <t>1251121922507</t>
  </si>
  <si>
    <t>Thép cuộn cán nóng 3.00x120X SS400 II</t>
  </si>
  <si>
    <t>1251121922491</t>
  </si>
  <si>
    <t>Thép cuộn cán nóng 3.00x120X SS400</t>
  </si>
  <si>
    <t>1251121922484</t>
  </si>
  <si>
    <t>Thép cuộn cán nóng 4.85x150X DD11 II</t>
  </si>
  <si>
    <t>EN 10111: 2008</t>
  </si>
  <si>
    <t>1251121922477</t>
  </si>
  <si>
    <t>Thép cuộn cán nóng 4.85x150X DD11</t>
  </si>
  <si>
    <t>1251121922460</t>
  </si>
  <si>
    <t>Thép cuộn cán nóng 2.90x150X DD11 II</t>
  </si>
  <si>
    <t>1251121922453</t>
  </si>
  <si>
    <t>Thép cuộn cán nóng 2.90x150X DD11</t>
  </si>
  <si>
    <t>1251121922446</t>
  </si>
  <si>
    <t>Thép cuộn cán nóng 8.00x150X SS400 II</t>
  </si>
  <si>
    <t>1251121922439</t>
  </si>
  <si>
    <t>Thép cuộn cán nóng 8.00x150X SS400</t>
  </si>
  <si>
    <t>1251121922422</t>
  </si>
  <si>
    <t>Thép cuộn cán nóng 12.00x150X SS400 II</t>
  </si>
  <si>
    <t>1251121922415</t>
  </si>
  <si>
    <t>Thép cuộn cán nóng 12.00x150X SS400</t>
  </si>
  <si>
    <t>1251121922408</t>
  </si>
  <si>
    <t>Thép cuộn cán nóng 12.00x120X SS400 II</t>
  </si>
  <si>
    <t>1251121922392</t>
  </si>
  <si>
    <t>Thép cuộn cán nóng 12.00x120X SS400</t>
  </si>
  <si>
    <t>1251121922385</t>
  </si>
  <si>
    <t>Thép cuộn cán nóng 10.00x150X SS400 II</t>
  </si>
  <si>
    <t>1251121922378</t>
  </si>
  <si>
    <t>Thép cuộn cán nóng 10.00x150X SS400</t>
  </si>
  <si>
    <t>1251121922361</t>
  </si>
  <si>
    <t>Thép cuộn cán nóng 10.00x120X SS400 II</t>
  </si>
  <si>
    <t>10.00×1202×C</t>
  </si>
  <si>
    <t>1251121922354</t>
  </si>
  <si>
    <t>Thép cuộn cán nóng 10.00x120X SS400</t>
  </si>
  <si>
    <t>1251121922347</t>
  </si>
  <si>
    <t>Thép cuộn cán nóng 8.00x120X SS400 II</t>
  </si>
  <si>
    <t>8.00×1202×C</t>
  </si>
  <si>
    <t>1251121922330</t>
  </si>
  <si>
    <t>Thép cuộn cán nóng 8.00x120X SS400</t>
  </si>
  <si>
    <t>1251121922323</t>
  </si>
  <si>
    <t>Thép cuộn cán nóng 5.60x150X SS400 II</t>
  </si>
  <si>
    <t>5.60×1502×C</t>
  </si>
  <si>
    <t>1251121922316</t>
  </si>
  <si>
    <t>Thép cuộn cán nóng 5.60x150X SS400</t>
  </si>
  <si>
    <t>1251121922309</t>
  </si>
  <si>
    <t>Thép cuộn cán nóng 5.60x120X SS400 II</t>
  </si>
  <si>
    <t>5.60×1202×C</t>
  </si>
  <si>
    <t>1251121922293</t>
  </si>
  <si>
    <t>Thép cuộn cán nóng 5.60x120X SS400</t>
  </si>
  <si>
    <t>1251121922286</t>
  </si>
  <si>
    <t>Thép cuộn cán nóng 4.50x120X SS400 II</t>
  </si>
  <si>
    <t>1251121922279</t>
  </si>
  <si>
    <t>Thép cuộn cán nóng 4.50x120X SS400</t>
  </si>
  <si>
    <t>1251121922262</t>
  </si>
  <si>
    <t>Thép cuộn cán nóng 4.50x150X SS400 II</t>
  </si>
  <si>
    <t>1251121922255</t>
  </si>
  <si>
    <t>Thép cuộn cán nóng 4.50x150X SS400</t>
  </si>
  <si>
    <t>1251121922248</t>
  </si>
  <si>
    <t>Thép cuộn cán nóng 4.00x120X SS400 II</t>
  </si>
  <si>
    <t>4.00×1202×C</t>
  </si>
  <si>
    <t>1251121922231</t>
  </si>
  <si>
    <t>Thép cuộn cán nóng 4.00x120X SS400</t>
  </si>
  <si>
    <t>1251121922224</t>
  </si>
  <si>
    <t>Thép cuộn cán nóng 4.00x150X SS400 II</t>
  </si>
  <si>
    <t>1251121922217</t>
  </si>
  <si>
    <t>Thép cuộn cán nóng 4.00x150X SS400</t>
  </si>
  <si>
    <t>1251121922200</t>
  </si>
  <si>
    <t>Thép cuộn cán nóng 6.00x120X SPHC II</t>
  </si>
  <si>
    <t>1251121922194</t>
  </si>
  <si>
    <t>Thép cuộn cán nóng 6.00x120X SPHC</t>
  </si>
  <si>
    <t>1251121922187</t>
  </si>
  <si>
    <t>Thép cuộn cán nóng 3.60x120X SPHC II</t>
  </si>
  <si>
    <t>3.60×1202×C</t>
  </si>
  <si>
    <t>1251121922170</t>
  </si>
  <si>
    <t>Thép cuộn cán nóng 3.60x120X SPHC</t>
  </si>
  <si>
    <t>1251121922163</t>
  </si>
  <si>
    <t>Thép cuộn cán nóng 5.60x120X SPHC II</t>
  </si>
  <si>
    <t>1251121922156</t>
  </si>
  <si>
    <t>Thép cuộn cán nóng 5.60x120X SPHC</t>
  </si>
  <si>
    <t>1251121922149</t>
  </si>
  <si>
    <t>Thép cuộn cán nóng 4.50x120X SPHC II</t>
  </si>
  <si>
    <t>1251121922132</t>
  </si>
  <si>
    <t>Thép cuộn cán nóng 4.50x120X SPHC</t>
  </si>
  <si>
    <t>1251121922125</t>
  </si>
  <si>
    <t>Thép cuộn cán nóng 12.00x120X SPHC II</t>
  </si>
  <si>
    <t>1251121922118</t>
  </si>
  <si>
    <t>Thép cuộn cán nóng 12.00x120X SPHC</t>
  </si>
  <si>
    <t>1251121922101</t>
  </si>
  <si>
    <t>Thép cuộn cán nóng 10.00x120X SPHC II</t>
  </si>
  <si>
    <t>1251121922095</t>
  </si>
  <si>
    <t>Thép cuộn cán nóng 10.00x120X SPHC</t>
  </si>
  <si>
    <t>1251121922088</t>
  </si>
  <si>
    <t>Thép cuộn cán nóng 8.00x120X SPHC II</t>
  </si>
  <si>
    <t>1251121922071</t>
  </si>
  <si>
    <t>Thép cuộn cán nóng 8.00x120X SPHC</t>
  </si>
  <si>
    <t>1251121922064</t>
  </si>
  <si>
    <t>Thép cuộn cán nóng 4.50x150X SPHC II</t>
  </si>
  <si>
    <t>1251121922057</t>
  </si>
  <si>
    <t>Thép cuộn cán nóng 4.50x150X SPHC</t>
  </si>
  <si>
    <t>1251121922040</t>
  </si>
  <si>
    <t>Thép cuộn cán nóng 4.00x120X SPHC II</t>
  </si>
  <si>
    <t>1251121922033</t>
  </si>
  <si>
    <t>Thép cuộn cán nóng 4.00x120X SPHC</t>
  </si>
  <si>
    <t>1251121922026</t>
  </si>
  <si>
    <t>Thép cuộn cán nóng 3.60x150X SPHC II</t>
  </si>
  <si>
    <t>3.60×1502×C</t>
  </si>
  <si>
    <t>1251121922019</t>
  </si>
  <si>
    <t>Thép cuộn cán nóng 3.60x150X SPHC</t>
  </si>
  <si>
    <t>1251121922002</t>
  </si>
  <si>
    <t>Thép cuộn cán nóng 3.20x120X SPHC II</t>
  </si>
  <si>
    <t>1251121921999</t>
  </si>
  <si>
    <t>Thép cuộn cán nóng 3.20x120X SPHC</t>
  </si>
  <si>
    <t>1251121921982</t>
  </si>
  <si>
    <t>Thép cuộn cán nóng 3.00x120X SPHC II</t>
  </si>
  <si>
    <t>1251121921975</t>
  </si>
  <si>
    <t>Thép cuộn cán nóng 3.00x120X SPHC</t>
  </si>
  <si>
    <t>1251121921968</t>
  </si>
  <si>
    <t>Thép cuộn cán nóng 3.95x126X SAE1017 II</t>
  </si>
  <si>
    <t>1251121921951</t>
  </si>
  <si>
    <t>Thép cuộn cán nóng 3.95x126X SAE1017</t>
  </si>
  <si>
    <t>1251121921944</t>
  </si>
  <si>
    <t>Thép cuộn cán nóng 2.30x123X SAE1017 II</t>
  </si>
  <si>
    <t>1251121921937</t>
  </si>
  <si>
    <t>Thép cuộn cán nóng 2.30x123X SAE1017</t>
  </si>
  <si>
    <t>1251121921920</t>
  </si>
  <si>
    <t>Thép cuộn cán nóng 2.70x123X SAE1017 II</t>
  </si>
  <si>
    <t>2.70×1232×C</t>
  </si>
  <si>
    <t>1251121921913</t>
  </si>
  <si>
    <t>Thép cuộn cán nóng 2.70x123X SAE1017</t>
  </si>
  <si>
    <t>1251121921906</t>
  </si>
  <si>
    <t>Thép cuộn cán nóng 3.10x140X SS400 II</t>
  </si>
  <si>
    <t>3.10×1402×C</t>
  </si>
  <si>
    <t>1251121921890</t>
  </si>
  <si>
    <t>Thép cuộn cán nóng 3.10x140X SS400</t>
  </si>
  <si>
    <t>1251121921883</t>
  </si>
  <si>
    <t>Thép cuộn cán nóng 2.45x125X SS400 II</t>
  </si>
  <si>
    <t>1251121921876</t>
  </si>
  <si>
    <t>Thép cuộn cán nóng 2.45x125X SS400</t>
  </si>
  <si>
    <t>1251121921869</t>
  </si>
  <si>
    <t>Thép cuộn cán nóng 2.80x150X SS400 II</t>
  </si>
  <si>
    <t>1251121921852</t>
  </si>
  <si>
    <t>Thép cuộn cán nóng 2.80x150X SS400</t>
  </si>
  <si>
    <t>1251121921845</t>
  </si>
  <si>
    <t>Thép cuộn cán nóng 2.29x121Y SAE1008 II</t>
  </si>
  <si>
    <t>2.29×1217×C</t>
  </si>
  <si>
    <t>1251121921838</t>
  </si>
  <si>
    <t>Thép cuộn cán nóng 2.29x121Y SAE1008</t>
  </si>
  <si>
    <t>1251121921821</t>
  </si>
  <si>
    <t>Thép cuộn cán nóng 2.67x121Y SAE1008 II</t>
  </si>
  <si>
    <t>1251121921814</t>
  </si>
  <si>
    <t>Thép cuộn cán nóng 2.67x121Y SAE1008</t>
  </si>
  <si>
    <t>1251121921807</t>
  </si>
  <si>
    <t>Thép cuộn cán nóng 3.02x121Y SAE1008 II</t>
  </si>
  <si>
    <t>3.02×1217×C</t>
  </si>
  <si>
    <t>1251121921791</t>
  </si>
  <si>
    <t>Thép cuộn cán nóng 3.02x121Y SAE1008</t>
  </si>
  <si>
    <t>1251121921784</t>
  </si>
  <si>
    <t>Thép cuộn cán nóng 3.42x121Y SAE1008 II</t>
  </si>
  <si>
    <t>1251121921777</t>
  </si>
  <si>
    <t>Thép cuộn cán nóng 3.42x121Y SAE1008</t>
  </si>
  <si>
    <t>1251121921760</t>
  </si>
  <si>
    <t>Thép cuộn cán nóng 4.55x121Y SAE1008 II</t>
  </si>
  <si>
    <t>4.55×1217×C</t>
  </si>
  <si>
    <t>1251121921753</t>
  </si>
  <si>
    <t>Thép cuộn cán nóng 4.55x121Y SAE1008</t>
  </si>
  <si>
    <t>1251121921746</t>
  </si>
  <si>
    <t>Thép cuộn cán nóng 2.28x123Y SAE1008 II</t>
  </si>
  <si>
    <t>1251121921739</t>
  </si>
  <si>
    <t>Thép cuộn cán nóng 2.28x123Y SAE1008</t>
  </si>
  <si>
    <t>1251121921722</t>
  </si>
  <si>
    <t>Thép cuộn cán nóng 2.03x123Y SAE1008 II</t>
  </si>
  <si>
    <t>2.03×1237×C</t>
  </si>
  <si>
    <t>1251121921715</t>
  </si>
  <si>
    <t>Thép cuộn cán nóng 2.03x123Y SAE1008</t>
  </si>
  <si>
    <t>1251121921708</t>
  </si>
  <si>
    <t>Thép cuộn cán nóng 4.75x122X SAE1006 II</t>
  </si>
  <si>
    <t>4.75×1222×C</t>
  </si>
  <si>
    <t>1251121921692</t>
  </si>
  <si>
    <t>Thép cuộn cán nóng 4.75x122X SAE1006</t>
  </si>
  <si>
    <t>1251121921685</t>
  </si>
  <si>
    <t>Thép cuộn cán nóng 3.51x122X SAE1006 II</t>
  </si>
  <si>
    <t>3.51×1222×C</t>
  </si>
  <si>
    <t>1251121921678</t>
  </si>
  <si>
    <t>Thép cuộn cán nóng 3.51x122X SAE1006</t>
  </si>
  <si>
    <t>1251121921661</t>
  </si>
  <si>
    <t>Thép cuộn cán nóng 3.02x122X SAE1006 II</t>
  </si>
  <si>
    <t>3.02×1222×C</t>
  </si>
  <si>
    <t>1251121921654</t>
  </si>
  <si>
    <t>Thép cuộn cán nóng 3.02x122X SAE1006</t>
  </si>
  <si>
    <t>1251121921647</t>
  </si>
  <si>
    <t>Thép cuộn cán nóng 2.72x122X SAE1006 II</t>
  </si>
  <si>
    <t>2.72×1222×C</t>
  </si>
  <si>
    <t>1251121921630</t>
  </si>
  <si>
    <t>Thép cuộn cán nóng 2.72x122X SAE1006</t>
  </si>
  <si>
    <t>1251121921623</t>
  </si>
  <si>
    <t>Thép cuộn cán nóng 2.26x122X SAE1006 II</t>
  </si>
  <si>
    <t>2.26×1222×C</t>
  </si>
  <si>
    <t>1251121921616</t>
  </si>
  <si>
    <t>Thép cuộn cán nóng 2.26x122X SAE1006</t>
  </si>
  <si>
    <t>1251121921609</t>
  </si>
  <si>
    <t>Thép cuộn cán nóng 1.91x122X SAE1006 II</t>
  </si>
  <si>
    <t>1.91×1222×C</t>
  </si>
  <si>
    <t>1251121921593</t>
  </si>
  <si>
    <t>Thép cuộn cán nóng 1.91x122X SAE1006</t>
  </si>
  <si>
    <t>1251121921586</t>
  </si>
  <si>
    <t>Thép cuộn cán nóng 6.35x122X SAE1006 II</t>
  </si>
  <si>
    <t>6.35×1222×C</t>
  </si>
  <si>
    <t>1251121921579</t>
  </si>
  <si>
    <t>Thép cuộn cán nóng 6.35x122X SAE1006</t>
  </si>
  <si>
    <t>1251121921562</t>
  </si>
  <si>
    <t>Thép cuộn cán nóng 3.40x122X SAE1006 II</t>
  </si>
  <si>
    <t>3.40×1222×C</t>
  </si>
  <si>
    <t>1251121921555</t>
  </si>
  <si>
    <t>Thép cuộn cán nóng 3.40x122X SAE1006</t>
  </si>
  <si>
    <t>1251121921548</t>
  </si>
  <si>
    <t>Thép cuộn cán nóng 3.05x122X SAE1006 II</t>
  </si>
  <si>
    <t>3.05×1222×C</t>
  </si>
  <si>
    <t>1251121921531</t>
  </si>
  <si>
    <t>Thép cuộn cán nóng 3.05x122X SAE1006</t>
  </si>
  <si>
    <t>1251121921524</t>
  </si>
  <si>
    <t>Thép cuộn cán nóng 2.67x122X SAE1006 II</t>
  </si>
  <si>
    <t>2.67×1222×C</t>
  </si>
  <si>
    <t>1251121921517</t>
  </si>
  <si>
    <t>Thép cuộn cán nóng 2.67x122X SAE1006</t>
  </si>
  <si>
    <t>1251121921500</t>
  </si>
  <si>
    <t>Thép cuộn cán nóng 4.50x122Y SAE1006 II</t>
  </si>
  <si>
    <t>4.50×1227×C</t>
  </si>
  <si>
    <t>1251121921494</t>
  </si>
  <si>
    <t>Thép cuộn cán nóng 4.50x122Y SAE1006</t>
  </si>
  <si>
    <t>1251121921487</t>
  </si>
  <si>
    <t>Thép cuộn cán nóng 3.80x122Y SAE1006 II</t>
  </si>
  <si>
    <t>3.80×1227×C</t>
  </si>
  <si>
    <t>1251121921470</t>
  </si>
  <si>
    <t>Thép cuộn cán nóng 3.80x122Y SAE1006</t>
  </si>
  <si>
    <t>1251121921463</t>
  </si>
  <si>
    <t>Thép cuộn cán nóng 2.80x122Y SAE1006 II</t>
  </si>
  <si>
    <t>2.80×1227×C</t>
  </si>
  <si>
    <t>1251121921456</t>
  </si>
  <si>
    <t>Thép cuộn cán nóng 2.80x122Y SAE1006</t>
  </si>
  <si>
    <t>1251121921449</t>
  </si>
  <si>
    <t>Thép cuộn cán nóng 3.95x114X SAE1006 II</t>
  </si>
  <si>
    <t>3.95×1142×C</t>
  </si>
  <si>
    <t>1251121921432</t>
  </si>
  <si>
    <t>Thép cuộn cán nóng 3.95x114X SAE1006</t>
  </si>
  <si>
    <t>1251121921425</t>
  </si>
  <si>
    <t>Thép cuộn cán nóng 3.95x127X SAE1006 II</t>
  </si>
  <si>
    <t>3.95×1272×C</t>
  </si>
  <si>
    <t>1251121921418</t>
  </si>
  <si>
    <t>Thép cuộn cán nóng 3.95x127X SAE1006</t>
  </si>
  <si>
    <t>1251121921401</t>
  </si>
  <si>
    <t>Thép cuộn cán nóng 2.45x105X SAE1006 II</t>
  </si>
  <si>
    <t>2.45×1052×C</t>
  </si>
  <si>
    <t>1251121921395</t>
  </si>
  <si>
    <t>Thép cuộn cán nóng 2.45x105X SAE1006</t>
  </si>
  <si>
    <t>1251121921388</t>
  </si>
  <si>
    <t>Thép cuộn cán nóng 2.25x105X SAE1006 II</t>
  </si>
  <si>
    <t>2.25×1052×C</t>
  </si>
  <si>
    <t>1251121921371</t>
  </si>
  <si>
    <t>Thép cuộn cán nóng 2.25x105X SAE1006</t>
  </si>
  <si>
    <t>1251121921364</t>
  </si>
  <si>
    <t>Thép cuộn cán nóng 2.15x105X SAE1006 II</t>
  </si>
  <si>
    <t>2.15×1052×C</t>
  </si>
  <si>
    <t>1251121921357</t>
  </si>
  <si>
    <t>Thép cuộn cán nóng 2.15x105X SAE1006</t>
  </si>
  <si>
    <t>1251121921340</t>
  </si>
  <si>
    <t>Thép cuộn cán nóng 2.00x105X SAE1006 II</t>
  </si>
  <si>
    <t>2.00×1052×C</t>
  </si>
  <si>
    <t>1251121921333</t>
  </si>
  <si>
    <t>Thép cuộn cán nóng 2.00x105X SAE1006</t>
  </si>
  <si>
    <t>1251121921326</t>
  </si>
  <si>
    <t>Thép cuộn cán nóng 4.00x125X SS400 II</t>
  </si>
  <si>
    <t>1251121921197</t>
  </si>
  <si>
    <t>Thép cuộn cán nóng 4.00x125X SS400</t>
  </si>
  <si>
    <t>1251121921180</t>
  </si>
  <si>
    <t>Thép cuộn cán nóng 6.00x100X SS400 II</t>
  </si>
  <si>
    <t>6.00×1002×C</t>
  </si>
  <si>
    <t>1251121921173</t>
  </si>
  <si>
    <t>Thép cuộn cán nóng 6.00x100X SS400</t>
  </si>
  <si>
    <t>1251121921166</t>
  </si>
  <si>
    <t>Thép cuộn cán nóng 3.00x125X SS400 II</t>
  </si>
  <si>
    <t>1251121921159</t>
  </si>
  <si>
    <t>Thép cuộn cán nóng 3.00x125X SS400</t>
  </si>
  <si>
    <t>1251121921142</t>
  </si>
  <si>
    <t>Thép cuộn cán nóng 2.05x113Y SAE1006 II</t>
  </si>
  <si>
    <t>2.05×1137×C</t>
  </si>
  <si>
    <t>1251121921135</t>
  </si>
  <si>
    <t>Thép cuộn cán nóng 2.05x113Y SAE1006</t>
  </si>
  <si>
    <t>1251121921128</t>
  </si>
  <si>
    <t>Thép cuộn cán nóng 2.30x113Y SAE1006 II</t>
  </si>
  <si>
    <t>2.30×1137×C</t>
  </si>
  <si>
    <t>1251121921111</t>
  </si>
  <si>
    <t>Thép cuộn cán nóng 2.30x113Y SAE1006</t>
  </si>
  <si>
    <t>1251121921104</t>
  </si>
  <si>
    <t>Thép cuộn cán nóng 2.25x113Y SAE1006 II</t>
  </si>
  <si>
    <t>2.25×1137×C</t>
  </si>
  <si>
    <t>1251121921098</t>
  </si>
  <si>
    <t>Thép cuộn cán nóng 2.25x113Y SAE1006</t>
  </si>
  <si>
    <t>1251121921081</t>
  </si>
  <si>
    <t>Thép cuộn cán nóng 4.05x122Y SAE1006 II</t>
  </si>
  <si>
    <t>4.05×1227×C</t>
  </si>
  <si>
    <t>1251121921074</t>
  </si>
  <si>
    <t>Thép cuộn cán nóng 4.05x122Y SAE1006</t>
  </si>
  <si>
    <t>1251121921067</t>
  </si>
  <si>
    <t>Thép cuộn cán nóng 3.62x122Y SAE1006 II</t>
  </si>
  <si>
    <t>3.62×1227×C</t>
  </si>
  <si>
    <t>1251121921050</t>
  </si>
  <si>
    <t>Thép cuộn cán nóng 3.62x122Y SAE1006</t>
  </si>
  <si>
    <t>1251121921043</t>
  </si>
  <si>
    <t>Thép cuộn cán nóng 3.25x122Y SAE1006 II</t>
  </si>
  <si>
    <t>3.25×1227×C</t>
  </si>
  <si>
    <t>1251121921036</t>
  </si>
  <si>
    <t>Thép cuộn cán nóng 3.25x122Y SAE1006</t>
  </si>
  <si>
    <t>1251121921029</t>
  </si>
  <si>
    <t>Thép cuộn cán nóng 1.83x121Y SAE1008 II</t>
  </si>
  <si>
    <t>1.83×1217×C</t>
  </si>
  <si>
    <t>1251121921012</t>
  </si>
  <si>
    <t>Thép cuộn cán nóng 1.83x121Y SAE1008</t>
  </si>
  <si>
    <t>1251121921005</t>
  </si>
  <si>
    <t>Thép cuộn cán nóng 1.52x121Y SAE1008 II</t>
  </si>
  <si>
    <t>1251121920992</t>
  </si>
  <si>
    <t>Thép cuộn cán nóng 1.52x121Y SAE1008</t>
  </si>
  <si>
    <t>1251121920985</t>
  </si>
  <si>
    <t>Thép cuộn cán nóng 3.80x126X SAE1006 II</t>
  </si>
  <si>
    <t>3.80×1262×C</t>
  </si>
  <si>
    <t>1251121920978</t>
  </si>
  <si>
    <t>Thép cuộn cán nóng 3.80x126X SAE1006</t>
  </si>
  <si>
    <t>1251121920961</t>
  </si>
  <si>
    <t>Thép cuộn cán nóng 3.50x121X SAE1006 II</t>
  </si>
  <si>
    <t>3.50×1212×C</t>
  </si>
  <si>
    <t>1251121920954</t>
  </si>
  <si>
    <t>Thép cuộn cán nóng 3.50x121X SAE1006</t>
  </si>
  <si>
    <t>1251121920947</t>
  </si>
  <si>
    <t>Thép cuộn cán nóng 3.20x114X SAE1006 II</t>
  </si>
  <si>
    <t>3.20×1142×C</t>
  </si>
  <si>
    <t>1251121920930</t>
  </si>
  <si>
    <t>Thép cuộn cán nóng 3.20x114X SAE1006</t>
  </si>
  <si>
    <t>1251121920923</t>
  </si>
  <si>
    <t>Thép cuộn cán nóng 3.80x123X SAE1006 II</t>
  </si>
  <si>
    <t>3.80×1232×C</t>
  </si>
  <si>
    <t>1251121920916</t>
  </si>
  <si>
    <t>Thép cuộn cán nóng 3.80x123X SAE1006</t>
  </si>
  <si>
    <t>1251121920909</t>
  </si>
  <si>
    <t>Thép cuộn cán nóng 4.00x121X SAE1006 II</t>
  </si>
  <si>
    <t>4.00×1212×C</t>
  </si>
  <si>
    <t>1251121920893</t>
  </si>
  <si>
    <t>Thép cuộn cán nóng 4.00x121X SAE1006</t>
  </si>
  <si>
    <t>1251121920886</t>
  </si>
  <si>
    <t>Thép cuộn cán nóng 3.80x121X SAE1006 II</t>
  </si>
  <si>
    <t>1251121920879</t>
  </si>
  <si>
    <t>Thép cuộn cán nóng 3.80x121X SAE1006</t>
  </si>
  <si>
    <t>1251121920862</t>
  </si>
  <si>
    <t>Thép cuộn cán nóng 3.00x107X SAE1006 II</t>
  </si>
  <si>
    <t>3.00×1072×C</t>
  </si>
  <si>
    <t>1251121920855</t>
  </si>
  <si>
    <t>Thép cuộn cán nóng 3.00x107X SAE1006</t>
  </si>
  <si>
    <t>1251121920848</t>
  </si>
  <si>
    <t>Thép cuộn cán nóng 7.10x152X S275JR II</t>
  </si>
  <si>
    <t>1251121920831</t>
  </si>
  <si>
    <t>Thép cuộn cán nóng 7.10x152X S275JR</t>
  </si>
  <si>
    <t>1251121920824</t>
  </si>
  <si>
    <t>Thép cuộn cán nóng 6.30x121Y S275JR II</t>
  </si>
  <si>
    <t>6.30×1217×C</t>
  </si>
  <si>
    <t>1251121920817</t>
  </si>
  <si>
    <t>Thép cuộn cán nóng 6.30x121Y S275JR</t>
  </si>
  <si>
    <t>1251121920800</t>
  </si>
  <si>
    <t>Thép cuộn cán nóng 2.20x126X SAE1006 II</t>
  </si>
  <si>
    <t>2.20×1262×C</t>
  </si>
  <si>
    <t>1251121920794</t>
  </si>
  <si>
    <t>Thép cuộn cán nóng 2.20x126X SAE1006</t>
  </si>
  <si>
    <t>1251121920787</t>
  </si>
  <si>
    <t>Thép cuộn cán nóng 2.20x151Y SAE1006 II</t>
  </si>
  <si>
    <t>2.20×1517×C</t>
  </si>
  <si>
    <t>1251121920770</t>
  </si>
  <si>
    <t>Thép cuộn cán nóng 2.20x151Y SAE1006</t>
  </si>
  <si>
    <t>1251121920763</t>
  </si>
  <si>
    <t>Thép cuộn cán nóng 2.26x121Y SS400 II</t>
  </si>
  <si>
    <t>2.26×1217×C</t>
  </si>
  <si>
    <t>1251121920732</t>
  </si>
  <si>
    <t>Thép cuộn cán nóng 2.26x121Y SS400</t>
  </si>
  <si>
    <t>1251121920725</t>
  </si>
  <si>
    <t>Thép cuộn cán nóng 11.90x150X SS400 II</t>
  </si>
  <si>
    <t>1251121920718</t>
  </si>
  <si>
    <t>Thép cuộn cán nóng 11.90x150X SS400</t>
  </si>
  <si>
    <t>1251121920701</t>
  </si>
  <si>
    <t>Thép cuộn cán nóng 9.90x150X SS400 II</t>
  </si>
  <si>
    <t>1251121920695</t>
  </si>
  <si>
    <t>Thép cuộn cán nóng 9.90x150X SS400</t>
  </si>
  <si>
    <t>1251121920688</t>
  </si>
  <si>
    <t>Thép cuộn cán nóng 7.90x150X SS400 II</t>
  </si>
  <si>
    <t>1251121920671</t>
  </si>
  <si>
    <t>Thép cuộn cán nóng 7.90x150X SS400</t>
  </si>
  <si>
    <t>1251121920664</t>
  </si>
  <si>
    <t>Thép cuộn cán nóng 4.90x150X SS400 II</t>
  </si>
  <si>
    <t>1251121920657</t>
  </si>
  <si>
    <t>Thép cuộn cán nóng 4.90x150X SS400</t>
  </si>
  <si>
    <t>1251121920640</t>
  </si>
  <si>
    <t>Thép cuộn cán nóng 11.70x150X SS400 II</t>
  </si>
  <si>
    <t>11.70×1502×C</t>
  </si>
  <si>
    <t>1251121920633</t>
  </si>
  <si>
    <t>Thép cuộn cán nóng 11.70x150X SS400</t>
  </si>
  <si>
    <t>1251121920626</t>
  </si>
  <si>
    <t>Thép cuộn cán nóng 9.70x150X SS400 II</t>
  </si>
  <si>
    <t>9.70×1502×C</t>
  </si>
  <si>
    <t>1251121920619</t>
  </si>
  <si>
    <t>Thép cuộn cán nóng 9.70x150X SS400</t>
  </si>
  <si>
    <t>1251121920602</t>
  </si>
  <si>
    <t>Thép cuộn cán nóng 7.70x150X SS400 II</t>
  </si>
  <si>
    <t>7.70×1502×C</t>
  </si>
  <si>
    <t>1251121920596</t>
  </si>
  <si>
    <t>Thép cuộn cán nóng 7.70x150X SS400</t>
  </si>
  <si>
    <t>1251121920589</t>
  </si>
  <si>
    <t>Thép cuộn cán nóng 5.70x150X SS400 II</t>
  </si>
  <si>
    <t>5.70×1502×C</t>
  </si>
  <si>
    <t>1251121920572</t>
  </si>
  <si>
    <t>Thép cuộn cán nóng 5.70x150X SS400</t>
  </si>
  <si>
    <t>1251121920565</t>
  </si>
  <si>
    <t>Thép cuộn cán nóng 4.70x150X SS400 II</t>
  </si>
  <si>
    <t>4.70×1502×C</t>
  </si>
  <si>
    <t>1251121920558</t>
  </si>
  <si>
    <t>Thép cuộn cán nóng 4.70x150X SS400</t>
  </si>
  <si>
    <t>1251121920541</t>
  </si>
  <si>
    <t>Thép cuộn cán nóng 3.75x150X SS400 II</t>
  </si>
  <si>
    <t>3.75×1502×C</t>
  </si>
  <si>
    <t>1251121920534</t>
  </si>
  <si>
    <t>Thép cuộn cán nóng 3.75x150X SS400</t>
  </si>
  <si>
    <t>1251121920527</t>
  </si>
  <si>
    <t>Thép cuộn cán nóng 2.75x150X SS400 II</t>
  </si>
  <si>
    <t>1251121920510</t>
  </si>
  <si>
    <t>Thép cuộn cán nóng 2.75x150X SS400</t>
  </si>
  <si>
    <t>1251121920503</t>
  </si>
  <si>
    <t>Thép cuộn cán nóng 3.95x125X SAE1006 II</t>
  </si>
  <si>
    <t>3.95×1252×C</t>
  </si>
  <si>
    <t>1251121920497</t>
  </si>
  <si>
    <t>Thép cuộn cán nóng 3.95x125X SAE1006</t>
  </si>
  <si>
    <t>1251121920480</t>
  </si>
  <si>
    <t>Thép cuộn cán nóng 2.40x126X SAE1006 II</t>
  </si>
  <si>
    <t>1251121920473</t>
  </si>
  <si>
    <t>Thép cuộn cán nóng 2.40x126X SAE1006</t>
  </si>
  <si>
    <t>1251121920466</t>
  </si>
  <si>
    <t>Thép cuộn cán nóng 2.25x126X SAE1006 II</t>
  </si>
  <si>
    <t>2.25×1262×C</t>
  </si>
  <si>
    <t>1251121920459</t>
  </si>
  <si>
    <t>Thép cuộn cán nóng 2.25x126X SAE1006</t>
  </si>
  <si>
    <t>1251121920442</t>
  </si>
  <si>
    <t>Thép cuộn cán nóng 3.50x123X SAE1006 II</t>
  </si>
  <si>
    <t>1251121920435</t>
  </si>
  <si>
    <t>Thép cuộn cán nóng 3.50x123X SAE1006</t>
  </si>
  <si>
    <t>1251121920428</t>
  </si>
  <si>
    <t>Thép cuộn cán nóng 2.70x123X SAE1006 II</t>
  </si>
  <si>
    <t>1251121920411</t>
  </si>
  <si>
    <t>Thép cuộn cán nóng 2.70x123X SAE1006</t>
  </si>
  <si>
    <t>1251121920404</t>
  </si>
  <si>
    <t>Thép cuộn cán nóng 2.40x123X SAE1006 II</t>
  </si>
  <si>
    <t>2.40×1232×C</t>
  </si>
  <si>
    <t>1251121920398</t>
  </si>
  <si>
    <t>Thép cuộn cán nóng 2.40x123X SAE1006</t>
  </si>
  <si>
    <t>1251121920381</t>
  </si>
  <si>
    <t>Thép cuộn cán nóng 3.20x123X SAE1006 II</t>
  </si>
  <si>
    <t>3.20×1232×C</t>
  </si>
  <si>
    <t>1251121920374</t>
  </si>
  <si>
    <t>Thép cuộn cán nóng 3.20x123X SAE1006</t>
  </si>
  <si>
    <t>1251121920367</t>
  </si>
  <si>
    <t>Thép cuộn cán nóng 2.50x127X SAE1006 II</t>
  </si>
  <si>
    <t>2.50×1272×C</t>
  </si>
  <si>
    <t>1251121920350</t>
  </si>
  <si>
    <t>Thép cuộn cán nóng 2.50x127X SAE1006</t>
  </si>
  <si>
    <t>1251121920343</t>
  </si>
  <si>
    <t>Thép cuộn cán nóng 2.30x127X SAE1006 II</t>
  </si>
  <si>
    <t>2.30×1272×C</t>
  </si>
  <si>
    <t>1251121920336</t>
  </si>
  <si>
    <t>Thép cuộn cán nóng 2.30x127X SAE1006</t>
  </si>
  <si>
    <t>1251121920329</t>
  </si>
  <si>
    <t>Thép cuộn cán nóng 4.00x126X SAE1006 II</t>
  </si>
  <si>
    <t>1251121920312</t>
  </si>
  <si>
    <t>Thép cuộn cán nóng 4.00x126X SAE1006</t>
  </si>
  <si>
    <t>1251121920305</t>
  </si>
  <si>
    <t>Thép cuộn cán nóng 2.70x126X SAE1006 II</t>
  </si>
  <si>
    <t>2.70×1262×C</t>
  </si>
  <si>
    <t>1251121920299</t>
  </si>
  <si>
    <t>Thép cuộn cán nóng 2.70x126X SAE1006</t>
  </si>
  <si>
    <t>1251121920282</t>
  </si>
  <si>
    <t>Thép cuộn cán nóng 2.45x126X SAE1006 II</t>
  </si>
  <si>
    <t>1251121920275</t>
  </si>
  <si>
    <t>Thép cuộn cán nóng 2.45x126X SAE1006</t>
  </si>
  <si>
    <t>1251121920268</t>
  </si>
  <si>
    <t>Thép cuộn cán nóng 1.60x126Y SAE1006 II</t>
  </si>
  <si>
    <t>1.60×1267×C</t>
  </si>
  <si>
    <t>1251121920251</t>
  </si>
  <si>
    <t>Thép cuộn cán nóng 1.60x126Y SAE1006</t>
  </si>
  <si>
    <t>1251121920244</t>
  </si>
  <si>
    <t>Thép cuộn cán nóng 3.00x146X S275JR II</t>
  </si>
  <si>
    <t>3.00×1462×C</t>
  </si>
  <si>
    <t>1251121920237</t>
  </si>
  <si>
    <t>Thép cuộn cán nóng 3.00x146X S275JR</t>
  </si>
  <si>
    <t>1251121920220</t>
  </si>
  <si>
    <t>Thép cuộn cán nóng 2.80x115X SAE1006 II</t>
  </si>
  <si>
    <t>2.80×1152×C</t>
  </si>
  <si>
    <t>1251121920213</t>
  </si>
  <si>
    <t>Thép cuộn cán nóng 2.80x115X SAE1006</t>
  </si>
  <si>
    <t>1251121920206</t>
  </si>
  <si>
    <t>Thép cuộn cán nóng 8.50x152X S275JR II</t>
  </si>
  <si>
    <t>8.50×1522×C</t>
  </si>
  <si>
    <t>1251121920183</t>
  </si>
  <si>
    <t>Thép cuộn cán nóng 8.50x152X S275JR</t>
  </si>
  <si>
    <t>1251121920176</t>
  </si>
  <si>
    <t>Thép cuộn cán nóng 7.90x152X S275JR II</t>
  </si>
  <si>
    <t>7.90×1522×C</t>
  </si>
  <si>
    <t>1251121920169</t>
  </si>
  <si>
    <t>Thép cuộn cán nóng 7.90x152X S275JR</t>
  </si>
  <si>
    <t>1251121920152</t>
  </si>
  <si>
    <t>Thép cuộn cán nóng 5.00x152X S275JR II</t>
  </si>
  <si>
    <t>5.00×1522×C</t>
  </si>
  <si>
    <t>1251121920145</t>
  </si>
  <si>
    <t>Thép cuộn cán nóng 5.00x152X S275JR</t>
  </si>
  <si>
    <t>1251121920138</t>
  </si>
  <si>
    <t>Thép cuộn cán nóng 9.70x151Y S275JR II</t>
  </si>
  <si>
    <t>9.70×1517×C</t>
  </si>
  <si>
    <t>1251121920121</t>
  </si>
  <si>
    <t>Thép cuộn cán nóng 9.70x151Y S275JR</t>
  </si>
  <si>
    <t>1251121920114</t>
  </si>
  <si>
    <t>Thép cuộn cán nóng 4.80x151Y S275JR II</t>
  </si>
  <si>
    <t>4.80×1517×C</t>
  </si>
  <si>
    <t>1251121920107</t>
  </si>
  <si>
    <t>Thép cuộn cán nóng 4.80x151Y S275JR</t>
  </si>
  <si>
    <t>1251121920091</t>
  </si>
  <si>
    <t>Thép cuộn cán nóng 4.10x146X S275JR II</t>
  </si>
  <si>
    <t>4.10×1462×C</t>
  </si>
  <si>
    <t>1251121920084</t>
  </si>
  <si>
    <t>Thép cuộn cán nóng 4.10x146X S275JR</t>
  </si>
  <si>
    <t>1251121920077</t>
  </si>
  <si>
    <t>Thép cuộn cán nóng 3.65x146X S275JR II</t>
  </si>
  <si>
    <t>3.65×1462×C</t>
  </si>
  <si>
    <t>1251121920060</t>
  </si>
  <si>
    <t>Thép cuộn cán nóng 3.65x146X S275JR</t>
  </si>
  <si>
    <t>1251121920053</t>
  </si>
  <si>
    <t>Thép cuộn cán nóng 5.50x139Y S275JR II</t>
  </si>
  <si>
    <t>5.50×1397×C</t>
  </si>
  <si>
    <t>1251121920046</t>
  </si>
  <si>
    <t>Thép cuộn cán nóng 5.50x139Y S275JR</t>
  </si>
  <si>
    <t>1251121920039</t>
  </si>
  <si>
    <t>Thép cuộn cán nóng 4.55x139Y S275JR II</t>
  </si>
  <si>
    <t>4.55×1397×C</t>
  </si>
  <si>
    <t>1251121920022</t>
  </si>
  <si>
    <t>Thép cuộn cán nóng 4.55x139Y S275JR</t>
  </si>
  <si>
    <t>1251121920015</t>
  </si>
  <si>
    <t>Thép cuộn cán nóng 4.10x139Y S275JR II</t>
  </si>
  <si>
    <t>4.10×1397×C</t>
  </si>
  <si>
    <t>1251121920008</t>
  </si>
  <si>
    <t>Thép cuộn cán nóng 4.10x139Y S275JR</t>
  </si>
  <si>
    <t>1251121919996</t>
  </si>
  <si>
    <t>Thép cuộn cán nóng 3.65x139Y S275JR II</t>
  </si>
  <si>
    <t>3.65×1397×C</t>
  </si>
  <si>
    <t>1251121919989</t>
  </si>
  <si>
    <t>Thép cuộn cán nóng 3.65x139Y S275JR</t>
  </si>
  <si>
    <t>1251121919972</t>
  </si>
  <si>
    <t>Thép cuộn cán nóng 2.70x125X S275JR II</t>
  </si>
  <si>
    <t>1251121919965</t>
  </si>
  <si>
    <t>Thép cuộn cán nóng 2.70x125X S275JR</t>
  </si>
  <si>
    <t>1251121919958</t>
  </si>
  <si>
    <t>Thép cuộn cán nóng 11.70x121X S275JR II</t>
  </si>
  <si>
    <t>11.70×1212×C</t>
  </si>
  <si>
    <t>1251121919941</t>
  </si>
  <si>
    <t>Thép cuộn cán nóng 11.70x121X S275JR</t>
  </si>
  <si>
    <t>1251121919934</t>
  </si>
  <si>
    <t>Thép cuộn cán nóng 5.85x121X S275JR II</t>
  </si>
  <si>
    <t>5.85×1212×C</t>
  </si>
  <si>
    <t>1251121919927</t>
  </si>
  <si>
    <t>Thép cuộn cán nóng 5.85x121X S275JR</t>
  </si>
  <si>
    <t>1251121919910</t>
  </si>
  <si>
    <t>Thép cuộn cán nóng 2.70x121X S275JR II</t>
  </si>
  <si>
    <t>1251121919903</t>
  </si>
  <si>
    <t>Thép cuộn cán nóng 2.70x121X S275JR</t>
  </si>
  <si>
    <t>1251121919897</t>
  </si>
  <si>
    <t>Thép cuộn cán nóng 11.60x152X S275JR II</t>
  </si>
  <si>
    <t>11.60×1522×C</t>
  </si>
  <si>
    <t>1251121919880</t>
  </si>
  <si>
    <t>Thép cuộn cán nóng 11.60x152X S275JR</t>
  </si>
  <si>
    <t>1251121919873</t>
  </si>
  <si>
    <t>Thép cuộn cán nóng 9.75x152X S275JR II</t>
  </si>
  <si>
    <t>9.75×1522×C</t>
  </si>
  <si>
    <t>1251121919866</t>
  </si>
  <si>
    <t>Thép cuộn cán nóng 9.75x152X S275JR</t>
  </si>
  <si>
    <t>1251121919859</t>
  </si>
  <si>
    <t>Thép cuộn cán nóng 9.60x152X S275JR II</t>
  </si>
  <si>
    <t>9.60×1522×C</t>
  </si>
  <si>
    <t>1251121919842</t>
  </si>
  <si>
    <t>Thép cuộn cán nóng 9.60x152X S275JR</t>
  </si>
  <si>
    <t>1251121919835</t>
  </si>
  <si>
    <t>Thép cuộn cán nóng 8.60x152X S275JR II</t>
  </si>
  <si>
    <t>8.60×1522×C</t>
  </si>
  <si>
    <t>1251121919828</t>
  </si>
  <si>
    <t>Thép cuộn cán nóng 8.60x152X S275JR</t>
  </si>
  <si>
    <t>1251121919811</t>
  </si>
  <si>
    <t>Thép cuộn cán nóng 4.90x152X S275JR II</t>
  </si>
  <si>
    <t>1251121919804</t>
  </si>
  <si>
    <t>Thép cuộn cán nóng 4.90x152X S275JR</t>
  </si>
  <si>
    <t>1251121919798</t>
  </si>
  <si>
    <t>Thép cuộn cán nóng 4.20x152X S275JR II</t>
  </si>
  <si>
    <t>4.20×1522×C</t>
  </si>
  <si>
    <t>1251121919781</t>
  </si>
  <si>
    <t>Thép cuộn cán nóng 4.20x152X S275JR</t>
  </si>
  <si>
    <t>1251121919774</t>
  </si>
  <si>
    <t>Thép cuộn cán nóng 3.70x152X S275JR II</t>
  </si>
  <si>
    <t>1251121919767</t>
  </si>
  <si>
    <t>Thép cuộn cán nóng 3.70x152X S275JR</t>
  </si>
  <si>
    <t>1251121919750</t>
  </si>
  <si>
    <t>Thép cuộn cán nóng 2.95x152X S275JR II</t>
  </si>
  <si>
    <t>2.95×1522×C</t>
  </si>
  <si>
    <t>1251121919743</t>
  </si>
  <si>
    <t>Thép cuộn cán nóng 2.95x152X S275JR</t>
  </si>
  <si>
    <t>1251121919736</t>
  </si>
  <si>
    <t>Thép cuộn cán nóng 2.85x152X S275JR II</t>
  </si>
  <si>
    <t>1251121919729</t>
  </si>
  <si>
    <t>Thép cuộn cán nóng 2.85x152X S275JR</t>
  </si>
  <si>
    <t>1251121919712</t>
  </si>
  <si>
    <t>Thép cuộn cán nóng 5.85x121Y S275JR II</t>
  </si>
  <si>
    <t>1251121919705</t>
  </si>
  <si>
    <t>Thép cuộn cán nóng 5.85x121Y S275JR</t>
  </si>
  <si>
    <t>1251121919699</t>
  </si>
  <si>
    <t>Thép cuộn cán nóng 5.65x121Y S275JR II</t>
  </si>
  <si>
    <t>5.65×1217×C</t>
  </si>
  <si>
    <t>1251121919682</t>
  </si>
  <si>
    <t>Thép cuộn cán nóng 5.65x121Y S275JR</t>
  </si>
  <si>
    <t>1251121919675</t>
  </si>
  <si>
    <t>Thép cuộn cán nóng 4.90x121Y S275JR II</t>
  </si>
  <si>
    <t>4.90×1217×C</t>
  </si>
  <si>
    <t>1251121919668</t>
  </si>
  <si>
    <t>Thép cuộn cán nóng 4.90x121Y S275JR</t>
  </si>
  <si>
    <t>1251121919651</t>
  </si>
  <si>
    <t>Thép cuộn cán nóng 3.90x121Y S275JR II</t>
  </si>
  <si>
    <t>3.90×1217×C</t>
  </si>
  <si>
    <t>1251121919644</t>
  </si>
  <si>
    <t>Thép cuộn cán nóng 3.90x121Y S275JR</t>
  </si>
  <si>
    <t>1251121919637</t>
  </si>
  <si>
    <t>Thép cuộn cán nóng 2.85x121Y S275JR II</t>
  </si>
  <si>
    <t>1251121919620</t>
  </si>
  <si>
    <t>Thép cuộn cán nóng 2.85x121Y S275JR</t>
  </si>
  <si>
    <t>1251121919613</t>
  </si>
  <si>
    <t>Thép cuộn cán nóng 9.80x121Y S275JR II</t>
  </si>
  <si>
    <t>9.80×1217×C</t>
  </si>
  <si>
    <t>1251121919606</t>
  </si>
  <si>
    <t>Thép cuộn cán nóng 9.80x121Y S275JR</t>
  </si>
  <si>
    <t>1251121919590</t>
  </si>
  <si>
    <t>Thép cuộn cán nóng 2.52x145X S275JR II</t>
  </si>
  <si>
    <t>2.52×1452×C</t>
  </si>
  <si>
    <t>1251121919583</t>
  </si>
  <si>
    <t>Thép cuộn cán nóng 2.52x145X S275JR</t>
  </si>
  <si>
    <t>1251121919576</t>
  </si>
  <si>
    <t>Thép cuộn cán nóng 2.80x126X SAE1006 II</t>
  </si>
  <si>
    <t>2.80×1262×C</t>
  </si>
  <si>
    <t>1251121919569</t>
  </si>
  <si>
    <t>Thép cuộn cán nóng 2.80x126X SAE1006</t>
  </si>
  <si>
    <t>1251121919552</t>
  </si>
  <si>
    <t>Thép cuộn cán nóng 3.20x126X SAE1006 II</t>
  </si>
  <si>
    <t>3.20×1262×C</t>
  </si>
  <si>
    <t>1251121919545</t>
  </si>
  <si>
    <t>Thép cuộn cán nóng 3.20x126X SAE1006</t>
  </si>
  <si>
    <t>1251121919538</t>
  </si>
  <si>
    <t>Thép cuộn cán nóng 5.90x150X SS400 II</t>
  </si>
  <si>
    <t>1251121919521</t>
  </si>
  <si>
    <t>Thép cuộn cán nóng 5.90x150X SS400</t>
  </si>
  <si>
    <t>1251121919514</t>
  </si>
  <si>
    <t>Thép cuộn cán nóng 2.20x126X SPHC II</t>
  </si>
  <si>
    <t>1251121919507</t>
  </si>
  <si>
    <t>Thép cuộn cán nóng 2.20x126X SPHC</t>
  </si>
  <si>
    <t>1251121919491</t>
  </si>
  <si>
    <t>Thép cuộn cán nóng 2.60x126Y SAE1006 II</t>
  </si>
  <si>
    <t>1251121919484</t>
  </si>
  <si>
    <t>Thép cuộn cán nóng 2.60x126Y SAE1006</t>
  </si>
  <si>
    <t>1251121919477</t>
  </si>
  <si>
    <t>Thép cuộn cán nóng 2.20x101Y SAE1006 II</t>
  </si>
  <si>
    <t>2.20×1017×C</t>
  </si>
  <si>
    <t>1251121919460</t>
  </si>
  <si>
    <t>Thép cuộn cán nóng 2.20x101Y SAE1006</t>
  </si>
  <si>
    <t>1251121919453</t>
  </si>
  <si>
    <t>Thép cuộn cán nóng 2.20x125X S235JR II</t>
  </si>
  <si>
    <t>1251121919446</t>
  </si>
  <si>
    <t>Thép cuộn cán nóng 2.20x125X S235JR</t>
  </si>
  <si>
    <t>1251121919439</t>
  </si>
  <si>
    <t>Thép cuộn cán nóng 1.80x1225 SAE1006 II</t>
  </si>
  <si>
    <t>1.80×1225×C</t>
  </si>
  <si>
    <t>1251121486276</t>
  </si>
  <si>
    <t>Thép cuộn cán nóng 1.80x1225 SAE1006</t>
  </si>
  <si>
    <t>1251121486269</t>
  </si>
  <si>
    <t>Thép cuộn cán nóng 2.75x1262 SS400 II</t>
  </si>
  <si>
    <t>1251121485576</t>
  </si>
  <si>
    <t>Thép cuộn cán nóng 2.75x1262 SS400</t>
  </si>
  <si>
    <t>1251121485569</t>
  </si>
  <si>
    <t>Thép cuộn cán nóng 2.10x1262 SS400 II</t>
  </si>
  <si>
    <t>1251121485552</t>
  </si>
  <si>
    <t>Thép cuộn cán nóng 2.10x1262 SS400</t>
  </si>
  <si>
    <t>1251121485545</t>
  </si>
  <si>
    <t>Thép cuộn cán nóng 2.00x1215 SS400 II</t>
  </si>
  <si>
    <t>2.00×1215×C</t>
  </si>
  <si>
    <t>1251121485538</t>
  </si>
  <si>
    <t>Thép cuộn cán nóng 2.00x1215 SS400</t>
  </si>
  <si>
    <t>1251121485521</t>
  </si>
  <si>
    <t>Thép cuộn cán nóng 1.20x1214 SAE1006 II</t>
  </si>
  <si>
    <t>1.20×1214×C</t>
  </si>
  <si>
    <t>1251121485484</t>
  </si>
  <si>
    <t>Thép cuộn cán nóng 1.20x1214 SAE1006</t>
  </si>
  <si>
    <t>1251121485477</t>
  </si>
  <si>
    <t>Thép cuộn cán nóng 1.30x1214 SAE1006 II</t>
  </si>
  <si>
    <t>1.30×1214×C</t>
  </si>
  <si>
    <t>1251121485460</t>
  </si>
  <si>
    <t>Thép cuộn cán nóng 1.30x1214 SAE1006</t>
  </si>
  <si>
    <t>1251121485453</t>
  </si>
  <si>
    <t>Thép cuộn cán nóng 1.40x1214 SAE1006 II</t>
  </si>
  <si>
    <t>1.40×1214×C</t>
  </si>
  <si>
    <t>1251121485446</t>
  </si>
  <si>
    <t>Thép cuộn cán nóng 1.40x1214 SAE1006</t>
  </si>
  <si>
    <t>1251121485439</t>
  </si>
  <si>
    <t>Thép cuộn cán nóng 1.50x1214 SAE1006 II</t>
  </si>
  <si>
    <t>1.50×1214×C</t>
  </si>
  <si>
    <t>1251121485422</t>
  </si>
  <si>
    <t>Thép cuộn cán nóng 1.50x1214 SAE1006</t>
  </si>
  <si>
    <t>1251121485415</t>
  </si>
  <si>
    <t>Thép cuộn cán nóng 1.65x1214 SAE1006 II</t>
  </si>
  <si>
    <t>1.65×1214×C</t>
  </si>
  <si>
    <t>1251121485408</t>
  </si>
  <si>
    <t>Thép cuộn cán nóng 1.65x1214 SAE1006</t>
  </si>
  <si>
    <t>1251121485392</t>
  </si>
  <si>
    <t>Thép cuộn cán nóng 1.80x1214 SAE1006 II</t>
  </si>
  <si>
    <t>1.80×1214×C</t>
  </si>
  <si>
    <t>1251121485385</t>
  </si>
  <si>
    <t>Thép cuộn cán nóng 1.80x1214 SAE1006</t>
  </si>
  <si>
    <t>1251121485378</t>
  </si>
  <si>
    <t>Thép cuộn cán nóng 8.80x1520 S275JR II</t>
  </si>
  <si>
    <t>8.80×1520×C</t>
  </si>
  <si>
    <t>1251121485361</t>
  </si>
  <si>
    <t>Thép cuộn cán nóng 8.80x1520 S275JR</t>
  </si>
  <si>
    <t>1251121485354</t>
  </si>
  <si>
    <t>Thép cuộn cán nóng 7.80x1520 S275JR II</t>
  </si>
  <si>
    <t>7.80×1520×C</t>
  </si>
  <si>
    <t>1251121485347</t>
  </si>
  <si>
    <t>Thép cuộn cán nóng 7.80x1520 S275JR</t>
  </si>
  <si>
    <t>1251121485330</t>
  </si>
  <si>
    <t>Thép cuộn cán nóng 5.90x1520 S275JR II</t>
  </si>
  <si>
    <t>5.90×1520×C</t>
  </si>
  <si>
    <t>1251121485323</t>
  </si>
  <si>
    <t>Thép cuộn cán nóng 5.90x1520 S275JR</t>
  </si>
  <si>
    <t>1251121485316</t>
  </si>
  <si>
    <t>Thép cuộn cán nóng 4.80x1520 S275JR II</t>
  </si>
  <si>
    <t>4.80×1520×C</t>
  </si>
  <si>
    <t>1251121485309</t>
  </si>
  <si>
    <t>Thép cuộn cán nóng 4.80x1520 S275JR</t>
  </si>
  <si>
    <t>1251121485293</t>
  </si>
  <si>
    <t>Thép cuộn cán nóng 4.40x1520 S275JR II</t>
  </si>
  <si>
    <t>4.40×1520×C</t>
  </si>
  <si>
    <t>1251121485286</t>
  </si>
  <si>
    <t>Thép cuộn cán nóng 4.40x1520 S275JR</t>
  </si>
  <si>
    <t>1251121485279</t>
  </si>
  <si>
    <t>Thép cuộn cán nóng 3.80x1520 S275JR II</t>
  </si>
  <si>
    <t>3.80×1520×C</t>
  </si>
  <si>
    <t>1251121485262</t>
  </si>
  <si>
    <t>Thép cuộn cán nóng 3.80x1520 S275JR</t>
  </si>
  <si>
    <t>1251121485255</t>
  </si>
  <si>
    <t>Thép cuộn cán nóng 3.00x1520 S275JR II</t>
  </si>
  <si>
    <t>1251121485248</t>
  </si>
  <si>
    <t>Thép cuộn cán nóng 3.00x1520 S275JR</t>
  </si>
  <si>
    <t>1251121485231</t>
  </si>
  <si>
    <t>Thép cuộn cán nóng 5.90x1219 S275JR II</t>
  </si>
  <si>
    <t>5.90×1219×C</t>
  </si>
  <si>
    <t>1251121485224</t>
  </si>
  <si>
    <t>Thép cuộn cán nóng 5.90x1219 S275JR</t>
  </si>
  <si>
    <t>1251121485217</t>
  </si>
  <si>
    <t>Thép cuộn cán nóng 4.40x1219 S275JR II</t>
  </si>
  <si>
    <t>1251121485200</t>
  </si>
  <si>
    <t>Thép cuộn cán nóng 4.40x1219 S275JR</t>
  </si>
  <si>
    <t>1251121485194</t>
  </si>
  <si>
    <t>Thép cuộn cán nóng 3.80x1219 S275JR II</t>
  </si>
  <si>
    <t>3.80×1219×C</t>
  </si>
  <si>
    <t>1251121485187</t>
  </si>
  <si>
    <t>Thép cuộn cán nóng 3.80x1219 S275JR</t>
  </si>
  <si>
    <t>1251121485170</t>
  </si>
  <si>
    <t>Thép cuộn cán nóng 3.00x1219 S275JR II</t>
  </si>
  <si>
    <t>1251121485163</t>
  </si>
  <si>
    <t>Thép cuộn cán nóng 3.00x1219 S275JR</t>
  </si>
  <si>
    <t>1251121485156</t>
  </si>
  <si>
    <t>Thép cuộn cán nóng 2.90x1219 S275JR II</t>
  </si>
  <si>
    <t>2.90×1219×C</t>
  </si>
  <si>
    <t>1251121485149</t>
  </si>
  <si>
    <t>Thép cuộn cán nóng 2.90x1219 S275JR</t>
  </si>
  <si>
    <t>1251121485132</t>
  </si>
  <si>
    <t>Thép cuộn cán nóng 2.80x1219 S275JR II</t>
  </si>
  <si>
    <t>2.80×1219×C</t>
  </si>
  <si>
    <t>1251121485125</t>
  </si>
  <si>
    <t>Thép cuộn cán nóng 2.80x1219 S275JR</t>
  </si>
  <si>
    <t>1251121485118</t>
  </si>
  <si>
    <t>Thép cuộn cán nóng 2.50x1219 S275JR II</t>
  </si>
  <si>
    <t>1251121485101</t>
  </si>
  <si>
    <t>Thép cuộn cán nóng 2.50x1219 S275JR</t>
  </si>
  <si>
    <t>1251121485095</t>
  </si>
  <si>
    <t>Thép cuộn cán nóng 4.75x1200 SS400 II</t>
  </si>
  <si>
    <t>4.75×1200×C</t>
  </si>
  <si>
    <t>1251121485026</t>
  </si>
  <si>
    <t>Thép cuộn cán nóng 4.75x1200 SS400</t>
  </si>
  <si>
    <t>1251121485019</t>
  </si>
  <si>
    <t>Thép cuộn cán nóng 3.95x1200 SS400 II</t>
  </si>
  <si>
    <t>3.95×1200×C</t>
  </si>
  <si>
    <t>1251121485002</t>
  </si>
  <si>
    <t>Thép cuộn cán nóng 3.95x1200 SS400</t>
  </si>
  <si>
    <t>1251121484999</t>
  </si>
  <si>
    <t>Thép cuộn cán nóng 3.95x1310 SS400 II</t>
  </si>
  <si>
    <t>3.95×1310×C</t>
  </si>
  <si>
    <t>1251121484982</t>
  </si>
  <si>
    <t>Thép cuộn cán nóng 3.95x1310 SS400</t>
  </si>
  <si>
    <t>1251121484975</t>
  </si>
  <si>
    <t>Thép cuộn cán nóng 3.00x1310 SS400 II</t>
  </si>
  <si>
    <t>3.00×1310×C</t>
  </si>
  <si>
    <t>1251121484968</t>
  </si>
  <si>
    <t>Thép cuộn cán nóng 3.00x1310 SS400</t>
  </si>
  <si>
    <t>1251121484951</t>
  </si>
  <si>
    <t>Thép cuộn cán nóng 3.80x1262 SAE1006 II</t>
  </si>
  <si>
    <t>1251121484807</t>
  </si>
  <si>
    <t>Thép cuộn cán nóng 3.80x1262 SAE1006</t>
  </si>
  <si>
    <t>1251121484791</t>
  </si>
  <si>
    <t>Thép cuộn cán nóng 2.50x1260 SS400 II</t>
  </si>
  <si>
    <t>1251121484784</t>
  </si>
  <si>
    <t>Thép cuộn cán nóng 2.50x1260 SS400</t>
  </si>
  <si>
    <t>1251121484777</t>
  </si>
  <si>
    <t>Thép cuộn cán nóng 4.30x1262 SAE1006 II</t>
  </si>
  <si>
    <t>1251121484760</t>
  </si>
  <si>
    <t>Thép cuộn cán nóng 4.30x1262 SAE1006</t>
  </si>
  <si>
    <t>1251121484753</t>
  </si>
  <si>
    <t>Thép HRC HSPM 2.30x121Y SAE1006 II</t>
  </si>
  <si>
    <t>1251122108535</t>
  </si>
  <si>
    <t>Thép HRC HSPM 3.80x121X SAE1006 II</t>
  </si>
  <si>
    <t>1251122108559</t>
  </si>
  <si>
    <t>Thép HRC HSPM 3.90x150X SS400 II</t>
  </si>
  <si>
    <t>1251122108573</t>
  </si>
  <si>
    <t>Thép HRC HSPM 2.75x150X SS400 II</t>
  </si>
  <si>
    <t>1251122108597</t>
  </si>
  <si>
    <t>Thép HRC HSPM 2.90x150X SS400 II</t>
  </si>
  <si>
    <t>1251122108689</t>
  </si>
  <si>
    <t>Thép HRC HSPM 2.30x121Y SAE1006</t>
  </si>
  <si>
    <t>1251122108528</t>
  </si>
  <si>
    <t>Thép HRC HSPM 3.80x121X SAE1006</t>
  </si>
  <si>
    <t>1251122108542</t>
  </si>
  <si>
    <t>Thép HRC HSPM 3.90x150X SS400</t>
  </si>
  <si>
    <t>1251122108566</t>
  </si>
  <si>
    <t>Thép HRC HSPM 2.75x150X SS400</t>
  </si>
  <si>
    <t>1251122108580</t>
  </si>
  <si>
    <t>Thép HRC HSPM 2.90x150X SS400</t>
  </si>
  <si>
    <t>1251122108672</t>
  </si>
  <si>
    <t>Thép cuộn cán nóng 5.90x142X SS400 II</t>
  </si>
  <si>
    <t>5.90×1422×C</t>
  </si>
  <si>
    <t>1251121953679</t>
  </si>
  <si>
    <t>Thép cuộn cán nóng 5.90x142X SS400</t>
  </si>
  <si>
    <t>1251121953662</t>
  </si>
  <si>
    <t>Thép cuộn cán nóng 5.90x120X SS400 II</t>
  </si>
  <si>
    <t>1251121953655</t>
  </si>
  <si>
    <t>Thép cuộn cán nóng 5.90x120X SS400</t>
  </si>
  <si>
    <t>1251121953648</t>
  </si>
  <si>
    <t>Thép cuộn cán nóng 4.90x120X SS400 II</t>
  </si>
  <si>
    <t>1251121953631</t>
  </si>
  <si>
    <t>Thép cuộn cán nóng 4.90x120X SS400</t>
  </si>
  <si>
    <t>1251121953624</t>
  </si>
  <si>
    <t>Thép cuộn cán nóng 3.95x120X SS400 II</t>
  </si>
  <si>
    <t>3.95×1202×C</t>
  </si>
  <si>
    <t>1251121953617</t>
  </si>
  <si>
    <t>Thép cuộn cán nóng 3.95x120X SS400</t>
  </si>
  <si>
    <t>1251121953600</t>
  </si>
  <si>
    <t>Thép cuộn cán nóng 3.15x120X SS400 II</t>
  </si>
  <si>
    <t>3.15×1202×C</t>
  </si>
  <si>
    <t>1251121953594</t>
  </si>
  <si>
    <t>Thép cuộn cán nóng 3.15x120X SS400</t>
  </si>
  <si>
    <t>1251121953587</t>
  </si>
  <si>
    <t>Thép cuộn cán nóng 2.95x142X SS400 II</t>
  </si>
  <si>
    <t>2.95×1422×C</t>
  </si>
  <si>
    <t>1251121953570</t>
  </si>
  <si>
    <t>Thép cuộn cán nóng 2.95x142X SS400</t>
  </si>
  <si>
    <t>1251121953563</t>
  </si>
  <si>
    <t>Thép cuộn cán nóng 2.75x121X SAE1006 II</t>
  </si>
  <si>
    <t>1251121953556</t>
  </si>
  <si>
    <t>Thép cuộn cán nóng 2.75x121X SAE1006</t>
  </si>
  <si>
    <t>1251121953549</t>
  </si>
  <si>
    <t>Thép cuộn cán nóng 2.80x118X SAE1006 II</t>
  </si>
  <si>
    <t>2.80×1182×C</t>
  </si>
  <si>
    <t>1251121953532</t>
  </si>
  <si>
    <t>Thép cuộn cán nóng 2.80x118X SAE1006</t>
  </si>
  <si>
    <t>1251121953525</t>
  </si>
  <si>
    <t>Thép cuộn cán nóng 3.80x116X SAE1006 II</t>
  </si>
  <si>
    <t>3.80×1162×C</t>
  </si>
  <si>
    <t>1251121953518</t>
  </si>
  <si>
    <t>Thép cuộn cán nóng 3.80x116X SAE1006</t>
  </si>
  <si>
    <t>1251121953501</t>
  </si>
  <si>
    <t>Thép cuộn cán nóng 3.50x116X SAE1006 II</t>
  </si>
  <si>
    <t>3.50×1162×C</t>
  </si>
  <si>
    <t>1251121953495</t>
  </si>
  <si>
    <t>Thép cuộn cán nóng 3.50x116X SAE1006</t>
  </si>
  <si>
    <t>1251121953488</t>
  </si>
  <si>
    <t>Thép cuộn cán nóng 3.80x114X SAE1006 II</t>
  </si>
  <si>
    <t>3.80×1142×C</t>
  </si>
  <si>
    <t>1251121953471</t>
  </si>
  <si>
    <t>Thép cuộn cán nóng 3.80x114X SAE1006</t>
  </si>
  <si>
    <t>1251121953464</t>
  </si>
  <si>
    <t>Thép cuộn cán nóng 2.30x112X SAE1006 II</t>
  </si>
  <si>
    <t>2.30×1122×C</t>
  </si>
  <si>
    <t>1251121953457</t>
  </si>
  <si>
    <t>Thép cuộn cán nóng 2.30x112X SAE1006</t>
  </si>
  <si>
    <t>1251121953440</t>
  </si>
  <si>
    <t>Thép cuộn cán nóng 2.00x112X SAE1006 II</t>
  </si>
  <si>
    <t>2.00×1122×C</t>
  </si>
  <si>
    <t>1251121953433</t>
  </si>
  <si>
    <t>Thép cuộn cán nóng 2.00x112X SAE1006</t>
  </si>
  <si>
    <t>1251121953426</t>
  </si>
  <si>
    <t>Thép cuộn cán nóng 3.20x118X SAE1006 II</t>
  </si>
  <si>
    <t>1251121953419</t>
  </si>
  <si>
    <t>Thép cuộn cán nóng 3.20x118X SAE1006</t>
  </si>
  <si>
    <t>1251121953402</t>
  </si>
  <si>
    <t>Thép cuộn cán nóng 4.00x116X SAE1006 II</t>
  </si>
  <si>
    <t>4.00×1162×C</t>
  </si>
  <si>
    <t>1251121953396</t>
  </si>
  <si>
    <t>Thép cuộn cán nóng 4.00x116X SAE1006</t>
  </si>
  <si>
    <t>1251121953389</t>
  </si>
  <si>
    <t>Thép cuộn cán nóng 3.20x116X SAE1006 II</t>
  </si>
  <si>
    <t>3.20×1162×C</t>
  </si>
  <si>
    <t>1251121953372</t>
  </si>
  <si>
    <t>Thép cuộn cán nóng 3.20x116X SAE1006</t>
  </si>
  <si>
    <t>1251121953365</t>
  </si>
  <si>
    <t>Thép cuộn cán nóng 4.00x102X SPA-H II</t>
  </si>
  <si>
    <t>4.00×1022×C</t>
  </si>
  <si>
    <t>1251121953341</t>
  </si>
  <si>
    <t>Thép cuộn cán nóng 4.00x102X SPA-H</t>
  </si>
  <si>
    <t>1251121953334</t>
  </si>
  <si>
    <t>Thép cuộn cán nóng 1.75x120X SPA-H II</t>
  </si>
  <si>
    <t>1.75×1202×C</t>
  </si>
  <si>
    <t>1251121953327</t>
  </si>
  <si>
    <t>Thép cuộn cán nóng 1.75x120X SPA-H</t>
  </si>
  <si>
    <t>1251121953310</t>
  </si>
  <si>
    <t>Thép cuộn cán nóng 4.00x120X SPA-H II</t>
  </si>
  <si>
    <t>1251121953280</t>
  </si>
  <si>
    <t>Thép cuộn cán nóng 4.00x120X SPA-H</t>
  </si>
  <si>
    <t>1251121953273</t>
  </si>
  <si>
    <t>Thép cuộn cán nóng 1.75x120X BjPC II</t>
  </si>
  <si>
    <t>1251121953266</t>
  </si>
  <si>
    <t>Thép cuộn cán nóng 1.75x120X BjPC</t>
  </si>
  <si>
    <t>1251121953259</t>
  </si>
  <si>
    <t>Thép cuộn cán nóng 2.50x120X SPA-H II</t>
  </si>
  <si>
    <t>1251121953242</t>
  </si>
  <si>
    <t>Thép cuộn cán nóng 2.50x120X SPA-H</t>
  </si>
  <si>
    <t>1251121953235</t>
  </si>
  <si>
    <t>Thép cuộn cán nóng 2.25x120X SPA-H II</t>
  </si>
  <si>
    <t>2.25×1202×C</t>
  </si>
  <si>
    <t>1251121953228</t>
  </si>
  <si>
    <t>Thép cuộn cán nóng 2.25x120X SPA-H</t>
  </si>
  <si>
    <t>1251121953211</t>
  </si>
  <si>
    <t>Thép cuộn cán nóng 2.50x123X BjPC II</t>
  </si>
  <si>
    <t>1251121953204</t>
  </si>
  <si>
    <t>Thép cuộn cán nóng 2.50x123X BjPC</t>
  </si>
  <si>
    <t>1251121953198</t>
  </si>
  <si>
    <t>Thép cuộn cán nóng 3.00x123X BjPC II</t>
  </si>
  <si>
    <t>1251121953181</t>
  </si>
  <si>
    <t>Thép cuộn cán nóng 3.00x123X BjPC</t>
  </si>
  <si>
    <t>1251121953174</t>
  </si>
  <si>
    <t>Thép cuộn cán nóng 2.25x120X SAE1006 II</t>
  </si>
  <si>
    <t>1251121953105</t>
  </si>
  <si>
    <t>Thép cuộn cán nóng 2.25x120X SAE1006</t>
  </si>
  <si>
    <t>1251121953099</t>
  </si>
  <si>
    <t>Thép cuộn cán nóng 4.20x126Y SPHC II</t>
  </si>
  <si>
    <t>1251121953082</t>
  </si>
  <si>
    <t>Thép cuộn cán nóng 4.20x126Y SPHC</t>
  </si>
  <si>
    <t>1251121953075</t>
  </si>
  <si>
    <t>Thép cuộn cán nóng 2.58x125Y SPHC II</t>
  </si>
  <si>
    <t>2.58×1257×C</t>
  </si>
  <si>
    <t>1251121953068</t>
  </si>
  <si>
    <t>Thép cuộn cán nóng 2.58x125Y SPHC</t>
  </si>
  <si>
    <t>1251121953051</t>
  </si>
  <si>
    <t>Thép cuộn cán nóng 5.00x100X S275JR II</t>
  </si>
  <si>
    <t>5.00×1002×C</t>
  </si>
  <si>
    <t>1251121953044</t>
  </si>
  <si>
    <t>Thép cuộn cán nóng 5.00x100X S275JR</t>
  </si>
  <si>
    <t>1251121953037</t>
  </si>
  <si>
    <t>Thép cuộn cán nóng 6.30x110X S275JR II</t>
  </si>
  <si>
    <t>6.30×1102×C</t>
  </si>
  <si>
    <t>1251121953020</t>
  </si>
  <si>
    <t>Thép cuộn cán nóng 6.30x110X S275JR</t>
  </si>
  <si>
    <t>1251121953013</t>
  </si>
  <si>
    <t>Thép cuộn cán nóng 2.75x131X S235JR II</t>
  </si>
  <si>
    <t>2.75×1312×C</t>
  </si>
  <si>
    <t>1251121953006</t>
  </si>
  <si>
    <t>Thép cuộn cán nóng 2.75x131X S235JR</t>
  </si>
  <si>
    <t>1251121952993</t>
  </si>
  <si>
    <t>Thép cuộn cán nóng 2.45x131X S235JR II</t>
  </si>
  <si>
    <t>2.45×1312×C</t>
  </si>
  <si>
    <t>1251121952986</t>
  </si>
  <si>
    <t>Thép cuộn cán nóng 2.45x131X S235JR</t>
  </si>
  <si>
    <t>1251121952979</t>
  </si>
  <si>
    <t>Thép cuộn cán nóng 2.25x131X S235JR II</t>
  </si>
  <si>
    <t>2.25×1312×C</t>
  </si>
  <si>
    <t>1251121952962</t>
  </si>
  <si>
    <t>Thép cuộn cán nóng 2.25x131X S235JR</t>
  </si>
  <si>
    <t>1251121952955</t>
  </si>
  <si>
    <t>Thép cuộn cán nóng 1.80x131X S235JR II</t>
  </si>
  <si>
    <t>1.80×1312×C</t>
  </si>
  <si>
    <t>1251121952948</t>
  </si>
  <si>
    <t>Thép cuộn cán nóng 1.80x131X S235JR</t>
  </si>
  <si>
    <t>1251121952931</t>
  </si>
  <si>
    <t>Thép cuộn cán nóng 3.60x131X S235JR II</t>
  </si>
  <si>
    <t>3.60×1312×C</t>
  </si>
  <si>
    <t>1251121952924</t>
  </si>
  <si>
    <t>Thép cuộn cán nóng 3.60x131X S235JR</t>
  </si>
  <si>
    <t>1251121952917</t>
  </si>
  <si>
    <t>Thép cuộn cán nóng 3.20x108X S235JR II</t>
  </si>
  <si>
    <t>3.20×1082×C</t>
  </si>
  <si>
    <t>1251121952900</t>
  </si>
  <si>
    <t>Thép cuộn cán nóng 3.20x108X S235JR</t>
  </si>
  <si>
    <t>1251121952894</t>
  </si>
  <si>
    <t>Thép cuộn cán nóng 2.75x108X S235JR II</t>
  </si>
  <si>
    <t>2.75×1082×C</t>
  </si>
  <si>
    <t>1251121952887</t>
  </si>
  <si>
    <t>Thép cuộn cán nóng 2.75x108X S235JR</t>
  </si>
  <si>
    <t>1251121952870</t>
  </si>
  <si>
    <t>Thép cuộn cán nóng 1.96x108X S235JR II</t>
  </si>
  <si>
    <t>1.96×1082×C</t>
  </si>
  <si>
    <t>1251121952863</t>
  </si>
  <si>
    <t>Thép cuộn cán nóng 1.96x108X S235JR</t>
  </si>
  <si>
    <t>1251121952856</t>
  </si>
  <si>
    <t>Thép cuộn cán nóng 3.50x120Y SS400 II</t>
  </si>
  <si>
    <t>3.50×1207×C</t>
  </si>
  <si>
    <t>1251121952849</t>
  </si>
  <si>
    <t>Thép cuộn cán nóng 3.50x120Y SS400</t>
  </si>
  <si>
    <t>1251121952832</t>
  </si>
  <si>
    <t>Thép cuộn cán nóng 6.50x104Y SS400 II</t>
  </si>
  <si>
    <t>6.50×1047×C</t>
  </si>
  <si>
    <t>1251121952825</t>
  </si>
  <si>
    <t>Thép cuộn cán nóng 6.50x104Y SS400</t>
  </si>
  <si>
    <t>1251121952818</t>
  </si>
  <si>
    <t>Thép cuộn cán nóng 4.60x104Y SS400 II</t>
  </si>
  <si>
    <t>4.60×1047×C</t>
  </si>
  <si>
    <t>1251121952801</t>
  </si>
  <si>
    <t>Thép cuộn cán nóng 4.60x104Y SS400</t>
  </si>
  <si>
    <t>1251121952795</t>
  </si>
  <si>
    <t>Thép cuộn cán nóng 4.50x120Y SS400 II</t>
  </si>
  <si>
    <t>4.50×1207×C</t>
  </si>
  <si>
    <t>1251121952788</t>
  </si>
  <si>
    <t>Thép cuộn cán nóng 4.50x120Y SS400</t>
  </si>
  <si>
    <t>1251121952771</t>
  </si>
  <si>
    <t>Thép cuộn cán nóng 4.30x120Y SS400 II</t>
  </si>
  <si>
    <t>4.30×1207×C</t>
  </si>
  <si>
    <t>1251121952764</t>
  </si>
  <si>
    <t>Thép cuộn cán nóng 4.30x120Y SS400</t>
  </si>
  <si>
    <t>1251121952757</t>
  </si>
  <si>
    <t>Thép cuộn cán nóng 5.12x142X SS400 II</t>
  </si>
  <si>
    <t>5.12×1422×C</t>
  </si>
  <si>
    <t>1251121952740</t>
  </si>
  <si>
    <t>Thép cuộn cán nóng 5.12x142X SS400</t>
  </si>
  <si>
    <t>1251121952733</t>
  </si>
  <si>
    <t>Thép cuộn cán nóng 4.20x142X SS400 II</t>
  </si>
  <si>
    <t>4.20×1422×C</t>
  </si>
  <si>
    <t>1251121952726</t>
  </si>
  <si>
    <t>Thép cuộn cán nóng 4.20x142X SS400</t>
  </si>
  <si>
    <t>1251121952719</t>
  </si>
  <si>
    <t>Thép cuộn cán nóng 3.30x142X SS400 II</t>
  </si>
  <si>
    <t>3.30×1422×C</t>
  </si>
  <si>
    <t>1251121952702</t>
  </si>
  <si>
    <t>Thép cuộn cán nóng 3.30x142X SS400</t>
  </si>
  <si>
    <t>1251121952696</t>
  </si>
  <si>
    <t>Thép cuộn cán nóng 3.15x142X SS400 II</t>
  </si>
  <si>
    <t>3.15×1422×C</t>
  </si>
  <si>
    <t>1251121952689</t>
  </si>
  <si>
    <t>Thép cuộn cán nóng 3.15x142X SS400</t>
  </si>
  <si>
    <t>1251121952672</t>
  </si>
  <si>
    <t>Thép cuộn cán nóng 4.70x134Y SS400 II</t>
  </si>
  <si>
    <t>4.70×1347×C</t>
  </si>
  <si>
    <t>1251121952665</t>
  </si>
  <si>
    <t>Thép cuộn cán nóng 4.70x134Y SS400</t>
  </si>
  <si>
    <t>1251121952658</t>
  </si>
  <si>
    <t>Thép cuộn cán nóng 5.25x126X SS400 II</t>
  </si>
  <si>
    <t>5.25×1262×C</t>
  </si>
  <si>
    <t>1251121952641</t>
  </si>
  <si>
    <t>Thép cuộn cán nóng 5.25x126X SS400</t>
  </si>
  <si>
    <t>1251121952634</t>
  </si>
  <si>
    <t>Thép cuộn cán nóng 1.83x121Y CS typeB II</t>
  </si>
  <si>
    <t>ASTM A1011</t>
  </si>
  <si>
    <t>1251121952566</t>
  </si>
  <si>
    <t>Thép cuộn cán nóng 1.83x121Y CS type B</t>
  </si>
  <si>
    <t>1251121952559</t>
  </si>
  <si>
    <t>Thép cuộn cán nóng 2.29x121Y CS typeB II</t>
  </si>
  <si>
    <t>1251121952542</t>
  </si>
  <si>
    <t>Thép cuộn cán nóng 2.29x121Y CS type B</t>
  </si>
  <si>
    <t>1251121952535</t>
  </si>
  <si>
    <t>Thép cuộn cán nóng 2.67x121Y CS typeB II</t>
  </si>
  <si>
    <t>1251121952528</t>
  </si>
  <si>
    <t>Thép cuộn cán nóng 2.67x121Y CS type B</t>
  </si>
  <si>
    <t>1251121952511</t>
  </si>
  <si>
    <t>Thép cuộn cán nóng 4.75x121Y CS typeB II</t>
  </si>
  <si>
    <t>1251121952504</t>
  </si>
  <si>
    <t>Thép cuộn cán nóng 4.75x121Y CS type B</t>
  </si>
  <si>
    <t>1251121952498</t>
  </si>
  <si>
    <t>Thép cuộn cán nóng 3.40x121Y CS typeB II</t>
  </si>
  <si>
    <t>3.40×1217×C</t>
  </si>
  <si>
    <t>1251121952481</t>
  </si>
  <si>
    <t>Thép cuộn cán nóng 3.40x121Y CS type B</t>
  </si>
  <si>
    <t>1251121952474</t>
  </si>
  <si>
    <t>Thép cuộn cán nóng 2.64x121Y CS typeB II</t>
  </si>
  <si>
    <t>1251121952467</t>
  </si>
  <si>
    <t>Thép cuộn cán nóng 2.64x121Y CS type B</t>
  </si>
  <si>
    <t>1251121952450</t>
  </si>
  <si>
    <t>Thép cuộn cán nóng 4.65x121Y S275JR II</t>
  </si>
  <si>
    <t>4.65×1217×C</t>
  </si>
  <si>
    <t>1251121952443</t>
  </si>
  <si>
    <t>Thép cuộn cán nóng 4.65x121Y S275JR</t>
  </si>
  <si>
    <t>1251121952436</t>
  </si>
  <si>
    <t>Thép cuộn cán nóng 2.43x121Y S275JR II</t>
  </si>
  <si>
    <t>2.43×1217×C</t>
  </si>
  <si>
    <t>1251121952429</t>
  </si>
  <si>
    <t>Thép cuộn cán nóng 2.43x121Y S275JR</t>
  </si>
  <si>
    <t>1251121952412</t>
  </si>
  <si>
    <t>Thép cuộn cán nóng 5.40x151Y S275JR II</t>
  </si>
  <si>
    <t>5.40×1517×C</t>
  </si>
  <si>
    <t>1251121952405</t>
  </si>
  <si>
    <t>Thép cuộn cán nóng 5.40x151Y S275JR</t>
  </si>
  <si>
    <t>1251121952399</t>
  </si>
  <si>
    <t>Thép cuộn cán nóng 3.00x151Y S275JR II</t>
  </si>
  <si>
    <t>3.00×1517×C</t>
  </si>
  <si>
    <t>1251121952382</t>
  </si>
  <si>
    <t>Thép cuộn cán nóng 3.00x151Y S275JR</t>
  </si>
  <si>
    <t>1251121952375</t>
  </si>
  <si>
    <t>Thép cuộn cán nóng 8.75x121X S275JR II</t>
  </si>
  <si>
    <t>8.75×1212×C</t>
  </si>
  <si>
    <t>1251121952368</t>
  </si>
  <si>
    <t>Thép cuộn cán nóng 8.75x121X S275JR</t>
  </si>
  <si>
    <t>1251121952351</t>
  </si>
  <si>
    <t>Thép cuộn cán nóng 5.72x121X S275JR II</t>
  </si>
  <si>
    <t>5.72×1212×C</t>
  </si>
  <si>
    <t>1251121952344</t>
  </si>
  <si>
    <t>Thép cuộn cán nóng 5.72x121X S275JR</t>
  </si>
  <si>
    <t>1251121952337</t>
  </si>
  <si>
    <t>Thép cuộn cán nóng 2.23x121X S275JR II</t>
  </si>
  <si>
    <t>2.23×1212×C</t>
  </si>
  <si>
    <t>1251121952320</t>
  </si>
  <si>
    <t>Thép cuộn cán nóng 2.23x121X S275JR</t>
  </si>
  <si>
    <t>1251121952313</t>
  </si>
  <si>
    <t>Thép cuộn cán nóng 3.02x152X ASTM A36 II</t>
  </si>
  <si>
    <t>3.02×1522×C</t>
  </si>
  <si>
    <t>1251121952306</t>
  </si>
  <si>
    <t>Thép cuộn cán nóng 3.02x152X ASTM A36</t>
  </si>
  <si>
    <t>1251121952290</t>
  </si>
  <si>
    <t>Thép cuộn cán nóng 2.64x152X ASTM A36 II</t>
  </si>
  <si>
    <t>2.64×1522×C</t>
  </si>
  <si>
    <t>1251121952283</t>
  </si>
  <si>
    <t>Thép cuộn cán nóng 2.64x152X ASTM A36</t>
  </si>
  <si>
    <t>1251121952276</t>
  </si>
  <si>
    <t>Thép cuộn cán nóng 3.40x121Y ASTM A36 II</t>
  </si>
  <si>
    <t>1251121952269</t>
  </si>
  <si>
    <t>Thép cuộn cán nóng 3.40x121Y ASTM A36</t>
  </si>
  <si>
    <t>1251121952252</t>
  </si>
  <si>
    <t>Thép cuộn cán nóng 3.02x121Y ASTM A36 II</t>
  </si>
  <si>
    <t>1251121952245</t>
  </si>
  <si>
    <t>Thép cuộn cán nóng 3.02x121Y ASTM A36</t>
  </si>
  <si>
    <t>1251121952238</t>
  </si>
  <si>
    <t>Thép cuộn cán nóng 7.93x121Y ASTM A36 II</t>
  </si>
  <si>
    <t>7.93×1217×C</t>
  </si>
  <si>
    <t>1251121952221</t>
  </si>
  <si>
    <t>Thép cuộn cán nóng 7.93x121Y ASTM A36</t>
  </si>
  <si>
    <t>1251121952214</t>
  </si>
  <si>
    <t>Thép cuộn cán nóng 3.00x120X SPA-H II</t>
  </si>
  <si>
    <t>1251121952139</t>
  </si>
  <si>
    <t>Thép cuộn cán nóng 3.00x120X SPA-H</t>
  </si>
  <si>
    <t>1251121952122</t>
  </si>
  <si>
    <t>Thép cuộn cán nóng 2.00x117Y SPA-H II</t>
  </si>
  <si>
    <t>2.00×1177×C</t>
  </si>
  <si>
    <t>1251121952115</t>
  </si>
  <si>
    <t>Thép cuộn cán nóng 2.00x117Y SPA-H</t>
  </si>
  <si>
    <t>1251121952108</t>
  </si>
  <si>
    <t>Thép cuộn cán nóng 1.80x117Y SPA-H II</t>
  </si>
  <si>
    <t>1.80×1177×C</t>
  </si>
  <si>
    <t>1251121952092</t>
  </si>
  <si>
    <t>Thép cuộn cán nóng 1.80x117Y SPA-H</t>
  </si>
  <si>
    <t>1251121952085</t>
  </si>
  <si>
    <t>Thép cuộn cán nóng 1.70x117Y SPA-H II</t>
  </si>
  <si>
    <t>1.70×1177×C</t>
  </si>
  <si>
    <t>1251121952078</t>
  </si>
  <si>
    <t>Thép cuộn cán nóng 1.70x117Y SPA-H</t>
  </si>
  <si>
    <t>1251121952061</t>
  </si>
  <si>
    <t>Thép cuộn cán nóng 1.60x117Y SPA-H II</t>
  </si>
  <si>
    <t>1.60×1177×C</t>
  </si>
  <si>
    <t>1251121952054</t>
  </si>
  <si>
    <t>Thép cuộn cán nóng 1.60x117Y SPA-H</t>
  </si>
  <si>
    <t>1251121952047</t>
  </si>
  <si>
    <t>Thép cuộn cán nóng 3.50x120X SS400 II</t>
  </si>
  <si>
    <t>3.50×1202×C</t>
  </si>
  <si>
    <t>1251121952030</t>
  </si>
  <si>
    <t>Thép cuộn cán nóng 3.50x120X SS400</t>
  </si>
  <si>
    <t>1251121952023</t>
  </si>
  <si>
    <t>Thép cuộn cán nóng 10.00x152X SS400 II</t>
  </si>
  <si>
    <t>1251121952016</t>
  </si>
  <si>
    <t>Thép cuộn cán nóng 10.00x152X SS400</t>
  </si>
  <si>
    <t>1251121952009</t>
  </si>
  <si>
    <t>Thép cuộn cán nóng 2.70x122X SPHT1 II</t>
  </si>
  <si>
    <t>1251121919422</t>
  </si>
  <si>
    <t>Thép cuộn cán nóng 2.70x122X SPHT1</t>
  </si>
  <si>
    <t>1251121919415</t>
  </si>
  <si>
    <t>Thép cuộn cán nóng 5.10x121Y SPHT1 II</t>
  </si>
  <si>
    <t>5.10×1217×C</t>
  </si>
  <si>
    <t>1251121919408</t>
  </si>
  <si>
    <t>Thép cuộn cán nóng 5.10x121Y SPHT1</t>
  </si>
  <si>
    <t>1251121919392</t>
  </si>
  <si>
    <t>Thép cuộn cán nóng 2.90x142X SPHT1 II</t>
  </si>
  <si>
    <t>2.90×1422×C</t>
  </si>
  <si>
    <t>1251121919385</t>
  </si>
  <si>
    <t>Thép cuộn cán nóng 2.90x142X SPHT1</t>
  </si>
  <si>
    <t>1251121919378</t>
  </si>
  <si>
    <t>Thép cuộn cán nóng 2.40x142X SPHT1 II</t>
  </si>
  <si>
    <t>1251121919361</t>
  </si>
  <si>
    <t>Thép cuộn cán nóng 2.40x142X SPHT1</t>
  </si>
  <si>
    <t>1251121919354</t>
  </si>
  <si>
    <t>Thép cuộn cán nóng 4.55x152X SPHT1 II</t>
  </si>
  <si>
    <t>4.55×1522×C</t>
  </si>
  <si>
    <t>1251121919347</t>
  </si>
  <si>
    <t>Thép cuộn cán nóng 4.55x152X SPHT1</t>
  </si>
  <si>
    <t>1251121919330</t>
  </si>
  <si>
    <t>Thép cuộn cán nóng 3.65x152X SPHT1 II</t>
  </si>
  <si>
    <t>1251121919323</t>
  </si>
  <si>
    <t>Thép cuộn cán nóng 3.65x152X SPHT1</t>
  </si>
  <si>
    <t>1251121919316</t>
  </si>
  <si>
    <t>Thép cuộn cán nóng 3.60x152X SPHT1 II</t>
  </si>
  <si>
    <t>3.60×1522×C</t>
  </si>
  <si>
    <t>1251121919309</t>
  </si>
  <si>
    <t>Thép cuộn cán nóng 3.60x152X SPHT1</t>
  </si>
  <si>
    <t>1251121919293</t>
  </si>
  <si>
    <t>Thép cuộn cán nóng 4.70x121Y SPHC II</t>
  </si>
  <si>
    <t>1251121919286</t>
  </si>
  <si>
    <t>Thép cuộn cán nóng 4.70x121Y SPHC</t>
  </si>
  <si>
    <t>1251121919279</t>
  </si>
  <si>
    <t>Thép cuộn cán nóng 4.20x121Y SPHC II</t>
  </si>
  <si>
    <t>1251121919262</t>
  </si>
  <si>
    <t>Thép cuộn cán nóng 4.20x121Y SPHC</t>
  </si>
  <si>
    <t>1251121919255</t>
  </si>
  <si>
    <t>Thép cuộn cán nóng 3.70x121Y SPHC II</t>
  </si>
  <si>
    <t>1251121919248</t>
  </si>
  <si>
    <t>Thép cuộn cán nóng 3.70x121Y SPHC</t>
  </si>
  <si>
    <t>1251121919231</t>
  </si>
  <si>
    <t>Thép cuộn cán nóng 2.65x121Y SPHC II</t>
  </si>
  <si>
    <t>1251121919224</t>
  </si>
  <si>
    <t>Thép cuộn cán nóng 2.65x121Y SPHC</t>
  </si>
  <si>
    <t>1251121919217</t>
  </si>
  <si>
    <t>Thép cuộn cán nóng 4.20x152X SPHC II</t>
  </si>
  <si>
    <t>1251121919200</t>
  </si>
  <si>
    <t>Thép cuộn cán nóng 4.20x152X SPHC</t>
  </si>
  <si>
    <t>1251121919194</t>
  </si>
  <si>
    <t>Thép cuộn cán nóng 2.45x125X SAE1006 II</t>
  </si>
  <si>
    <t>1251121919187</t>
  </si>
  <si>
    <t>Thép cuộn cán nóng 2.45x125X SAE1006</t>
  </si>
  <si>
    <t>1251121919170</t>
  </si>
  <si>
    <t>Thép cuộn cán nóng 3.45x126X SAE1006 II</t>
  </si>
  <si>
    <t>1251121919163</t>
  </si>
  <si>
    <t>Thép cuộn cán nóng 3.45x126X SAE1006</t>
  </si>
  <si>
    <t>1251121919156</t>
  </si>
  <si>
    <t>Thép cuộn cán nóng 3.30x126X SAE1006 II</t>
  </si>
  <si>
    <t>3.30×1262×C</t>
  </si>
  <si>
    <t>1251121919149</t>
  </si>
  <si>
    <t>Thép cuộn cán nóng 3.30x126X SAE1006</t>
  </si>
  <si>
    <t>1251121919132</t>
  </si>
  <si>
    <t>Thép cuộn cán nóng 3.10x126X SAE1006 II</t>
  </si>
  <si>
    <t>3.10×1262×C</t>
  </si>
  <si>
    <t>1251121919125</t>
  </si>
  <si>
    <t>Thép cuộn cán nóng 3.10x126X SAE1006</t>
  </si>
  <si>
    <t>1251121919118</t>
  </si>
  <si>
    <t>Thép cuộn cán nóng 2.87x126X SAE1006 II</t>
  </si>
  <si>
    <t>1251121919101</t>
  </si>
  <si>
    <t>Thép cuộn cán nóng 2.87x126X SAE1006</t>
  </si>
  <si>
    <t>1251121919095</t>
  </si>
  <si>
    <t>Thép cuộn cán nóng 2.60x126X SAE1006 II</t>
  </si>
  <si>
    <t>2.60×1262×C</t>
  </si>
  <si>
    <t>1251121919088</t>
  </si>
  <si>
    <t>Thép cuộn cán nóng 2.60x126X SAE1006</t>
  </si>
  <si>
    <t>1251121919071</t>
  </si>
  <si>
    <t>Thép cuộn cán nóng 2.00x126X SAE1006 II</t>
  </si>
  <si>
    <t>1251121919064</t>
  </si>
  <si>
    <t>Thép cuộn cán nóng 2.00x126X SAE1006</t>
  </si>
  <si>
    <t>1251121919057</t>
  </si>
  <si>
    <t>Thép cuộn cán nóng 3.65x125X SAE1006 II</t>
  </si>
  <si>
    <t>3.65×1252×C</t>
  </si>
  <si>
    <t>1251121919040</t>
  </si>
  <si>
    <t>Thép cuộn cán nóng 3.65x125X SAE1006</t>
  </si>
  <si>
    <t>1251121919033</t>
  </si>
  <si>
    <t>Thép cuộn cán nóng 4.50x151Y SAE1006 II</t>
  </si>
  <si>
    <t>4.50×1517×C</t>
  </si>
  <si>
    <t>1251121919026</t>
  </si>
  <si>
    <t>Thép cuộn cán nóng 4.50x151Y SAE1006</t>
  </si>
  <si>
    <t>1251121919019</t>
  </si>
  <si>
    <t>Thép cuộn cán nóng 4.00x151Y SAE1006 II</t>
  </si>
  <si>
    <t>1251121919002</t>
  </si>
  <si>
    <t>Thép cuộn cán nóng 4.00x151Y SAE1006</t>
  </si>
  <si>
    <t>1251121918999</t>
  </si>
  <si>
    <t>Thép cuộn cán nóng 3.50x151Y SAE1006 II</t>
  </si>
  <si>
    <t>3.50×1517×C</t>
  </si>
  <si>
    <t>1251121918982</t>
  </si>
  <si>
    <t>Thép cuộn cán nóng 3.50x151Y SAE1006</t>
  </si>
  <si>
    <t>1251121918975</t>
  </si>
  <si>
    <t>Thép cuộn cán nóng 3.00x151Y SAE1006 II</t>
  </si>
  <si>
    <t>1251121918968</t>
  </si>
  <si>
    <t>Thép cuộn cán nóng 3.00x151Y SAE1006</t>
  </si>
  <si>
    <t>1251121918951</t>
  </si>
  <si>
    <t>Thép cuộn cán nóng 5.00x150X S235JR II</t>
  </si>
  <si>
    <t>1251121918944</t>
  </si>
  <si>
    <t>Thép cuộn cán nóng 5.00x150X S235JR</t>
  </si>
  <si>
    <t>1251121918937</t>
  </si>
  <si>
    <t>Thép cuộn cán nóng 4.60x150X S235JR II</t>
  </si>
  <si>
    <t>4.60×1502×C</t>
  </si>
  <si>
    <t>1251121918920</t>
  </si>
  <si>
    <t>Thép cuộn cán nóng 4.60x150X S235JR</t>
  </si>
  <si>
    <t>1251121918913</t>
  </si>
  <si>
    <t>Thép cuộn cán nóng 4.00x150X S235JR II</t>
  </si>
  <si>
    <t>1251121918906</t>
  </si>
  <si>
    <t>Thép cuộn cán nóng 4.00x150X S235JR</t>
  </si>
  <si>
    <t>1251121918890</t>
  </si>
  <si>
    <t>Thép cuộn cán nóng 3.55x150X S235JR II</t>
  </si>
  <si>
    <t>3.55×1502×C</t>
  </si>
  <si>
    <t>1251121918883</t>
  </si>
  <si>
    <t>Thép cuộn cán nóng 3.55x150X S235JR</t>
  </si>
  <si>
    <t>1251121918876</t>
  </si>
  <si>
    <t>Thép cuộn cán nóng 3.00x150X S235JR II</t>
  </si>
  <si>
    <t>1251121918869</t>
  </si>
  <si>
    <t>Thép cuộn cán nóng 3.00x150X S235JR</t>
  </si>
  <si>
    <t>1251121918852</t>
  </si>
  <si>
    <t>Thép cuộn cán nóng 2.70x150X S235JR II</t>
  </si>
  <si>
    <t>1251121918845</t>
  </si>
  <si>
    <t>Thép cuộn cán nóng 2.70x150X S235JR</t>
  </si>
  <si>
    <t>1251121918838</t>
  </si>
  <si>
    <t>Thép cuộn cán nóng 2.60x137X SPHT3 II</t>
  </si>
  <si>
    <t>2.60×1372×C</t>
  </si>
  <si>
    <t>1251121918821</t>
  </si>
  <si>
    <t>Thép cuộn cán nóng 2.60x137X SPHT3</t>
  </si>
  <si>
    <t>1251121918814</t>
  </si>
  <si>
    <t>Thép cuộn cán nóng 2.45x137X SPHT3 II</t>
  </si>
  <si>
    <t>2.45×1372×C</t>
  </si>
  <si>
    <t>1251121918807</t>
  </si>
  <si>
    <t>Thép cuộn cán nóng 2.45x137X SPHT3</t>
  </si>
  <si>
    <t>1251121918791</t>
  </si>
  <si>
    <t>Thép cuộn cán nóng 2.30x137X SPHT3 II</t>
  </si>
  <si>
    <t>2.30×1372×C</t>
  </si>
  <si>
    <t>1251121918784</t>
  </si>
  <si>
    <t>Thép cuộn cán nóng 2.30x137X SPHT3</t>
  </si>
  <si>
    <t>1251121918777</t>
  </si>
  <si>
    <t>Thép cuộn cán nóng 2.15x137X SPHT3 II</t>
  </si>
  <si>
    <t>2.15×1372×C</t>
  </si>
  <si>
    <t>1251121918760</t>
  </si>
  <si>
    <t>Thép cuộn cán nóng 2.15x137X SPHT3</t>
  </si>
  <si>
    <t>1251121918753</t>
  </si>
  <si>
    <t>Thép cuộn cán nóng 11.60x151Y S275JR II</t>
  </si>
  <si>
    <t>11.60×1517×C</t>
  </si>
  <si>
    <t>1251121918746</t>
  </si>
  <si>
    <t>Thép cuộn cán nóng 11.60x151Y S275JR</t>
  </si>
  <si>
    <t>1251121918739</t>
  </si>
  <si>
    <t>Thép cuộn cán nóng 8.60x151Y S275JR II</t>
  </si>
  <si>
    <t>8.60×1517×C</t>
  </si>
  <si>
    <t>1251121918722</t>
  </si>
  <si>
    <t>Thép cuộn cán nóng 8.60x151Y S275JR</t>
  </si>
  <si>
    <t>1251121918715</t>
  </si>
  <si>
    <t>Thép cuộn cán nóng 8.60x121X S275JR II</t>
  </si>
  <si>
    <t>8.60×1212×C</t>
  </si>
  <si>
    <t>1251121918708</t>
  </si>
  <si>
    <t>Thép cuộn cán nóng 8.60x121X S275JR</t>
  </si>
  <si>
    <t>1251121918692</t>
  </si>
  <si>
    <t>Thép cuộn cán nóng 7.60x152X S275JR II</t>
  </si>
  <si>
    <t>7.60×1522×C</t>
  </si>
  <si>
    <t>1251121918685</t>
  </si>
  <si>
    <t>Thép cuộn cán nóng 7.60x152X S275JR</t>
  </si>
  <si>
    <t>1251121918678</t>
  </si>
  <si>
    <t>Thép cuộn cán nóng 7.50x121X S275JR II</t>
  </si>
  <si>
    <t>7.50×1212×C</t>
  </si>
  <si>
    <t>1251121918661</t>
  </si>
  <si>
    <t>Thép cuộn cán nóng 7.50x121X S275JR</t>
  </si>
  <si>
    <t>1251121918654</t>
  </si>
  <si>
    <t>Thép cuộn cán nóng 5.90x152X S275JR II</t>
  </si>
  <si>
    <t>1251121918647</t>
  </si>
  <si>
    <t>Thép cuộn cán nóng 5.90x152X S275JR</t>
  </si>
  <si>
    <t>1251121918630</t>
  </si>
  <si>
    <t>Thép cuộn cán nóng 5.90x121X S275JR II</t>
  </si>
  <si>
    <t>5.90×1212×C</t>
  </si>
  <si>
    <t>1251121918623</t>
  </si>
  <si>
    <t>Thép cuộn cán nóng 5.90x121X S275JR</t>
  </si>
  <si>
    <t>1251121918616</t>
  </si>
  <si>
    <t>Thép cuộn cán nóng 5.65x152X S275JR II</t>
  </si>
  <si>
    <t>5.65×1522×C</t>
  </si>
  <si>
    <t>1251121918609</t>
  </si>
  <si>
    <t>Thép cuộn cán nóng 5.65x152X S275JR</t>
  </si>
  <si>
    <t>1251121918593</t>
  </si>
  <si>
    <t>Thép cuộn cán nóng 5.50x152X S275JR II</t>
  </si>
  <si>
    <t>5.50×1522×C</t>
  </si>
  <si>
    <t>1251121918586</t>
  </si>
  <si>
    <t>Thép cuộn cán nóng 5.50x152X S275JR</t>
  </si>
  <si>
    <t>1251121918579</t>
  </si>
  <si>
    <t>Thép cuộn cán nóng 4.75x121X S275JR II</t>
  </si>
  <si>
    <t>4.75×1212×C</t>
  </si>
  <si>
    <t>1251121918562</t>
  </si>
  <si>
    <t>Thép cuộn cán nóng 4.75x121X S275JR</t>
  </si>
  <si>
    <t>1251121918555</t>
  </si>
  <si>
    <t>Thép cuộn cán nóng 4.05x152X S275JR II</t>
  </si>
  <si>
    <t>4.05×1522×C</t>
  </si>
  <si>
    <t>1251121918548</t>
  </si>
  <si>
    <t>Thép cuộn cán nóng 4.05x152X S275JR</t>
  </si>
  <si>
    <t>1251121918531</t>
  </si>
  <si>
    <t>Thép cuộn cán nóng 3.90x152X S275JR II</t>
  </si>
  <si>
    <t>1251121918524</t>
  </si>
  <si>
    <t>Thép cuộn cán nóng 3.90x152X S275JR</t>
  </si>
  <si>
    <t>1251121918517</t>
  </si>
  <si>
    <t>Thép cuộn cán nóng 3.90x121X S275JR II</t>
  </si>
  <si>
    <t>1251121918500</t>
  </si>
  <si>
    <t>Thép cuộn cán nóng 3.90x121X S275JR</t>
  </si>
  <si>
    <t>1251121918494</t>
  </si>
  <si>
    <t>Thép cuộn cán nóng 3.80x121X S275JR II</t>
  </si>
  <si>
    <t>1251121918487</t>
  </si>
  <si>
    <t>Thép cuộn cán nóng 3.80x121X S275JR</t>
  </si>
  <si>
    <t>1251121918470</t>
  </si>
  <si>
    <t>Thép cuộn cán nóng 2.75x121Y S275JR II</t>
  </si>
  <si>
    <t>1251121918463</t>
  </si>
  <si>
    <t>Thép cuộn cán nóng 2.75x121Y S275JR</t>
  </si>
  <si>
    <t>1251121918456</t>
  </si>
  <si>
    <t>Thép cuộn cán nóng 2.47x121Y S275JR II</t>
  </si>
  <si>
    <t>1251121918449</t>
  </si>
  <si>
    <t>Thép cuộn cán nóng 2.47x121Y S275JR</t>
  </si>
  <si>
    <t>1251121918432</t>
  </si>
  <si>
    <t>Thép cuộn cán nóng 4.40x121Y S275JR II</t>
  </si>
  <si>
    <t>1251121918425</t>
  </si>
  <si>
    <t>Thép cuộn cán nóng 4.40x121Y S275JR</t>
  </si>
  <si>
    <t>1251121918418</t>
  </si>
  <si>
    <t>Thép cuộn cán nóng 3.70x121Y S275JR II</t>
  </si>
  <si>
    <t>1251121918401</t>
  </si>
  <si>
    <t>Thép cuộn cán nóng 3.70x121Y S275JR</t>
  </si>
  <si>
    <t>1251121918395</t>
  </si>
  <si>
    <t>Thép cuộn cán nóng 9.70x121Y S275JR II</t>
  </si>
  <si>
    <t>9.70×1217×C</t>
  </si>
  <si>
    <t>1251121918388</t>
  </si>
  <si>
    <t>Thép cuộn cán nóng 9.70x121Y S275JR</t>
  </si>
  <si>
    <t>1251121918371</t>
  </si>
  <si>
    <t>Thép cuộn cán nóng 2.50x126X SAE1006 II</t>
  </si>
  <si>
    <t>1251121918357</t>
  </si>
  <si>
    <t>Thép cuộn cán nóng 2.50x126X SAE1006</t>
  </si>
  <si>
    <t>1251121918340</t>
  </si>
  <si>
    <t>Thép cuộn cán nóng 3.20x121X SAE1006 II</t>
  </si>
  <si>
    <t>3.20×1212×C</t>
  </si>
  <si>
    <t>1251121918333</t>
  </si>
  <si>
    <t>Thép cuộn cán nóng 3.20x121X SAE1006</t>
  </si>
  <si>
    <t>1251121918326</t>
  </si>
  <si>
    <t>Thép cuộn cán nóng 2.30x124Y SAE1006 II</t>
  </si>
  <si>
    <t>2.30×1247×C</t>
  </si>
  <si>
    <t>1251121918319</t>
  </si>
  <si>
    <t>Thép cuộn cán nóng 2.30x124Y SAE1006</t>
  </si>
  <si>
    <t>1251121918302</t>
  </si>
  <si>
    <t>Thép cuộn cán nóng 2.20x125X SAE1006 II</t>
  </si>
  <si>
    <t>1251121918296</t>
  </si>
  <si>
    <t>Thép cuộn cán nóng 2.20x125X SAE1006</t>
  </si>
  <si>
    <t>1251121918289</t>
  </si>
  <si>
    <t>Thép cuộn cán nóng 2.80x120X BjPC II</t>
  </si>
  <si>
    <t>1251121918272</t>
  </si>
  <si>
    <t>Thép cuộn cán nóng 2.80x120X BjPC</t>
  </si>
  <si>
    <t>1251121918265</t>
  </si>
  <si>
    <t>Thép cuộn cán nóng 2.50x120X BjPC II</t>
  </si>
  <si>
    <t>1251121918258</t>
  </si>
  <si>
    <t>Thép cuộn cán nóng 2.50x120X BjPC</t>
  </si>
  <si>
    <t>1251121918241</t>
  </si>
  <si>
    <t>Thép cuộn cán nóng 2.25x120X BjPC II</t>
  </si>
  <si>
    <t>1251121918234</t>
  </si>
  <si>
    <t>Thép cuộn cán nóng 2.25x120X BjPC</t>
  </si>
  <si>
    <t>1251121918227</t>
  </si>
  <si>
    <t>Thép cuộn cán nóng 2.50x151Y SAE1006 II</t>
  </si>
  <si>
    <t>1251121918210</t>
  </si>
  <si>
    <t>Thép cuộn cán nóng 2.50x151Y SAE1006</t>
  </si>
  <si>
    <t>1251121918203</t>
  </si>
  <si>
    <t>Thép cuộn cán nóng 2.00x151Y SAE1006 II</t>
  </si>
  <si>
    <t>1251121918197</t>
  </si>
  <si>
    <t>Thép cuộn cán nóng 2.00x151Y SAE1006</t>
  </si>
  <si>
    <t>1251121918180</t>
  </si>
  <si>
    <t>Thép cuộn cán nóng 4.00x123X SAE1006 II</t>
  </si>
  <si>
    <t>1251121918173</t>
  </si>
  <si>
    <t>Thép cuộn cán nóng 4.00x123X SAE1006</t>
  </si>
  <si>
    <t>1251121918166</t>
  </si>
  <si>
    <t>Thép cuộn cán nóng 3.60x123X SAE1006 II</t>
  </si>
  <si>
    <t>3.60×1232×C</t>
  </si>
  <si>
    <t>1251121918159</t>
  </si>
  <si>
    <t>Thép cuộn cán nóng 3.60x123X SAE1006</t>
  </si>
  <si>
    <t>1251121918142</t>
  </si>
  <si>
    <t>Thép cuộn cán nóng 3.00x123X SAE1006 II</t>
  </si>
  <si>
    <t>1251121918135</t>
  </si>
  <si>
    <t>Thép cuộn cán nóng 3.00x123X SAE1006</t>
  </si>
  <si>
    <t>1251121918128</t>
  </si>
  <si>
    <t>Thép cuộn cán nóng 2.80x123X SAE1006 II</t>
  </si>
  <si>
    <t>2.80×1232×C</t>
  </si>
  <si>
    <t>1251121918111</t>
  </si>
  <si>
    <t>Thép cuộn cán nóng 2.80x123X SAE1006</t>
  </si>
  <si>
    <t>1251121918104</t>
  </si>
  <si>
    <t>Thép cuộn cán nóng 2.50x123X SAE1006 II</t>
  </si>
  <si>
    <t>1251121918098</t>
  </si>
  <si>
    <t>Thép cuộn cán nóng 2.50x123X SAE1006</t>
  </si>
  <si>
    <t>1251121918081</t>
  </si>
  <si>
    <t>Thép cuộn cán nóng 2.25x123X SAE1006 II</t>
  </si>
  <si>
    <t>2.25×1232×C</t>
  </si>
  <si>
    <t>1251121918074</t>
  </si>
  <si>
    <t>Thép cuộn cán nóng 2.25x123X SAE1006</t>
  </si>
  <si>
    <t>1251121918067</t>
  </si>
  <si>
    <t>Thép cuộn cán nóng 2.50x101Y SAE1006 II</t>
  </si>
  <si>
    <t>2.50×1017×C</t>
  </si>
  <si>
    <t>1251121918050</t>
  </si>
  <si>
    <t>Thép cuộn cán nóng 2.50x101Y SAE1006</t>
  </si>
  <si>
    <t>1251121918043</t>
  </si>
  <si>
    <t>Thép cuộn cán nóng 2.00x101Y SAE1006 II</t>
  </si>
  <si>
    <t>2.00×1017×C</t>
  </si>
  <si>
    <t>1251121918036</t>
  </si>
  <si>
    <t>Thép cuộn cán nóng 2.00x101Y SAE1006</t>
  </si>
  <si>
    <t>1251121918029</t>
  </si>
  <si>
    <t>Thép cuộn cán nóng 2.50x125X SAE1006 II</t>
  </si>
  <si>
    <t>1251121918012</t>
  </si>
  <si>
    <t>Thép cuộn cán nóng 2.50x125X SAE1006</t>
  </si>
  <si>
    <t>1251121918005</t>
  </si>
  <si>
    <t>Thép cuộn cán nóng 2.30x125X SAE1006 II</t>
  </si>
  <si>
    <t>1251121917992</t>
  </si>
  <si>
    <t>Thép cuộn cán nóng 2.30x125X SAE1006</t>
  </si>
  <si>
    <t>1251121917985</t>
  </si>
  <si>
    <t>Thép cuộn cán nóng 2.00x125X SAE1006 II</t>
  </si>
  <si>
    <t>1251121917978</t>
  </si>
  <si>
    <t>Thép cuộn cán nóng 2.00x125X SAE1006</t>
  </si>
  <si>
    <t>1251121917961</t>
  </si>
  <si>
    <t>Thép cuộn cán nóng 2.87x120X SAE1006 II</t>
  </si>
  <si>
    <t>1251121917954</t>
  </si>
  <si>
    <t>Thép cuộn cán nóng 2.87x120X SAE1006</t>
  </si>
  <si>
    <t>1251121917947</t>
  </si>
  <si>
    <t>Thép cuộn cán nóng 3.20x120X SAE1006 II</t>
  </si>
  <si>
    <t>1251121917930</t>
  </si>
  <si>
    <t>Thép cuộn cán nóng 3.20x120X SAE1006</t>
  </si>
  <si>
    <t>1251121917923</t>
  </si>
  <si>
    <t>Thép cuộn cán nóng 2.80x116X SAE1006 II</t>
  </si>
  <si>
    <t>2.80×1162×C</t>
  </si>
  <si>
    <t>1251121917916</t>
  </si>
  <si>
    <t>Thép cuộn cán nóng 2.80x116X SAE1006</t>
  </si>
  <si>
    <t>1251121917909</t>
  </si>
  <si>
    <t>Thép cuộn cán nóng 3.80x120X SAE1006 II</t>
  </si>
  <si>
    <t>3.80×1202×C</t>
  </si>
  <si>
    <t>1251121917893</t>
  </si>
  <si>
    <t>Thép cuộn cán nóng 3.80x120X SAE1006</t>
  </si>
  <si>
    <t>1251121917886</t>
  </si>
  <si>
    <t>Thép cuộn cán nóng 3.00x120X SAE1006 II</t>
  </si>
  <si>
    <t>1251121917879</t>
  </si>
  <si>
    <t>Thép cuộn cán nóng 3.00x120X SAE1006</t>
  </si>
  <si>
    <t>1251121917862</t>
  </si>
  <si>
    <t>Thép cuộn cán nóng 2.50x120X SAE1006 II</t>
  </si>
  <si>
    <t>1251121917855</t>
  </si>
  <si>
    <t>Thép cuộn cán nóng 2.50x120X SAE1006</t>
  </si>
  <si>
    <t>1251121917848</t>
  </si>
  <si>
    <t>Thép cuộn cán nóng 2.20x123Y SAE1006 II</t>
  </si>
  <si>
    <t>2.20×1237×C</t>
  </si>
  <si>
    <t>1251121917831</t>
  </si>
  <si>
    <t>Thép cuộn cán nóng 2.20x123Y SAE1006</t>
  </si>
  <si>
    <t>1251121917824</t>
  </si>
  <si>
    <t>Thép cuộn cán nóng 2.00x123Y SAE1006 II</t>
  </si>
  <si>
    <t>1251121917817</t>
  </si>
  <si>
    <t>Thép cuộn cán nóng 2.00x123Y SAE1006</t>
  </si>
  <si>
    <t>1251121917800</t>
  </si>
  <si>
    <t>Thép cuộn cán nóng 2.45x123X SAE1006 II</t>
  </si>
  <si>
    <t>1251121917794</t>
  </si>
  <si>
    <t>Thép cuộn cán nóng 2.45x123X SAE1006</t>
  </si>
  <si>
    <t>1251121917787</t>
  </si>
  <si>
    <t>Thép cuộn cán nóng 2.20x123X SAE1006 II</t>
  </si>
  <si>
    <t>2.20×1232×C</t>
  </si>
  <si>
    <t>1251121917770</t>
  </si>
  <si>
    <t>Thép cuộn cán nóng 2.20x123X SAE1006</t>
  </si>
  <si>
    <t>1251121917763</t>
  </si>
  <si>
    <t>Thép cuộn cán nóng 2.00x123X SAE1006 II</t>
  </si>
  <si>
    <t>1251121917756</t>
  </si>
  <si>
    <t>Thép cuộn cán nóng 2.00x123X SAE1006</t>
  </si>
  <si>
    <t>1251121917749</t>
  </si>
  <si>
    <t>Thép cuộn cán nóng 2.45x121X SAE1006 II</t>
  </si>
  <si>
    <t>1251121917732</t>
  </si>
  <si>
    <t>Thép cuộn cán nóng 2.45x121X SAE1006</t>
  </si>
  <si>
    <t>1251121917725</t>
  </si>
  <si>
    <t>Thép cuộn cán nóng 4.76x121Y ASTM A36 II</t>
  </si>
  <si>
    <t>1251121917718</t>
  </si>
  <si>
    <t>Thép cuộn cán nóng 4.76x121Y ASTM A36</t>
  </si>
  <si>
    <t>1251121917701</t>
  </si>
  <si>
    <t>Thép cuộn cán nóng 6.35x121Y ASTM A36 II</t>
  </si>
  <si>
    <t>6.35×1217×C</t>
  </si>
  <si>
    <t>1251121917695</t>
  </si>
  <si>
    <t>Thép cuộn cán nóng 6.35x121Y ASTM A36</t>
  </si>
  <si>
    <t>1251121917688</t>
  </si>
  <si>
    <t>Thép cuộn cán nóng 3.20x121Y SAE1006 II</t>
  </si>
  <si>
    <t>1251121917671</t>
  </si>
  <si>
    <t>Thép cuộn cán nóng 3.20x121Y SAE1006</t>
  </si>
  <si>
    <t>1251121917664</t>
  </si>
  <si>
    <t>Thép cuộn cán nóng 2.30x123X SAE1006 II</t>
  </si>
  <si>
    <t>1251121917657</t>
  </si>
  <si>
    <t>Thép cuộn cán nóng 2.30x123X SAE1006</t>
  </si>
  <si>
    <t>1251121917640</t>
  </si>
  <si>
    <t>Thép cuộn cán nóng 2.50x121X SAE1006 II</t>
  </si>
  <si>
    <t>2.50×1212×C</t>
  </si>
  <si>
    <t>1251121917633</t>
  </si>
  <si>
    <t>Thép cuộn cán nóng 2.50x121X SAE1006</t>
  </si>
  <si>
    <t>1251121917626</t>
  </si>
  <si>
    <t>Thép cuộn cán nóng 2.25x121X SAE1006 II</t>
  </si>
  <si>
    <t>2.25×1212×C</t>
  </si>
  <si>
    <t>1251121917619</t>
  </si>
  <si>
    <t>Thép cuộn cán nóng 2.25x121X SAE1006</t>
  </si>
  <si>
    <t>1251121917602</t>
  </si>
  <si>
    <t>Thép cuộn cán nóng 5.70x121X S275JR II</t>
  </si>
  <si>
    <t>1251121917596</t>
  </si>
  <si>
    <t>Thép cuộn cán nóng 5.70x121X S275JR</t>
  </si>
  <si>
    <t>1251121917589</t>
  </si>
  <si>
    <t>Thép cuộn cán nóng 5.80x121Y S275JR II</t>
  </si>
  <si>
    <t>1251121917572</t>
  </si>
  <si>
    <t>Thép cuộn cán nóng 5.80x121Y S275JR</t>
  </si>
  <si>
    <t>1251121917565</t>
  </si>
  <si>
    <t>Thép cuộn cán nóng 11.80x121X S275JR II</t>
  </si>
  <si>
    <t>11.80×1212×C</t>
  </si>
  <si>
    <t>1251121917558</t>
  </si>
  <si>
    <t>Thép cuộn cán nóng 11.80x121X S275JR</t>
  </si>
  <si>
    <t>1251121917541</t>
  </si>
  <si>
    <t>Thép cuộn cán nóng 9.80x121X S275JR II</t>
  </si>
  <si>
    <t>9.80×1212×C</t>
  </si>
  <si>
    <t>1251121917534</t>
  </si>
  <si>
    <t>Thép cuộn cán nóng 9.80x121X S275JR</t>
  </si>
  <si>
    <t>1251121917527</t>
  </si>
  <si>
    <t>Thép cuộn cán nóng 5.80x121X S275JR II</t>
  </si>
  <si>
    <t>1251121917510</t>
  </si>
  <si>
    <t>Thép cuộn cán nóng 5.80x121X S275JR</t>
  </si>
  <si>
    <t>1251121917503</t>
  </si>
  <si>
    <t>Thép cuộn cán nóng 5.70x121Y S275JR II</t>
  </si>
  <si>
    <t>5.70×1217×C</t>
  </si>
  <si>
    <t>1251121917497</t>
  </si>
  <si>
    <t>Thép cuộn cán nóng 5.70x121Y S275JR</t>
  </si>
  <si>
    <t>1251121917480</t>
  </si>
  <si>
    <t>Thép cuộn cán nóng 11.60x121Y S275JR II</t>
  </si>
  <si>
    <t>11.60×1217×C</t>
  </si>
  <si>
    <t>1251121917473</t>
  </si>
  <si>
    <t>Thép cuộn cán nóng 11.60x121Y S275JR</t>
  </si>
  <si>
    <t>1251121917466</t>
  </si>
  <si>
    <t>Thép cuộn cán nóng 8.60x121Y S275JR II</t>
  </si>
  <si>
    <t>1251121917459</t>
  </si>
  <si>
    <t>Thép cuộn cán nóng 8.60x121Y S275JR</t>
  </si>
  <si>
    <t>1251121917442</t>
  </si>
  <si>
    <t>Thép cuộn cán nóng 4.25x121Y S275JR II</t>
  </si>
  <si>
    <t>4.25×1217×C</t>
  </si>
  <si>
    <t>1251121917435</t>
  </si>
  <si>
    <t>Thép cuộn cán nóng 4.25x121Y S275JR</t>
  </si>
  <si>
    <t>1251121917428</t>
  </si>
  <si>
    <t>Thép cuộn cán nóng 3.75x121Y S275JR II</t>
  </si>
  <si>
    <t>1251121917411</t>
  </si>
  <si>
    <t>Thép cuộn cán nóng 3.75x121Y S275JR</t>
  </si>
  <si>
    <t>1251121917404</t>
  </si>
  <si>
    <t>Thép cuộn cán nóng 2.45x121Y S275JR II</t>
  </si>
  <si>
    <t>1251121917398</t>
  </si>
  <si>
    <t>Thép cuộn cán nóng 2.45x121Y S275JR</t>
  </si>
  <si>
    <t>1251121917381</t>
  </si>
  <si>
    <t>Thép cuộn cán nóng 11.70x121Y S275JR II</t>
  </si>
  <si>
    <t>11.70×1217×C</t>
  </si>
  <si>
    <t>1251121917374</t>
  </si>
  <si>
    <t>Thép cuộn cán nóng 11.70x121Y S275JR</t>
  </si>
  <si>
    <t>1251121917367</t>
  </si>
  <si>
    <t>Thép cuộn cán nóng 5.60x121Y S275JR II</t>
  </si>
  <si>
    <t>5.60×1217×C</t>
  </si>
  <si>
    <t>1251121917350</t>
  </si>
  <si>
    <t>Thép cuộn cán nóng 5.60x121Y S275JR</t>
  </si>
  <si>
    <t>1251121917343</t>
  </si>
  <si>
    <t>Thép cuộn cán nóng 4.70x121Y S275JR II</t>
  </si>
  <si>
    <t>1251121917336</t>
  </si>
  <si>
    <t>Thép cuộn cán nóng 4.70x121Y S275JR</t>
  </si>
  <si>
    <t>1251121917329</t>
  </si>
  <si>
    <t>Thép cuộn cán nóng 2.88x121Y S275JR II</t>
  </si>
  <si>
    <t>2.88×1217×C</t>
  </si>
  <si>
    <t>1251121917312</t>
  </si>
  <si>
    <t>Thép cuộn cán nóng 2.88x121Y S275JR</t>
  </si>
  <si>
    <t>1251121917305</t>
  </si>
  <si>
    <t>Thép cuộn cán nóng 2.70x121Y S275JR II</t>
  </si>
  <si>
    <t>1251121917299</t>
  </si>
  <si>
    <t>Thép cuộn cán nóng 2.70x121Y S275JR</t>
  </si>
  <si>
    <t>1251121917282</t>
  </si>
  <si>
    <t>Thép cuộn cán nóng 2.00x121Y S275JR II</t>
  </si>
  <si>
    <t>1251121917275</t>
  </si>
  <si>
    <t>Thép cuộn cán nóng 2.00x121Y S275JR</t>
  </si>
  <si>
    <t>1251121917268</t>
  </si>
  <si>
    <t>Thép cuộn cán nóng 11.80x121Y S275JR II</t>
  </si>
  <si>
    <t>11.80×1217×C</t>
  </si>
  <si>
    <t>1251121917251</t>
  </si>
  <si>
    <t>Thép cuộn cán nóng 11.80x121Y S275JR</t>
  </si>
  <si>
    <t>1251121917244</t>
  </si>
  <si>
    <t>Thép cuộn cán nóng 8.80x121Y S275JR II</t>
  </si>
  <si>
    <t>8.80×1217×C</t>
  </si>
  <si>
    <t>1251121917237</t>
  </si>
  <si>
    <t>Thép cuộn cán nóng 8.80x121Y S275JR</t>
  </si>
  <si>
    <t>1251121917220</t>
  </si>
  <si>
    <t>Thép cuộn cán nóng 7.80x121Y S275JR II</t>
  </si>
  <si>
    <t>7.80×1217×C</t>
  </si>
  <si>
    <t>1251121917213</t>
  </si>
  <si>
    <t>Thép cuộn cán nóng 7.80x121Y S275JR</t>
  </si>
  <si>
    <t>1251121917206</t>
  </si>
  <si>
    <t>Thép cuộn cán nóng 2.78x121Y SS400 II</t>
  </si>
  <si>
    <t>1251121917190</t>
  </si>
  <si>
    <t>Thép cuộn cán nóng 2.78x121Y SS400</t>
  </si>
  <si>
    <t>1251121917183</t>
  </si>
  <si>
    <t>Thép cuộn cán nóng 2.35x121Y SS400 II</t>
  </si>
  <si>
    <t>1251121917176</t>
  </si>
  <si>
    <t>Thép cuộn cán nóng 2.35x121Y SS400</t>
  </si>
  <si>
    <t>1251121917169</t>
  </si>
  <si>
    <t>Thép cuộn cán nóng 3.30x121Y S275JR II</t>
  </si>
  <si>
    <t>1251121917152</t>
  </si>
  <si>
    <t>Thép cuộn cán nóng 3.30x121Y S275JR</t>
  </si>
  <si>
    <t>1251121917145</t>
  </si>
  <si>
    <t>Thép cuộn cán nóng 2.78x121Y S275JR II</t>
  </si>
  <si>
    <t>1251121917138</t>
  </si>
  <si>
    <t>Thép cuộn cán nóng 2.78x121Y S275JR</t>
  </si>
  <si>
    <t>1251121917121</t>
  </si>
  <si>
    <t>Thép cuộn cán nóng 2.35x121Y S275JR II</t>
  </si>
  <si>
    <t>1251121917114</t>
  </si>
  <si>
    <t>Thép cuộn cán nóng 2.35x121Y S275JR</t>
  </si>
  <si>
    <t>1251121917107</t>
  </si>
  <si>
    <t>Thép cuộn cán nóng 2.55x122Y S275JR II</t>
  </si>
  <si>
    <t>2.55×1227×C</t>
  </si>
  <si>
    <t>1251121917091</t>
  </si>
  <si>
    <t>Thép cuộn cán nóng 2.55x122Y S275JR</t>
  </si>
  <si>
    <t>1251121917084</t>
  </si>
  <si>
    <t>Thép cuộn cán nóng 2.30x122Y S275JR II</t>
  </si>
  <si>
    <t>1251121917077</t>
  </si>
  <si>
    <t>Thép cuộn cán nóng 2.30x122Y S275JR</t>
  </si>
  <si>
    <t>1251121917060</t>
  </si>
  <si>
    <t>Thép cuộn cán nóng 2.20x122Y S275JR II</t>
  </si>
  <si>
    <t>2.20×1227×C</t>
  </si>
  <si>
    <t>1251121917053</t>
  </si>
  <si>
    <t>Thép cuộn cán nóng 2.20x122Y S275JR</t>
  </si>
  <si>
    <t>1251121917046</t>
  </si>
  <si>
    <t>Thép cuộn cán nóng 2.10x122Y S275JR II</t>
  </si>
  <si>
    <t>2.10×1227×C</t>
  </si>
  <si>
    <t>1251121917039</t>
  </si>
  <si>
    <t>Thép cuộn cán nóng 2.10x122Y S275JR</t>
  </si>
  <si>
    <t>1251121917022</t>
  </si>
  <si>
    <t>Thép cuộn cán nóng 2.05x122Y S275JR II</t>
  </si>
  <si>
    <t>2.05×1227×C</t>
  </si>
  <si>
    <t>1251121917015</t>
  </si>
  <si>
    <t>Thép cuộn cán nóng 2.05x122Y S275JR</t>
  </si>
  <si>
    <t>1251121917008</t>
  </si>
  <si>
    <t>Thép cuộn cán nóng 6.00x147X SS400 II</t>
  </si>
  <si>
    <t>6.00×1472×C</t>
  </si>
  <si>
    <t>1251121916995</t>
  </si>
  <si>
    <t>Thép cuộn cán nóng 6.00x147X SS400</t>
  </si>
  <si>
    <t>1251121916988</t>
  </si>
  <si>
    <t>Thép cuộn cán nóng 5.40x147X SS400 II</t>
  </si>
  <si>
    <t>5.40×1472×C</t>
  </si>
  <si>
    <t>1251121916971</t>
  </si>
  <si>
    <t>Thép cuộn cán nóng 5.40x147X SS400</t>
  </si>
  <si>
    <t>1251121916964</t>
  </si>
  <si>
    <t>Thép cuộn cán nóng 4.90x147X SS400 II</t>
  </si>
  <si>
    <t>4.90×1472×C</t>
  </si>
  <si>
    <t>1251121916957</t>
  </si>
  <si>
    <t>Thép cuộn cán nóng 4.90x147X SS400</t>
  </si>
  <si>
    <t>1251121916940</t>
  </si>
  <si>
    <t>Thép cuộn cán nóng 3.90x131X SS400 II</t>
  </si>
  <si>
    <t>3.90×1312×C</t>
  </si>
  <si>
    <t>1251121916933</t>
  </si>
  <si>
    <t>Thép cuộn cán nóng 3.90x131X SS400</t>
  </si>
  <si>
    <t>1251121916926</t>
  </si>
  <si>
    <t>Thép cuộn cán nóng 3.80x131X SS400 II</t>
  </si>
  <si>
    <t>3.80×1312×C</t>
  </si>
  <si>
    <t>1251121916919</t>
  </si>
  <si>
    <t>Thép cuộn cán nóng 3.80x131X SS400</t>
  </si>
  <si>
    <t>1251121916902</t>
  </si>
  <si>
    <t>Thép cuộn cán nóng 4.35x150X SS400 II</t>
  </si>
  <si>
    <t>4.35×1502×C</t>
  </si>
  <si>
    <t>1251121916896</t>
  </si>
  <si>
    <t>Thép cuộn cán nóng 4.35x150X SS400</t>
  </si>
  <si>
    <t>1251121916889</t>
  </si>
  <si>
    <t>Thép cuộn cán nóng 4.35x131X SS400 II</t>
  </si>
  <si>
    <t>4.35×1312×C</t>
  </si>
  <si>
    <t>1251121916872</t>
  </si>
  <si>
    <t>Thép cuộn cán nóng 4.35x131X SS400</t>
  </si>
  <si>
    <t>1251121916865</t>
  </si>
  <si>
    <t>Thép cuộn cán nóng 9.00x150X SS400 II</t>
  </si>
  <si>
    <t>9.00×1502×C</t>
  </si>
  <si>
    <t>1251121916858</t>
  </si>
  <si>
    <t>Thép cuộn cán nóng 9.00x150X SS400</t>
  </si>
  <si>
    <t>1251121916841</t>
  </si>
  <si>
    <t>Thép cuộn cán nóng 6.00x150X SS400 II</t>
  </si>
  <si>
    <t>1251121916834</t>
  </si>
  <si>
    <t>Thép cuộn cán nóng 6.00x150X SS400</t>
  </si>
  <si>
    <t>1251121916827</t>
  </si>
  <si>
    <t>Thép cuộn cán nóng 2.50x146X S275JR II</t>
  </si>
  <si>
    <t>1251121916810</t>
  </si>
  <si>
    <t>Thép cuộn cán nóng 2.50x146X S275JR</t>
  </si>
  <si>
    <t>1251121916803</t>
  </si>
  <si>
    <t>Thép cuộn cán nóng 8.70x151Y S275JR II</t>
  </si>
  <si>
    <t>8.70×1517×C</t>
  </si>
  <si>
    <t>1251121916797</t>
  </si>
  <si>
    <t>Thép cuộn cán nóng 8.70x151Y S275JR</t>
  </si>
  <si>
    <t>1251121916780</t>
  </si>
  <si>
    <t>Thép cuộn cán nóng 7.85x151Y S275JR II</t>
  </si>
  <si>
    <t>7.85×1517×C</t>
  </si>
  <si>
    <t>1251121916773</t>
  </si>
  <si>
    <t>Thép cuộn cán nóng 7.85x151Y S275JR</t>
  </si>
  <si>
    <t>1251121916766</t>
  </si>
  <si>
    <t>Thép cuộn cán nóng 5.85x151Y S275JR II</t>
  </si>
  <si>
    <t>5.85×1517×C</t>
  </si>
  <si>
    <t>1251121916759</t>
  </si>
  <si>
    <t>Thép cuộn cán nóng 5.85x151Y S275JR</t>
  </si>
  <si>
    <t>1251121916742</t>
  </si>
  <si>
    <t>Thép cuộn cán nóng 4.85x151Y S275JR II</t>
  </si>
  <si>
    <t>4.85×1517×C</t>
  </si>
  <si>
    <t>1251121916735</t>
  </si>
  <si>
    <t>Thép cuộn cán nóng 4.85x151Y S275JR</t>
  </si>
  <si>
    <t>1251121916728</t>
  </si>
  <si>
    <t>Thép cuộn cán nóng 4.40x151Y S275JR II</t>
  </si>
  <si>
    <t>1251121916711</t>
  </si>
  <si>
    <t>Thép cuộn cán nóng 4.40x151Y S275JR</t>
  </si>
  <si>
    <t>1251121916704</t>
  </si>
  <si>
    <t>Thép cuộn cán nóng 5.70x151Y S275JR II</t>
  </si>
  <si>
    <t>5.70×1517×C</t>
  </si>
  <si>
    <t>1251121916698</t>
  </si>
  <si>
    <t>Thép cuộn cán nóng 5.70x151Y S275JR</t>
  </si>
  <si>
    <t>1251121916681</t>
  </si>
  <si>
    <t>Thép cuộn cán nóng 4.70x151Y S275JR II</t>
  </si>
  <si>
    <t>4.70×1517×C</t>
  </si>
  <si>
    <t>1251121916674</t>
  </si>
  <si>
    <t>Thép cuộn cán nóng 4.70x151Y S275JR</t>
  </si>
  <si>
    <t>1251121916667</t>
  </si>
  <si>
    <t>Thép cuộn cán nóng 4.30x151Y S275JR II</t>
  </si>
  <si>
    <t>4.30×1517×C</t>
  </si>
  <si>
    <t>1251121916650</t>
  </si>
  <si>
    <t>Thép cuộn cán nóng 4.30x151Y S275JR</t>
  </si>
  <si>
    <t>1251121916643</t>
  </si>
  <si>
    <t>Thép cuộn cán nóng 3.70x151Y S275JR II</t>
  </si>
  <si>
    <t>3.70×1517×C</t>
  </si>
  <si>
    <t>1251121916636</t>
  </si>
  <si>
    <t>Thép cuộn cán nóng 3.70x151Y S275JR</t>
  </si>
  <si>
    <t>1251121916629</t>
  </si>
  <si>
    <t>Thép cuộn cán nóng 9.80x152X S275JR II</t>
  </si>
  <si>
    <t>9.80×1522×C</t>
  </si>
  <si>
    <t>1251121916612</t>
  </si>
  <si>
    <t>Thép cuộn cán nóng 9.80x152X S275JR</t>
  </si>
  <si>
    <t>1251121916605</t>
  </si>
  <si>
    <t>Thép cuộn cán nóng 7.85x152X S275JR II</t>
  </si>
  <si>
    <t>7.85×1522×C</t>
  </si>
  <si>
    <t>1251121916599</t>
  </si>
  <si>
    <t>Thép cuộn cán nóng 7.85x152X S275JR</t>
  </si>
  <si>
    <t>1251121916582</t>
  </si>
  <si>
    <t>Thép cuộn cán nóng 5.85x152X S275JR II</t>
  </si>
  <si>
    <t>1251121916575</t>
  </si>
  <si>
    <t>Thép cuộn cán nóng 5.85x152X S275JR</t>
  </si>
  <si>
    <t>1251121916568</t>
  </si>
  <si>
    <t>Thép cuộn cán nóng 5.75x152X S275JR II</t>
  </si>
  <si>
    <t>5.75×1522×C</t>
  </si>
  <si>
    <t>1251121916551</t>
  </si>
  <si>
    <t>Thép cuộn cán nóng 5.75x152X S275JR</t>
  </si>
  <si>
    <t>1251121916544</t>
  </si>
  <si>
    <t>Thép cuộn cán nóng 4.85x152X S275JR II</t>
  </si>
  <si>
    <t>4.85×1522×C</t>
  </si>
  <si>
    <t>1251121916537</t>
  </si>
  <si>
    <t>Thép cuộn cán nóng 4.85x152X S275JR</t>
  </si>
  <si>
    <t>1251121916520</t>
  </si>
  <si>
    <t>Thép cuộn cán nóng 4.40x152X S275JR II</t>
  </si>
  <si>
    <t>4.40×1522×C</t>
  </si>
  <si>
    <t>1251121916513</t>
  </si>
  <si>
    <t>Thép cuộn cán nóng 4.40x152X S275JR</t>
  </si>
  <si>
    <t>1251121916506</t>
  </si>
  <si>
    <t>Thép cuộn cán nóng 4.30x152X S275JR II</t>
  </si>
  <si>
    <t>1251121916490</t>
  </si>
  <si>
    <t>Thép cuộn cán nóng 4.30x152X S275JR</t>
  </si>
  <si>
    <t>1251121916483</t>
  </si>
  <si>
    <t>Thép cuộn cán nóng 11.70x152X S275JR II</t>
  </si>
  <si>
    <t>11.70×1522×C</t>
  </si>
  <si>
    <t>1251121916476</t>
  </si>
  <si>
    <t>Thép cuộn cán nóng 11.70x152X S275JR</t>
  </si>
  <si>
    <t>1251121916469</t>
  </si>
  <si>
    <t>Thép cuộn cán nóng 7.70x152X S275JR II</t>
  </si>
  <si>
    <t>7.70×1522×C</t>
  </si>
  <si>
    <t>1251121916452</t>
  </si>
  <si>
    <t>Thép cuộn cán nóng 7.70x152X S275JR</t>
  </si>
  <si>
    <t>1251121916445</t>
  </si>
  <si>
    <t>Thép cuộn cán nóng 5.80x152X S275JR II</t>
  </si>
  <si>
    <t>1251121916438</t>
  </si>
  <si>
    <t>Thép cuộn cán nóng 5.80x152X S275JR</t>
  </si>
  <si>
    <t>1251121916421</t>
  </si>
  <si>
    <t>Thép cuộn cán nóng 5.60x152X S275JR II</t>
  </si>
  <si>
    <t>1251121916414</t>
  </si>
  <si>
    <t>Thép cuộn cán nóng 5.60x152X S275JR</t>
  </si>
  <si>
    <t>1251121916407</t>
  </si>
  <si>
    <t>Thép cuộn cán nóng 4.25x152X S275JR II</t>
  </si>
  <si>
    <t>1251121916391</t>
  </si>
  <si>
    <t>Thép cuộn cán nóng 4.25x152X S275JR</t>
  </si>
  <si>
    <t>1251121916384</t>
  </si>
  <si>
    <t>Thép cuộn cán nóng 3.75x152X S275JR II</t>
  </si>
  <si>
    <t>1251121916377</t>
  </si>
  <si>
    <t>Thép cuộn cán nóng 3.75x152X S275JR</t>
  </si>
  <si>
    <t>1251121916360</t>
  </si>
  <si>
    <t>Thép cuộn cán nóng 2.90x152X S275JR II</t>
  </si>
  <si>
    <t>1251121916353</t>
  </si>
  <si>
    <t>Thép cuộn cán nóng 2.90x152X S275JR</t>
  </si>
  <si>
    <t>1251121916346</t>
  </si>
  <si>
    <t>Thép cuộn cán nóng 8.70x152X S275JR II</t>
  </si>
  <si>
    <t>8.70×1522×C</t>
  </si>
  <si>
    <t>1251121916339</t>
  </si>
  <si>
    <t>Thép cuộn cán nóng 8.70x152X S275JR</t>
  </si>
  <si>
    <t>1251121916322</t>
  </si>
  <si>
    <t>Thép cuộn cán nóng 11.80x152X S275JR II</t>
  </si>
  <si>
    <t>11.80×1522×C</t>
  </si>
  <si>
    <t>1251121916315</t>
  </si>
  <si>
    <t>Thép cuộn cán nóng 11.80x152X S275JR</t>
  </si>
  <si>
    <t>1251121916308</t>
  </si>
  <si>
    <t>Thép cuộn cán nóng 8.80x152X S275JR II</t>
  </si>
  <si>
    <t>8.80×1522×C</t>
  </si>
  <si>
    <t>1251121916292</t>
  </si>
  <si>
    <t>Thép cuộn cán nóng 8.80x152X S275JR</t>
  </si>
  <si>
    <t>1251121916285</t>
  </si>
  <si>
    <t>Thép cuộn cán nóng 7.80x152X S275JR II</t>
  </si>
  <si>
    <t>7.80×1522×C</t>
  </si>
  <si>
    <t>1251121916278</t>
  </si>
  <si>
    <t>Thép cuộn cán nóng 7.80x152X S275JR</t>
  </si>
  <si>
    <t>1251121916261</t>
  </si>
  <si>
    <t>Thép cuộn cán nóng 2.00x121Y SAE1006 II</t>
  </si>
  <si>
    <t>1251121916254</t>
  </si>
  <si>
    <t>Thép cuộn cán nóng 2.00x121Y SAE1006</t>
  </si>
  <si>
    <t>1251121916247</t>
  </si>
  <si>
    <t>Thép cuộn cán nóng 2.00x121X SAE1006 II</t>
  </si>
  <si>
    <t>1251121916230</t>
  </si>
  <si>
    <t>Thép cuộn cán nóng 2.00x121X SAE1006</t>
  </si>
  <si>
    <t>1251121916223</t>
  </si>
  <si>
    <t>Thép cuộn cán nóng 2.20x121Y SAE1006 II</t>
  </si>
  <si>
    <t>2.20×1217×C</t>
  </si>
  <si>
    <t>1251121916216</t>
  </si>
  <si>
    <t>Thép cuộn cán nóng 2.20x121Y SAE1006</t>
  </si>
  <si>
    <t>1251121916209</t>
  </si>
  <si>
    <t>Thép cuộn cán nóng 2.30x121X SAE1006 II</t>
  </si>
  <si>
    <t>2.30×1212×C</t>
  </si>
  <si>
    <t>1251121916193</t>
  </si>
  <si>
    <t>Thép cuộn cán nóng 2.30x121X SAE1006</t>
  </si>
  <si>
    <t>1251121916186</t>
  </si>
  <si>
    <t>Thép cuộn cán nóng 2.20x102X SAE1006 II</t>
  </si>
  <si>
    <t>2.20×1022×C</t>
  </si>
  <si>
    <t>1251121916179</t>
  </si>
  <si>
    <t>Thép cuộn cán nóng 2.20x102X SAE1006</t>
  </si>
  <si>
    <t>1251121916162</t>
  </si>
  <si>
    <t>Thép cuộn cán nóng 2.40x102X SAE1006 II</t>
  </si>
  <si>
    <t>2.40×1022×C</t>
  </si>
  <si>
    <t>1251121916155</t>
  </si>
  <si>
    <t>Thép cuộn cán nóng 2.40x102X SAE1006</t>
  </si>
  <si>
    <t>1251121916148</t>
  </si>
  <si>
    <t>Thép cuộn cán nóng 2.10x102X SAE1006 II</t>
  </si>
  <si>
    <t>2.10×1022×C</t>
  </si>
  <si>
    <t>1251121916131</t>
  </si>
  <si>
    <t>Thép cuộn cán nóng 2.10x102X SAE1006</t>
  </si>
  <si>
    <t>1251121916124</t>
  </si>
  <si>
    <t>Thép cuộn cán nóng 2.05x102X SAE1006 II</t>
  </si>
  <si>
    <t>2.05×1022×C</t>
  </si>
  <si>
    <t>1251121916117</t>
  </si>
  <si>
    <t>Thép cuộn cán nóng 2.05x102X SAE1006</t>
  </si>
  <si>
    <t>1251121916100</t>
  </si>
  <si>
    <t>Thép cuộn cán nóng 3.96x122Y SAE1006 II</t>
  </si>
  <si>
    <t>3.96×1227×C</t>
  </si>
  <si>
    <t>1251121916094</t>
  </si>
  <si>
    <t>Thép cuộn cán nóng 3.96x122Y SAE1006</t>
  </si>
  <si>
    <t>1251121916087</t>
  </si>
  <si>
    <t>Thép cuộn cán nóng 3.18x122Y SAE1006 II</t>
  </si>
  <si>
    <t>3.18×1227×C</t>
  </si>
  <si>
    <t>1251121916070</t>
  </si>
  <si>
    <t>Thép cuộn cán nóng 3.18x122Y SAE1006</t>
  </si>
  <si>
    <t>1251121916063</t>
  </si>
  <si>
    <t>Thép cuộn cán nóng 3.05x122Y SAE1006 II</t>
  </si>
  <si>
    <t>3.05×1227×C</t>
  </si>
  <si>
    <t>1251121916056</t>
  </si>
  <si>
    <t>Thép cuộn cán nóng 3.05x122Y SAE1006</t>
  </si>
  <si>
    <t>1251121916049</t>
  </si>
  <si>
    <t>Thép cuộn cán nóng 2.55x122Y SAE1006 II</t>
  </si>
  <si>
    <t>1251121916032</t>
  </si>
  <si>
    <t>Thép cuộn cán nóng 2.55x122Y SAE1006</t>
  </si>
  <si>
    <t>1251121916025</t>
  </si>
  <si>
    <t>Thép cuộn cán nóng 2.30x122Y SAE1006 II</t>
  </si>
  <si>
    <t>1251121916018</t>
  </si>
  <si>
    <t>Thép cuộn cán nóng 2.30x122Y SAE1006</t>
  </si>
  <si>
    <t>1251121916001</t>
  </si>
  <si>
    <t>Thép cuộn cán nóng 2.20x122Y SAE1006 II</t>
  </si>
  <si>
    <t>1251121915998</t>
  </si>
  <si>
    <t>Thép cuộn cán nóng 2.20x122Y SAE1006</t>
  </si>
  <si>
    <t>1251121915981</t>
  </si>
  <si>
    <t>Thép cuộn cán nóng 2.40x121X SAE1006 II</t>
  </si>
  <si>
    <t>2.40×1212×C</t>
  </si>
  <si>
    <t>1251121915974</t>
  </si>
  <si>
    <t>Thép cuộn cán nóng 2.40x121X SAE1006</t>
  </si>
  <si>
    <t>1251121915967</t>
  </si>
  <si>
    <t>Thép cuộn cán nóng 2.20x121X SAE1006 II</t>
  </si>
  <si>
    <t>2.20×1212×C</t>
  </si>
  <si>
    <t>1251121915950</t>
  </si>
  <si>
    <t>Thép cuộn cán nóng 2.20x121X SAE1006</t>
  </si>
  <si>
    <t>1251121915943</t>
  </si>
  <si>
    <t>Thép cuộn cán nóng 2.05x121X SAE1006 II</t>
  </si>
  <si>
    <t>2.05×1212×C</t>
  </si>
  <si>
    <t>1251121915936</t>
  </si>
  <si>
    <t>Thép cuộn cán nóng 2.05x121X SAE1006</t>
  </si>
  <si>
    <t>1251121915929</t>
  </si>
  <si>
    <t>Thép cuộn cán nóng 2.05x122Y SAE1006 II</t>
  </si>
  <si>
    <t>1251121915912</t>
  </si>
  <si>
    <t>Thép cuộn cán nóng 2.05x122Y SAE1006</t>
  </si>
  <si>
    <t>1251121915905</t>
  </si>
  <si>
    <t>Thép cuộn cán nóng 1.73x122Y SAE1006 II</t>
  </si>
  <si>
    <t>1.73×1227×C</t>
  </si>
  <si>
    <t>1251121915899</t>
  </si>
  <si>
    <t>Thép cuộn cán nóng 1.73x122Y SAE1006</t>
  </si>
  <si>
    <t>1251121915882</t>
  </si>
  <si>
    <t>Thép cuộn cán nóng 1.65x122Y SAE1006 II</t>
  </si>
  <si>
    <t>1.65×1227×C</t>
  </si>
  <si>
    <t>1251121915875</t>
  </si>
  <si>
    <t>Thép cuộn cán nóng 1.65x122Y SAE1006</t>
  </si>
  <si>
    <t>1251121915868</t>
  </si>
  <si>
    <t>Thép cuộn cán nóng 1.50x122Y SAE1006 II</t>
  </si>
  <si>
    <t>1.50×1227×C</t>
  </si>
  <si>
    <t>1251121915851</t>
  </si>
  <si>
    <t>Thép cuộn cán nóng 1.50x122Y SAE1006</t>
  </si>
  <si>
    <t>1251121915844</t>
  </si>
  <si>
    <t>Thép cuộn cán nóng 2.50x108Y SAE1006 II</t>
  </si>
  <si>
    <t>1251121915837</t>
  </si>
  <si>
    <t>Thép cuộn cán nóng 2.50x108Y SAE1006</t>
  </si>
  <si>
    <t>1251121915820</t>
  </si>
  <si>
    <t>Thép cuộn cán nóng 2.30x108Y SAE1006 II</t>
  </si>
  <si>
    <t>2.30×1087×C</t>
  </si>
  <si>
    <t>1251121915813</t>
  </si>
  <si>
    <t>Thép cuộn cán nóng 2.30x108Y SAE1006</t>
  </si>
  <si>
    <t>1251121915806</t>
  </si>
  <si>
    <t>Thép cuộn cán nóng 2.00x108Y SAE1006 II</t>
  </si>
  <si>
    <t>1251121915790</t>
  </si>
  <si>
    <t>Thép cuộn cán nóng 2.00x108Y SAE1006</t>
  </si>
  <si>
    <t>1251121915783</t>
  </si>
  <si>
    <t>Thép cuộn cán nóng 3.00x126Y SAE1006 II</t>
  </si>
  <si>
    <t>1251121915776</t>
  </si>
  <si>
    <t>Thép cuộn cán nóng 3.00x126Y SAE1006</t>
  </si>
  <si>
    <t>1251121915769</t>
  </si>
  <si>
    <t>Thép cuộn cán nóng 2.50x126Y SAE1006 II</t>
  </si>
  <si>
    <t>1251121915752</t>
  </si>
  <si>
    <t>Thép cuộn cán nóng 2.50x126Y SAE1006</t>
  </si>
  <si>
    <t>1251121915745</t>
  </si>
  <si>
    <t>Thép cuộn cán nóng 2.00x126Y SAE1006 II</t>
  </si>
  <si>
    <t>1251121915738</t>
  </si>
  <si>
    <t>Thép cuộn cán nóng 2.00x126Y SAE1006</t>
  </si>
  <si>
    <t>1251121915721</t>
  </si>
  <si>
    <t>Thép cuộn cán nóng 1.85x126Y SAE1006 II</t>
  </si>
  <si>
    <t>1.85×1267×C</t>
  </si>
  <si>
    <t>1251121915714</t>
  </si>
  <si>
    <t>Thép cuộn cán nóng 1.85x126Y SAE1006</t>
  </si>
  <si>
    <t>1251121915707</t>
  </si>
  <si>
    <t>Thép cuộn cán nóng 1.50x126Y SAE1006 II</t>
  </si>
  <si>
    <t>1.50×1267×C</t>
  </si>
  <si>
    <t>1251121915691</t>
  </si>
  <si>
    <t>Thép cuộn cán nóng 1.50x126Y SAE1006</t>
  </si>
  <si>
    <t>1251121915684</t>
  </si>
  <si>
    <t>Thép cuộn cán nóng 3.00x125X S235JR II</t>
  </si>
  <si>
    <t>1251121915677</t>
  </si>
  <si>
    <t>Thép cuộn cán nóng 3.00x125X S235JR</t>
  </si>
  <si>
    <t>1251121915660</t>
  </si>
  <si>
    <t>Thép cuộn cán nóng 2.50x125X S235JR II</t>
  </si>
  <si>
    <t>1251121915653</t>
  </si>
  <si>
    <t>Thép cuộn cán nóng 2.50x125X S235JR</t>
  </si>
  <si>
    <t>1251121915646</t>
  </si>
  <si>
    <t>Thép cuộn cán nóng 2.00x125X S235JR II</t>
  </si>
  <si>
    <t>1251121915639</t>
  </si>
  <si>
    <t>Thép cuộn cán nóng 2.00x125X S235JR</t>
  </si>
  <si>
    <t>1251121915622</t>
  </si>
  <si>
    <t>Thép cuộn cán nóng 1.80x125X S235JR II</t>
  </si>
  <si>
    <t>1251121915615</t>
  </si>
  <si>
    <t>Thép cuộn cán nóng 1.80x125X S235JR</t>
  </si>
  <si>
    <t>1251121915608</t>
  </si>
  <si>
    <t>Thép cuộn cán nóng 3.50x123Y SAE1006 II</t>
  </si>
  <si>
    <t>3.50×1237×C</t>
  </si>
  <si>
    <t>1251121915592</t>
  </si>
  <si>
    <t>Thép cuộn cán nóng 3.50x123Y SAE1006</t>
  </si>
  <si>
    <t>1251121915585</t>
  </si>
  <si>
    <t>Thép cuộn cán nóng 3.20x123Y SAE1006 II</t>
  </si>
  <si>
    <t>3.20×1237×C</t>
  </si>
  <si>
    <t>1251121915578</t>
  </si>
  <si>
    <t>Thép cuộn cán nóng 3.20x123Y SAE1006</t>
  </si>
  <si>
    <t>1251121915561</t>
  </si>
  <si>
    <t>Thép cuộn cán nóng 3.00x123Y SAE1006 II</t>
  </si>
  <si>
    <t>3.00×1237×C</t>
  </si>
  <si>
    <t>1251121915554</t>
  </si>
  <si>
    <t>Thép cuộn cán nóng 3.00x123Y SAE1006</t>
  </si>
  <si>
    <t>1251121915547</t>
  </si>
  <si>
    <t>Thép cuộn cán nóng 2.50x123Y SAE1006 II</t>
  </si>
  <si>
    <t>1251121915530</t>
  </si>
  <si>
    <t>Thép cuộn cán nóng 2.50x123Y SAE1006</t>
  </si>
  <si>
    <t>1251121915523</t>
  </si>
  <si>
    <t>Thép cuộn cán nóng 2.60x123Y SAE1006 II</t>
  </si>
  <si>
    <t>2.60×1237×C</t>
  </si>
  <si>
    <t>1251121915516</t>
  </si>
  <si>
    <t>Thép cuộn cán nóng 2.60x123Y SAE1006</t>
  </si>
  <si>
    <t>1251121915509</t>
  </si>
  <si>
    <t>Thép cuộn cán nóng 2.30x123Y SAE1006 II</t>
  </si>
  <si>
    <t>2.30×1237×C</t>
  </si>
  <si>
    <t>1251121915493</t>
  </si>
  <si>
    <t>Thép cuộn cán nóng 2.30x123Y SAE1006</t>
  </si>
  <si>
    <t>1251121915486</t>
  </si>
  <si>
    <t>Thép cuộn cán nóng 2.30x126Y SAE1006 II</t>
  </si>
  <si>
    <t>1251121915479</t>
  </si>
  <si>
    <t>Thép cuộn cán nóng 2.30x126Y SAE1006</t>
  </si>
  <si>
    <t>1251121915462</t>
  </si>
  <si>
    <t>Thép cuộn cán nóng 3.95x126X SAE1006 II</t>
  </si>
  <si>
    <t>1251121915455</t>
  </si>
  <si>
    <t>Thép cuộn cán nóng 3.95x126X SAE1006</t>
  </si>
  <si>
    <t>1251121915448</t>
  </si>
  <si>
    <t>Thép cuộn cán nóng 3.50x126X SAE1006 II</t>
  </si>
  <si>
    <t>1251121915431</t>
  </si>
  <si>
    <t>Thép cuộn cán nóng 3.50x126X SAE1006</t>
  </si>
  <si>
    <t>1251121915424</t>
  </si>
  <si>
    <t>Thép cuộn cán nóng 3.00x126X SAE1006 II</t>
  </si>
  <si>
    <t>1251121915417</t>
  </si>
  <si>
    <t>Thép cuộn cán nóng 3.00x126X SAE1006</t>
  </si>
  <si>
    <t>1251121915400</t>
  </si>
  <si>
    <t>Thép cuộn cán nóng 2.30x126X SAE1006 II</t>
  </si>
  <si>
    <t>1251121915394</t>
  </si>
  <si>
    <t>Thép cuộn cán nóng 2.30x126X SAE1006</t>
  </si>
  <si>
    <t>1251121915387</t>
  </si>
  <si>
    <t>Thép cuộn cán nóng 4.50x125X S355JR II</t>
  </si>
  <si>
    <t>4.50×1252×C</t>
  </si>
  <si>
    <t>1251121915370</t>
  </si>
  <si>
    <t>Thép cuộn cán nóng 4.50x125X S355JR</t>
  </si>
  <si>
    <t>1251121915363</t>
  </si>
  <si>
    <t>Thép cuộn cán nóng 4.00x125X S355JR II</t>
  </si>
  <si>
    <t>1251121915356</t>
  </si>
  <si>
    <t>Thép cuộn cán nóng 4.00x125X S355JR</t>
  </si>
  <si>
    <t>1251121915349</t>
  </si>
  <si>
    <t>Thép cuộn cán nóng 3.50x125X S355JR II</t>
  </si>
  <si>
    <t>1251121915332</t>
  </si>
  <si>
    <t>Thép cuộn cán nóng 3.50x125X S355JR</t>
  </si>
  <si>
    <t>1251121915325</t>
  </si>
  <si>
    <t>Thép cuộn cán nóng 3.00x125X S355JR II</t>
  </si>
  <si>
    <t>1251121915318</t>
  </si>
  <si>
    <t>Thép cuộn cán nóng 3.00x125X S355JR</t>
  </si>
  <si>
    <t>1251121915301</t>
  </si>
  <si>
    <t>Thép cuộn cán nóng 4.90x137X SS400 II</t>
  </si>
  <si>
    <t>4.90×1372×C</t>
  </si>
  <si>
    <t>1251121915295</t>
  </si>
  <si>
    <t>Thép cuộn cán nóng 4.90x137X SS400</t>
  </si>
  <si>
    <t>1251121915288</t>
  </si>
  <si>
    <t>Thép cuộn cán nóng 4.60x120X SS400 II</t>
  </si>
  <si>
    <t>4.60×1202×C</t>
  </si>
  <si>
    <t>1251121915271</t>
  </si>
  <si>
    <t>Thép cuộn cán nóng 4.60x120X SS400</t>
  </si>
  <si>
    <t>1251121915264</t>
  </si>
  <si>
    <t>Thép cuộn cán nóng 3.80x125X SS400 II</t>
  </si>
  <si>
    <t>3.80×1252×C</t>
  </si>
  <si>
    <t>1251121915257</t>
  </si>
  <si>
    <t>Thép cuộn cán nóng 3.80x125X SS400</t>
  </si>
  <si>
    <t>1251121915240</t>
  </si>
  <si>
    <t>Thép cuộn cán nóng 2.50x125X SS400 II</t>
  </si>
  <si>
    <t>1251121915233</t>
  </si>
  <si>
    <t>Thép cuộn cán nóng 2.50x125X SS400</t>
  </si>
  <si>
    <t>1251121915226</t>
  </si>
  <si>
    <t>Thép cuộn cán nóng 6.00x139Y SS400 II</t>
  </si>
  <si>
    <t>6.00×1397×C</t>
  </si>
  <si>
    <t>1251121915219</t>
  </si>
  <si>
    <t>Thép cuộn cán nóng 6.00x139Y SS400</t>
  </si>
  <si>
    <t>1251121915202</t>
  </si>
  <si>
    <t>Thép cuộn cán nóng 4.90x139Y SS400 II</t>
  </si>
  <si>
    <t>4.90×1397×C</t>
  </si>
  <si>
    <t>1251121915196</t>
  </si>
  <si>
    <t>Thép cuộn cán nóng 4.90x139Y SS400</t>
  </si>
  <si>
    <t>1251121915189</t>
  </si>
  <si>
    <t>Thép cuộn cán nóng 3.90x139Y SS400 II</t>
  </si>
  <si>
    <t>3.90×1397×C</t>
  </si>
  <si>
    <t>1251121915172</t>
  </si>
  <si>
    <t>Thép cuộn cán nóng 3.90x139Y SS400</t>
  </si>
  <si>
    <t>1251121915165</t>
  </si>
  <si>
    <t>Thép cuộn cán nóng 3.80x139Y SS400 II</t>
  </si>
  <si>
    <t>3.80×1397×C</t>
  </si>
  <si>
    <t>1251121915158</t>
  </si>
  <si>
    <t>Thép cuộn cán nóng 3.80x139Y SS400</t>
  </si>
  <si>
    <t>1251121915141</t>
  </si>
  <si>
    <t>Thép cuộn cán nóng 3.45x125X SS400 II</t>
  </si>
  <si>
    <t>1251121915134</t>
  </si>
  <si>
    <t>Thép cuộn cán nóng 3.45x125X SS400</t>
  </si>
  <si>
    <t>1251121915127</t>
  </si>
  <si>
    <t>Thép cuộn cán nóng 2.95x125X SS400 II</t>
  </si>
  <si>
    <t>1251121915110</t>
  </si>
  <si>
    <t>Thép cuộn cán nóng 2.95x125X SS400</t>
  </si>
  <si>
    <t>1251121915103</t>
  </si>
  <si>
    <t>Thép cuộn cán nóng 2.75x125X SS400 II</t>
  </si>
  <si>
    <t>1251121915097</t>
  </si>
  <si>
    <t>Thép cuộn cán nóng 2.75x125X SS400</t>
  </si>
  <si>
    <t>1251121915080</t>
  </si>
  <si>
    <t>Thép cuộn cán nóng 5.30x137X SS400 II</t>
  </si>
  <si>
    <t>5.30×1372×C</t>
  </si>
  <si>
    <t>1251121915073</t>
  </si>
  <si>
    <t>Thép cuộn cán nóng 5.30x137X SS400</t>
  </si>
  <si>
    <t>1251121915066</t>
  </si>
  <si>
    <t>Thép cuộn cán nóng 4.95x137X SS400 II</t>
  </si>
  <si>
    <t>4.95×1372×C</t>
  </si>
  <si>
    <t>1251121915059</t>
  </si>
  <si>
    <t>Thép cuộn cán nóng 4.95x137X SS400</t>
  </si>
  <si>
    <t>1251121915042</t>
  </si>
  <si>
    <t>Thép cuộn cán nóng 4.60x137X SS400 II</t>
  </si>
  <si>
    <t>4.60×1372×C</t>
  </si>
  <si>
    <t>1251121915035</t>
  </si>
  <si>
    <t>Thép cuộn cán nóng 4.60x137X SS400</t>
  </si>
  <si>
    <t>1251121915028</t>
  </si>
  <si>
    <t>Thép cuộn cán nóng 4.60x149X SS400 II</t>
  </si>
  <si>
    <t>4.60×1492×C</t>
  </si>
  <si>
    <t>1251121915011</t>
  </si>
  <si>
    <t>Thép cuộn cán nóng 4.60x149X SS400</t>
  </si>
  <si>
    <t>1251121915004</t>
  </si>
  <si>
    <t>Thép cuộn cán nóng 3.80x137X SS400 II</t>
  </si>
  <si>
    <t>3.80×1372×C</t>
  </si>
  <si>
    <t>1251121914991</t>
  </si>
  <si>
    <t>Thép cuộn cán nóng 3.80x137X SS400</t>
  </si>
  <si>
    <t>1251121914984</t>
  </si>
  <si>
    <t>Thép cuộn cán nóng 3.80x140X SS400 II</t>
  </si>
  <si>
    <t>3.80×1402×C</t>
  </si>
  <si>
    <t>1251121914977</t>
  </si>
  <si>
    <t>Thép cuộn cán nóng 3.80x140X SS400</t>
  </si>
  <si>
    <t>1251121914960</t>
  </si>
  <si>
    <t>Thép cuộn cán nóng 3.80x149X SS400 II</t>
  </si>
  <si>
    <t>3.80×1492×C</t>
  </si>
  <si>
    <t>1251121914953</t>
  </si>
  <si>
    <t>Thép cuộn cán nóng 3.80x149X SS400</t>
  </si>
  <si>
    <t>1251121914946</t>
  </si>
  <si>
    <t>Thép cuộn cán nóng 4.30x1515 S275JR II</t>
  </si>
  <si>
    <t>4.30×1515×C</t>
  </si>
  <si>
    <t>1251121914922</t>
  </si>
  <si>
    <t>Thép cuộn cán nóng 4.30x1515 S275JR</t>
  </si>
  <si>
    <t>1251121914915</t>
  </si>
  <si>
    <t>Thép cuộn cán nóng 11.80x1210 S275JR II</t>
  </si>
  <si>
    <t>11.80×1210×C</t>
  </si>
  <si>
    <t>1251121914908</t>
  </si>
  <si>
    <t>Thép cuộn cán nóng 11.80x1210 S275JR</t>
  </si>
  <si>
    <t>1251121914892</t>
  </si>
  <si>
    <t>Thép cuộn cán nóng 9.80x1210 S275JR II</t>
  </si>
  <si>
    <t>9.80×1210×C</t>
  </si>
  <si>
    <t>1251121914885</t>
  </si>
  <si>
    <t>Thép cuộn cán nóng 9.80x1210 S275JR</t>
  </si>
  <si>
    <t>1251121914878</t>
  </si>
  <si>
    <t>Thép cuộn cán nóng 7.85x1515 S275JR II</t>
  </si>
  <si>
    <t>7.85×1515×C</t>
  </si>
  <si>
    <t>1251121914861</t>
  </si>
  <si>
    <t>Thép cuộn cán nóng 7.85x1515 S275JR</t>
  </si>
  <si>
    <t>1251121914854</t>
  </si>
  <si>
    <t>Thép cuộn cán nóng 5.80x1210 S275JR II</t>
  </si>
  <si>
    <t>5.80×1210×C</t>
  </si>
  <si>
    <t>1251121914847</t>
  </si>
  <si>
    <t>Thép cuộn cán nóng 5.80x1210 S275JR</t>
  </si>
  <si>
    <t>1251121914830</t>
  </si>
  <si>
    <t>Thép cuộn cán nóng 4.85x1515 S275JR II</t>
  </si>
  <si>
    <t>4.85×1515×C</t>
  </si>
  <si>
    <t>1251121914823</t>
  </si>
  <si>
    <t>Thép cuộn cán nóng 4.85x1515 S275JR</t>
  </si>
  <si>
    <t>1251121914816</t>
  </si>
  <si>
    <t>Thép cuộn cán nóng 2.40x1020 SAE1006 II</t>
  </si>
  <si>
    <t>2.40×1020×C</t>
  </si>
  <si>
    <t>1251121914809</t>
  </si>
  <si>
    <t>Thép cuộn cán nóng 2.40x1020 SAE1006</t>
  </si>
  <si>
    <t>1251121914793</t>
  </si>
  <si>
    <t>Thép cuộn cán nóng 2.05x1020 SAE1006 II</t>
  </si>
  <si>
    <t>2.05×1020×C</t>
  </si>
  <si>
    <t>1251121914786</t>
  </si>
  <si>
    <t>Thép cuộn cán nóng 2.05x1020 SAE1006</t>
  </si>
  <si>
    <t>1251121914779</t>
  </si>
  <si>
    <t>Thép cuộn cán nóng 3.96x1225 SAE1006 II</t>
  </si>
  <si>
    <t>3.96×1225×C</t>
  </si>
  <si>
    <t>1251121914762</t>
  </si>
  <si>
    <t>Thép cuộn cán nóng 3.96x1225 SAE1006</t>
  </si>
  <si>
    <t>1251121914755</t>
  </si>
  <si>
    <t>Thép cuộn cán nóng 3.18x1225 SAE1006 II</t>
  </si>
  <si>
    <t>3.18×1225×C</t>
  </si>
  <si>
    <t>1251121914748</t>
  </si>
  <si>
    <t>Thép cuộn cán nóng 3.18x1225 SAE1006</t>
  </si>
  <si>
    <t>1251121914731</t>
  </si>
  <si>
    <t>Thép cuộn cán nóng 3.05x1225 SAE1006 II</t>
  </si>
  <si>
    <t>3.05×1225×C</t>
  </si>
  <si>
    <t>1251121914724</t>
  </si>
  <si>
    <t>Thép cuộn cán nóng 3.05x1225 SAE1006</t>
  </si>
  <si>
    <t>1251121914717</t>
  </si>
  <si>
    <t>Thép cuộn cán nóng 2.40x1210 SAE1006 II</t>
  </si>
  <si>
    <t>2.40×1210×C</t>
  </si>
  <si>
    <t>1251121914700</t>
  </si>
  <si>
    <t>Thép cuộn cán nóng 2.40x1210 SAE1006</t>
  </si>
  <si>
    <t>1251121914694</t>
  </si>
  <si>
    <t>Thép cuộn cán nóng 1.73x1225 SAE1006 II</t>
  </si>
  <si>
    <t>1.73×1225×C</t>
  </si>
  <si>
    <t>1251121914687</t>
  </si>
  <si>
    <t>Thép cuộn cán nóng 1.73x1225 SAE1006</t>
  </si>
  <si>
    <t>1251121914670</t>
  </si>
  <si>
    <t>Thép cuộn cán nóng 2.40x1158 SPHC II</t>
  </si>
  <si>
    <t>2.40×1158×C</t>
  </si>
  <si>
    <t>1251121914663</t>
  </si>
  <si>
    <t>Thép cuộn cán nóng 2.40x1158 SPHC</t>
  </si>
  <si>
    <t>1251121914656</t>
  </si>
  <si>
    <t>Thép cuộn cán nóng 2.25x1158 SPHC II</t>
  </si>
  <si>
    <t>2.25×1158×C</t>
  </si>
  <si>
    <t>1251121914649</t>
  </si>
  <si>
    <t>Thép cuộn cán nóng 2.25x1158 SPHC</t>
  </si>
  <si>
    <t>1251121914632</t>
  </si>
  <si>
    <t>Thép cuộn cán nóng 2.00x1158 SPHC II</t>
  </si>
  <si>
    <t>2.00×1158×C</t>
  </si>
  <si>
    <t>1251121914625</t>
  </si>
  <si>
    <t>Thép cuộn cán nóng 2.00x1158 SPHC</t>
  </si>
  <si>
    <t>1251121914618</t>
  </si>
  <si>
    <t>Thép cuộn cán nóng 3.00x1100 BjPS II</t>
  </si>
  <si>
    <t>3.00×1100×C</t>
  </si>
  <si>
    <t>1251121914601</t>
  </si>
  <si>
    <t>Thép cuộn cán nóng 3.00x1100 BjPS</t>
  </si>
  <si>
    <t>1251121914595</t>
  </si>
  <si>
    <t>Thép cuộn cán nóng 2.50x1290 SS400 II</t>
  </si>
  <si>
    <t>2.50×1290×C</t>
  </si>
  <si>
    <t>1251121914571</t>
  </si>
  <si>
    <t>Thép cuộn cán nóng 2.50x1290 SS400</t>
  </si>
  <si>
    <t>1251121914564</t>
  </si>
  <si>
    <t>Thép cuộn cán nóng 3.20x1140 SAE1006 II</t>
  </si>
  <si>
    <t>3.20×1140×C</t>
  </si>
  <si>
    <t>1251121914526</t>
  </si>
  <si>
    <t>Thép cuộn cán nóng 3.20x1140 SAE1006</t>
  </si>
  <si>
    <t>1251121914519</t>
  </si>
  <si>
    <t>Thép cuộn cán nóng 3.00x1070 SAE1006 II</t>
  </si>
  <si>
    <t>3.00×1070×C</t>
  </si>
  <si>
    <t>1251121914502</t>
  </si>
  <si>
    <t>Thép cuộn cán nóng 3.00x1070 SAE1006</t>
  </si>
  <si>
    <t>1251121914496</t>
  </si>
  <si>
    <t>Thép cuộn cán nóng 2.80x1150 SAE1006 II</t>
  </si>
  <si>
    <t>2.80×1150×C</t>
  </si>
  <si>
    <t>1251121914489</t>
  </si>
  <si>
    <t>Thép cuộn cán nóng 2.80x1150 SAE1006</t>
  </si>
  <si>
    <t>1251121914472</t>
  </si>
  <si>
    <t>Thép cuộn cán nóng 4.00x1212 SAE1006 II</t>
  </si>
  <si>
    <t>1251121914465</t>
  </si>
  <si>
    <t>Thép cuộn cán nóng 4.00x1212 SAE1006</t>
  </si>
  <si>
    <t>1251121914458</t>
  </si>
  <si>
    <t>Thép cuộn cán nóng 2.95x1200 S355JR II</t>
  </si>
  <si>
    <t>2.95×1200×C</t>
  </si>
  <si>
    <t>1251121914441</t>
  </si>
  <si>
    <t>Thép cuộn cán nóng 2.95x1200 S355JR</t>
  </si>
  <si>
    <t>1251121914434</t>
  </si>
  <si>
    <t>Thép cuộn cán nóng 2.00x1265 SPHC II</t>
  </si>
  <si>
    <t>2.00×1265×C</t>
  </si>
  <si>
    <t>1251121914427</t>
  </si>
  <si>
    <t>Thép cuộn cán nóng 2.00x1265 SPHC</t>
  </si>
  <si>
    <t>1251121914410</t>
  </si>
  <si>
    <t>Thép cuộn cán nóng 2.20x1265 SPHC II</t>
  </si>
  <si>
    <t>2.20×1265×C</t>
  </si>
  <si>
    <t>1251121914403</t>
  </si>
  <si>
    <t>Thép cuộn cán nóng 2.20x1265 SPHC</t>
  </si>
  <si>
    <t>1251121914397</t>
  </si>
  <si>
    <t>Thép cuộn cán nóng 2.30x1265 SPHC II</t>
  </si>
  <si>
    <t>2.30×1265×C</t>
  </si>
  <si>
    <t>1251121914380</t>
  </si>
  <si>
    <t>Thép cuộn cán nóng 2.30x1265 SPHC</t>
  </si>
  <si>
    <t>1251121914373</t>
  </si>
  <si>
    <t>Thép cuộn cán nóng 2.45x1200 SPHC II</t>
  </si>
  <si>
    <t>2.45×1200×C</t>
  </si>
  <si>
    <t>1251121914366</t>
  </si>
  <si>
    <t>Thép cuộn cán nóng 2.45x1200 SPHC</t>
  </si>
  <si>
    <t>1251121914359</t>
  </si>
  <si>
    <t>Thép cuộn cán nóng 2.87x1265 SPHC II</t>
  </si>
  <si>
    <t>2.87×1265×C</t>
  </si>
  <si>
    <t>1251121914342</t>
  </si>
  <si>
    <t>Thép cuộn cán nóng 2.87x1265 SPHC</t>
  </si>
  <si>
    <t>1251121914335</t>
  </si>
  <si>
    <t>Thép cuộn cán nóng 3.00x1265 SPHC II</t>
  </si>
  <si>
    <t>3.00×1265×C</t>
  </si>
  <si>
    <t>1251121914328</t>
  </si>
  <si>
    <t>Thép cuộn cán nóng 3.00x1265 SPHC</t>
  </si>
  <si>
    <t>1251121914311</t>
  </si>
  <si>
    <t>Thép cuộn cán nóng 3.50x1265 SPHC II</t>
  </si>
  <si>
    <t>3.50×1265×C</t>
  </si>
  <si>
    <t>1251121914304</t>
  </si>
  <si>
    <t>Thép cuộn cán nóng 3.50x1265 SPHC</t>
  </si>
  <si>
    <t>1251121914298</t>
  </si>
  <si>
    <t>Thép cuộn cán nóng 2.30x1265 SS400 II</t>
  </si>
  <si>
    <t>1251121914281</t>
  </si>
  <si>
    <t>Thép cuộn cán nóng 2.30x1265 SS400</t>
  </si>
  <si>
    <t>1251121914274</t>
  </si>
  <si>
    <t>Thép cuộn cán nóng 2.65x1265 SS400 II</t>
  </si>
  <si>
    <t>2.65×1265×C</t>
  </si>
  <si>
    <t>1251121914267</t>
  </si>
  <si>
    <t>Thép cuộn cán nóng 2.65x1265 SS400</t>
  </si>
  <si>
    <t>1251121914250</t>
  </si>
  <si>
    <t>Thép cuộn cán nóng 2.75x1265 SS400 II</t>
  </si>
  <si>
    <t>2.75×1265×C</t>
  </si>
  <si>
    <t>1251121914243</t>
  </si>
  <si>
    <t>Thép cuộn cán nóng 2.75x1265 SS400</t>
  </si>
  <si>
    <t>1251121914236</t>
  </si>
  <si>
    <t>Thép cuộn cán nóng 2.87x1200 SS400 II</t>
  </si>
  <si>
    <t>2.87×1200×C</t>
  </si>
  <si>
    <t>1251121914229</t>
  </si>
  <si>
    <t>Thép cuộn cán nóng 2.87x1200 SS400</t>
  </si>
  <si>
    <t>1251121914212</t>
  </si>
  <si>
    <t>Thép cuộn cán nóng 3.00x1265 SS400 II</t>
  </si>
  <si>
    <t>1251121914205</t>
  </si>
  <si>
    <t>Thép cuộn cán nóng 3.00x1265 SS400</t>
  </si>
  <si>
    <t>1251121914199</t>
  </si>
  <si>
    <t>Thép cuộn cán nóng 3.10x1265 SS400 II</t>
  </si>
  <si>
    <t>3.10×1265×C</t>
  </si>
  <si>
    <t>1251121914182</t>
  </si>
  <si>
    <t>Thép cuộn cán nóng 3.10x1265 SS400</t>
  </si>
  <si>
    <t>1251121914175</t>
  </si>
  <si>
    <t>Thép cuộn cán nóng 3.25x1265 SS400 II</t>
  </si>
  <si>
    <t>3.25×1265×C</t>
  </si>
  <si>
    <t>1251121914168</t>
  </si>
  <si>
    <t>Thép cuộn cán nóng 3.25x1265 SS400</t>
  </si>
  <si>
    <t>1251121914151</t>
  </si>
  <si>
    <t>Thép cuộn cán nóng 3.40x1265 SS400 II</t>
  </si>
  <si>
    <t>3.40×1265×C</t>
  </si>
  <si>
    <t>1251121914144</t>
  </si>
  <si>
    <t>Thép cuộn cán nóng 3.40x1265 SS400</t>
  </si>
  <si>
    <t>1251121914137</t>
  </si>
  <si>
    <t>Thép cuộn cán nóng 3.50x1265 SS400 II</t>
  </si>
  <si>
    <t>1251121914120</t>
  </si>
  <si>
    <t>Thép cuộn cán nóng 3.50x1265 SS400</t>
  </si>
  <si>
    <t>1251121914113</t>
  </si>
  <si>
    <t>Thép cuộn cán nóng 3.65x1265 SS400 II</t>
  </si>
  <si>
    <t>3.65×1265×C</t>
  </si>
  <si>
    <t>1251121914106</t>
  </si>
  <si>
    <t>Thép cuộn cán nóng 3.65x1265 SS400</t>
  </si>
  <si>
    <t>1251121914090</t>
  </si>
  <si>
    <t>Thép cuộn cán nóng 3.80x1265 SS400 II</t>
  </si>
  <si>
    <t>3.80×1265×C</t>
  </si>
  <si>
    <t>1251121914083</t>
  </si>
  <si>
    <t>Thép cuộn cán nóng 3.80x1265 SS400</t>
  </si>
  <si>
    <t>1251121914076</t>
  </si>
  <si>
    <t>Thép cuộn cán nóng 4.20x1265 SS400 II</t>
  </si>
  <si>
    <t>4.20×1265×C</t>
  </si>
  <si>
    <t>1251121914069</t>
  </si>
  <si>
    <t>Thép cuộn cán nóng 4.20x1265 SS400</t>
  </si>
  <si>
    <t>1251121914052</t>
  </si>
  <si>
    <t>Thép cuộn cán nóng 4.50x1200 SS400 II</t>
  </si>
  <si>
    <t>4.50×1200×C</t>
  </si>
  <si>
    <t>1251121914045</t>
  </si>
  <si>
    <t>Thép cuộn cán nóng 4.50x1200 SS400</t>
  </si>
  <si>
    <t>1251121914038</t>
  </si>
  <si>
    <t>Thép cuộn cán nóng 6.00x1000 SS400 II</t>
  </si>
  <si>
    <t>6.00×1000×C</t>
  </si>
  <si>
    <t>1251121914021</t>
  </si>
  <si>
    <t>Thép cuộn cán nóng 6.00x1000 SS400</t>
  </si>
  <si>
    <t>1251121914014</t>
  </si>
  <si>
    <t>Thép cuộn cán nóng 3.90x1470 SS400 II</t>
  </si>
  <si>
    <t>3.90×1470×C</t>
  </si>
  <si>
    <t>1251121914007</t>
  </si>
  <si>
    <t>Thép cuộn cán nóng 3.90x1470 SS400</t>
  </si>
  <si>
    <t>1251121913994</t>
  </si>
  <si>
    <t>Thép cuộn cán nóng 4.55x1470 SS400 II</t>
  </si>
  <si>
    <t>4.55×1470×C</t>
  </si>
  <si>
    <t>1251121913987</t>
  </si>
  <si>
    <t>Thép cuộn cán nóng 4.55x1470 SS400</t>
  </si>
  <si>
    <t>1251121913970</t>
  </si>
  <si>
    <t>Thép cuộn cán nóng 4.95x1370 SS400 II</t>
  </si>
  <si>
    <t>4.95×1370×C</t>
  </si>
  <si>
    <t>1251121913963</t>
  </si>
  <si>
    <t>Thép cuộn cán nóng 4.95x1370 SS400</t>
  </si>
  <si>
    <t>1251121913956</t>
  </si>
  <si>
    <t>Thép cuộn cán nóng 4.75x1230 SAE1006 II</t>
  </si>
  <si>
    <t>4.75×1230×C</t>
  </si>
  <si>
    <t>1251121913949</t>
  </si>
  <si>
    <t>Thép cuộn cán nóng 4.75x1230 SAE1006</t>
  </si>
  <si>
    <t>1251121913932</t>
  </si>
  <si>
    <t>Thép cuộn cán nóng 3.20x1219 SAE1006 II</t>
  </si>
  <si>
    <t>1251121913925</t>
  </si>
  <si>
    <t>Thép cuộn cán nóng 3.20x1219 SAE1006</t>
  </si>
  <si>
    <t>1251121913918</t>
  </si>
  <si>
    <t>Thép cuộn cán nóng 2.65x1200 SAE1006 II</t>
  </si>
  <si>
    <t>2.65×1200×C</t>
  </si>
  <si>
    <t>1251121913901</t>
  </si>
  <si>
    <t>Thép cuộn cán nóng 2.65x1200 SAE1006</t>
  </si>
  <si>
    <t>1251121913895</t>
  </si>
  <si>
    <t>Thép cuộn cán nóng 3.95x1200 SAE1017 II</t>
  </si>
  <si>
    <t>1251121913888</t>
  </si>
  <si>
    <t>Thép cuộn cán nóng 3.95x1200 SAE1017</t>
  </si>
  <si>
    <t>1251121913871</t>
  </si>
  <si>
    <t>Thép cuộn cán nóng 2.00x1260 SAE1017 II</t>
  </si>
  <si>
    <t>1251121913864</t>
  </si>
  <si>
    <t>Thép cuộn cán nóng 2.00x1260 SAE1017</t>
  </si>
  <si>
    <t>1251121913857</t>
  </si>
  <si>
    <t>Thép cuộn cán nóng 4.55x1524 SPHT1 II</t>
  </si>
  <si>
    <t>4.55×1524×C</t>
  </si>
  <si>
    <t>1251121913840</t>
  </si>
  <si>
    <t>Thép cuộn cán nóng 4.55x1524 SPHT1</t>
  </si>
  <si>
    <t>1251121913833</t>
  </si>
  <si>
    <t>Thép cuộn cán nóng 3.65x1524 SPHT1 II</t>
  </si>
  <si>
    <t>3.65×1524×C</t>
  </si>
  <si>
    <t>1251121913826</t>
  </si>
  <si>
    <t>Thép cuộn cán nóng 3.65x1524 SPHT1</t>
  </si>
  <si>
    <t>1251121913819</t>
  </si>
  <si>
    <t>Thép cuộn cán nóng 3.60x1524 SPHT1 II</t>
  </si>
  <si>
    <t>3.60×1524×C</t>
  </si>
  <si>
    <t>1251121913802</t>
  </si>
  <si>
    <t>Thép cuộn cán nóng 3.60x1524 SPHT1</t>
  </si>
  <si>
    <t>1251121913796</t>
  </si>
  <si>
    <t>Thép cuộn cán nóng 2.90x1420 SPHT1 II</t>
  </si>
  <si>
    <t>2.90×1420×C</t>
  </si>
  <si>
    <t>1251121913789</t>
  </si>
  <si>
    <t>Thép cuộn cán nóng 2.90x1420 SPHT1</t>
  </si>
  <si>
    <t>1251121913772</t>
  </si>
  <si>
    <t>Thép cuộn cán nóng 2.40x1420 SPHT1 II</t>
  </si>
  <si>
    <t>2.40×1420×C</t>
  </si>
  <si>
    <t>1251121913765</t>
  </si>
  <si>
    <t>Thép cuộn cán nóng 2.40x1420 SPHT1</t>
  </si>
  <si>
    <t>1251121913758</t>
  </si>
  <si>
    <t>Thép cuộn cán nóng 2.70x1220 SPHT1 II</t>
  </si>
  <si>
    <t>2.70×1220×C</t>
  </si>
  <si>
    <t>1251121913741</t>
  </si>
  <si>
    <t>Thép cuộn cán nóng 2.70x1220 SPHT1</t>
  </si>
  <si>
    <t>1251121913734</t>
  </si>
  <si>
    <t>Thép cuộn cán nóng 5.10x1215 SPHT1 II</t>
  </si>
  <si>
    <t>5.10×1215×C</t>
  </si>
  <si>
    <t>1251121913727</t>
  </si>
  <si>
    <t>Thép cuộn cán nóng 5.10x1215 SPHT1</t>
  </si>
  <si>
    <t>1251121913710</t>
  </si>
  <si>
    <t>Thép cuộn cán nóng 8.50x1524 S275JR II</t>
  </si>
  <si>
    <t>8.50×1524×C</t>
  </si>
  <si>
    <t>1251121913703</t>
  </si>
  <si>
    <t>Thép cuộn cán nóng 8.50x1524 S275JR</t>
  </si>
  <si>
    <t>1251121913697</t>
  </si>
  <si>
    <t>Thép cuộn cán nóng 5.50x1524 S275JR II</t>
  </si>
  <si>
    <t>5.50×1524×C</t>
  </si>
  <si>
    <t>1251121913680</t>
  </si>
  <si>
    <t>Thép cuộn cán nóng 5.50x1524 S275JR</t>
  </si>
  <si>
    <t>1251121913673</t>
  </si>
  <si>
    <t>Thép cuộn cán nóng 4.10x1460 S275JR II</t>
  </si>
  <si>
    <t>4.10×1460×C</t>
  </si>
  <si>
    <t>1251121913666</t>
  </si>
  <si>
    <t>Thép cuộn cán nóng 4.10x1460 S275JR</t>
  </si>
  <si>
    <t>1251121913659</t>
  </si>
  <si>
    <t>Thép cuộn cán nóng 3.65x1460 S275JR II</t>
  </si>
  <si>
    <t>3.65×1460×C</t>
  </si>
  <si>
    <t>1251121913642</t>
  </si>
  <si>
    <t>Thép cuộn cán nóng 3.65x1460 S275JR</t>
  </si>
  <si>
    <t>1251121913635</t>
  </si>
  <si>
    <t>Thép cuộn cán nóng 2.70x1250 S275JR II</t>
  </si>
  <si>
    <t>2.70×1250×C</t>
  </si>
  <si>
    <t>1251121913628</t>
  </si>
  <si>
    <t>Thép cuộn cán nóng 2.70x1250 S275JR</t>
  </si>
  <si>
    <t>1251121913611</t>
  </si>
  <si>
    <t>Thép cuộn cán nóng 4.70x1215 S275JR II</t>
  </si>
  <si>
    <t>4.70×1215×C</t>
  </si>
  <si>
    <t>1251121913604</t>
  </si>
  <si>
    <t>Thép cuộn cán nóng 4.70x1215 S275JR</t>
  </si>
  <si>
    <t>1251121913598</t>
  </si>
  <si>
    <t>Thép cuộn cán nóng 2.88x1215 S275JR II</t>
  </si>
  <si>
    <t>2.88×1215×C</t>
  </si>
  <si>
    <t>1251121913581</t>
  </si>
  <si>
    <t>Thép cuộn cán nóng 2.88x1215 S275JR</t>
  </si>
  <si>
    <t>1251121913574</t>
  </si>
  <si>
    <t>Thép cuộn cán nóng 7.10x1520 S275JR II</t>
  </si>
  <si>
    <t>7.10×1520×C</t>
  </si>
  <si>
    <t>1251121913567</t>
  </si>
  <si>
    <t>Thép cuộn cán nóng 7.10x1520 S275JR</t>
  </si>
  <si>
    <t>1251121913550</t>
  </si>
  <si>
    <t>Thép cuộn cán nóng 6.30x1219 S275JR II</t>
  </si>
  <si>
    <t>6.30×1219×C</t>
  </si>
  <si>
    <t>1251121913543</t>
  </si>
  <si>
    <t>Thép cuộn cán nóng 6.30x1219 S275JR</t>
  </si>
  <si>
    <t>1251121913536</t>
  </si>
  <si>
    <t>Thép cuộn cán nóng 1.87x1230 CS typeB II</t>
  </si>
  <si>
    <t>1.87×1230×C</t>
  </si>
  <si>
    <t>1251121913529</t>
  </si>
  <si>
    <t>Thép cuộn cán nóng 1.87x1230 CS type B</t>
  </si>
  <si>
    <t>1251121913512</t>
  </si>
  <si>
    <t>Thép cuộn cán nóng 6.00x1395 SS400 II</t>
  </si>
  <si>
    <t>6.00×1395×C</t>
  </si>
  <si>
    <t>1251121913499</t>
  </si>
  <si>
    <t>Thép cuộn cán nóng 6.00x1395 SS400</t>
  </si>
  <si>
    <t>1251121913482</t>
  </si>
  <si>
    <t>Thép cuộn cán nóng 4.90x1395 SS400 II</t>
  </si>
  <si>
    <t>4.90×1395×C</t>
  </si>
  <si>
    <t>1251121913475</t>
  </si>
  <si>
    <t>Thép cuộn cán nóng 4.90x1395 SS400</t>
  </si>
  <si>
    <t>1251121913468</t>
  </si>
  <si>
    <t>Thép cuộn cán nóng 3.80x1395 SS400 II</t>
  </si>
  <si>
    <t>3.80×1395×C</t>
  </si>
  <si>
    <t>1251121913451</t>
  </si>
  <si>
    <t>Thép cuộn cán nóng 3.80x1395 SS400</t>
  </si>
  <si>
    <t>1251121913444</t>
  </si>
  <si>
    <t>Thép cuộn cán nóng 2.50x1238 SAE1006 II</t>
  </si>
  <si>
    <t>2.50×1238×C</t>
  </si>
  <si>
    <t>1251121913215</t>
  </si>
  <si>
    <t>Thép cuộn cán nóng 2.50x1238 SAE1006</t>
  </si>
  <si>
    <t>1251121913208</t>
  </si>
  <si>
    <t>Thép cuộn cán nóng 2.80x1160 SAE1006 II</t>
  </si>
  <si>
    <t>2.80×1160×C</t>
  </si>
  <si>
    <t>1251121913192</t>
  </si>
  <si>
    <t>Thép cuộn cán nóng 2.80x1160 SAE1006</t>
  </si>
  <si>
    <t>1251121913185</t>
  </si>
  <si>
    <t>Thép cuộn cán nóng 2.45x1214 SAE1006 II</t>
  </si>
  <si>
    <t>2.45×1214×C</t>
  </si>
  <si>
    <t>1251121913178</t>
  </si>
  <si>
    <t>Thép cuộn cán nóng 2.45x1214 SAE1006</t>
  </si>
  <si>
    <t>1251121913161</t>
  </si>
  <si>
    <t>Thép cuộn cán nóng 3.10x1262 SAE1006 II</t>
  </si>
  <si>
    <t>1251121913154</t>
  </si>
  <si>
    <t>Thép cuộn cán nóng 3.10x1262 SAE1006</t>
  </si>
  <si>
    <t>1251121913147</t>
  </si>
  <si>
    <t>Thép cuộn cán nóng 2.87x1262 SAE1006 II</t>
  </si>
  <si>
    <t>1251121913130</t>
  </si>
  <si>
    <t>Thép cuộn cán nóng 2.87x1262 SAE1006</t>
  </si>
  <si>
    <t>1251121913123</t>
  </si>
  <si>
    <t>Thép cuộn cán nóng 3.65x1250 SAE1006 II</t>
  </si>
  <si>
    <t>3.65×1250×C</t>
  </si>
  <si>
    <t>1251121913116</t>
  </si>
  <si>
    <t>Thép cuộn cán nóng 3.65x1250 SAE1006</t>
  </si>
  <si>
    <t>1251121913109</t>
  </si>
  <si>
    <t>Thép cuộn cán nóng 2.87x1200 SAE1006 II</t>
  </si>
  <si>
    <t>1251121913093</t>
  </si>
  <si>
    <t>Thép cuộn cán nóng 2.87x1200 SAE1006</t>
  </si>
  <si>
    <t>1251121913086</t>
  </si>
  <si>
    <t>Thép cuộn cán nóng 6.00x1470 SS400 II</t>
  </si>
  <si>
    <t>6.00×1470×C</t>
  </si>
  <si>
    <t>1251121913079</t>
  </si>
  <si>
    <t>Thép cuộn cán nóng 6.00x1470 SS400</t>
  </si>
  <si>
    <t>1251121913062</t>
  </si>
  <si>
    <t>Thép cuộn cán nóng 5.40x1470 SS400 II</t>
  </si>
  <si>
    <t>5.40×1470×C</t>
  </si>
  <si>
    <t>1251121913055</t>
  </si>
  <si>
    <t>Thép cuộn cán nóng 5.40x1470 SS400</t>
  </si>
  <si>
    <t>1251121913048</t>
  </si>
  <si>
    <t>Thép cuộn cán nóng 3.50x1260 SAE1017 II</t>
  </si>
  <si>
    <t>3.50×1260×C</t>
  </si>
  <si>
    <t>1251121913031</t>
  </si>
  <si>
    <t>Thép cuộn cán nóng 3.50x1260 SAE1017</t>
  </si>
  <si>
    <t>1251121913024</t>
  </si>
  <si>
    <t>Thép cuộn cán nóng 3.00x1260 SAE1017 II</t>
  </si>
  <si>
    <t>3.00×1260×C</t>
  </si>
  <si>
    <t>1251121913017</t>
  </si>
  <si>
    <t>Thép cuộn cán nóng 3.00x1260 SAE1017</t>
  </si>
  <si>
    <t>1251121913000</t>
  </si>
  <si>
    <t>Thép cuộn cán nóng 2.30x1248 SAE1006 II</t>
  </si>
  <si>
    <t>2.30×1248×C</t>
  </si>
  <si>
    <t>1251121482001</t>
  </si>
  <si>
    <t>Thép cuộn cán nóng 2.30x1248 SAE1006</t>
  </si>
  <si>
    <t>1251121481998</t>
  </si>
  <si>
    <t>Thép cuộn cán nóng 4.45x1225 SAE1006 II</t>
  </si>
  <si>
    <t>4.45×1225×C</t>
  </si>
  <si>
    <t>1251121481851</t>
  </si>
  <si>
    <t>Thép cuộn cán nóng 4.45x1225 SAE1006</t>
  </si>
  <si>
    <t>1251121481844</t>
  </si>
  <si>
    <t>Thép cuộn cán nóng 2.05x1225 SAE1006 II</t>
  </si>
  <si>
    <t>2.05×1225×C</t>
  </si>
  <si>
    <t>1251121481837</t>
  </si>
  <si>
    <t>Thép cuộn cán nóng 2.05x1225 SAE1006</t>
  </si>
  <si>
    <t>1251121481820</t>
  </si>
  <si>
    <t>Thép cuộn cán nóng 2.20x1254 SAE1006 II</t>
  </si>
  <si>
    <t>2.20×1254×C</t>
  </si>
  <si>
    <t>1251121481790</t>
  </si>
  <si>
    <t>Thép cuộn cán nóng 2.20x1254 SAE1006</t>
  </si>
  <si>
    <t>1251121481783</t>
  </si>
  <si>
    <t>Thép cuộn cán nóng 2.00x1254 SAE1006 II</t>
  </si>
  <si>
    <t>2.00×1254×C</t>
  </si>
  <si>
    <t>1251121481776</t>
  </si>
  <si>
    <t>Thép cuộn cán nóng 2.00x1254 SAE1006</t>
  </si>
  <si>
    <t>1251121481769</t>
  </si>
  <si>
    <t>Thép cuộn cán nóng 3.90x1214 SAE1006 II</t>
  </si>
  <si>
    <t>3.90×1214×C</t>
  </si>
  <si>
    <t>1251121481752</t>
  </si>
  <si>
    <t>Thép cuộn cán nóng 3.90x1214 SAE1006</t>
  </si>
  <si>
    <t>1251121481745</t>
  </si>
  <si>
    <t>Thép cuộn cán nóng 5.10x1500 SS400 II</t>
  </si>
  <si>
    <t>5.10×1500×C</t>
  </si>
  <si>
    <t>1251121481714</t>
  </si>
  <si>
    <t>Thép cuộn cán nóng 5.10x1500 SS400</t>
  </si>
  <si>
    <t>1251121481707</t>
  </si>
  <si>
    <t>Thép cuộn cán nóng 4.90x1200 SS400 II</t>
  </si>
  <si>
    <t>4.90×1200×C</t>
  </si>
  <si>
    <t>1251121481691</t>
  </si>
  <si>
    <t>Thép cuộn cán nóng 4.90x1200 SS400</t>
  </si>
  <si>
    <t>1251121481684</t>
  </si>
  <si>
    <t>Thép cuộn cán nóng 4.80x1200 SS400 II</t>
  </si>
  <si>
    <t>4.80×1200×C</t>
  </si>
  <si>
    <t>1251121481677</t>
  </si>
  <si>
    <t>Thép cuộn cán nóng 4.80x1200 SS400</t>
  </si>
  <si>
    <t>1251121481660</t>
  </si>
  <si>
    <t>Thép cuộn cán nóng 3.90x1200 SS400 II</t>
  </si>
  <si>
    <t>3.90×1200×C</t>
  </si>
  <si>
    <t>1251121481653</t>
  </si>
  <si>
    <t>Thép cuộn cán nóng 3.90x1200 SS400</t>
  </si>
  <si>
    <t>1251121481646</t>
  </si>
  <si>
    <t>Thép cuộn cán nóng 3.15x1200 SS400 II</t>
  </si>
  <si>
    <t>3.15×1200×C</t>
  </si>
  <si>
    <t>1251121481639</t>
  </si>
  <si>
    <t>Thép cuộn cán nóng 3.15x1200 SS400</t>
  </si>
  <si>
    <t>1251121481622</t>
  </si>
  <si>
    <t>Thép cuộn cán nóng 2.95x1200 SS400 II</t>
  </si>
  <si>
    <t>1251121481615</t>
  </si>
  <si>
    <t>Thép cuộn cán nóng 2.95x1200 SS400</t>
  </si>
  <si>
    <t>1251121481608</t>
  </si>
  <si>
    <t>Thép cuộn cán nóng 2.75x1200 SS400 II</t>
  </si>
  <si>
    <t>2.75×1200×C</t>
  </si>
  <si>
    <t>1251121481592</t>
  </si>
  <si>
    <t>Thép cuộn cán nóng 2.75x1200 SS400</t>
  </si>
  <si>
    <t>1251121481585</t>
  </si>
  <si>
    <t>Thép cuộn cán nóng 2.45x1200 SS400 II</t>
  </si>
  <si>
    <t>1251121481578</t>
  </si>
  <si>
    <t>Thép cuộn cán nóng 2.45x1200 SS400</t>
  </si>
  <si>
    <t>1251121481561</t>
  </si>
  <si>
    <t>Thép cuộn cán nóng 5.90x1290 SS400 II</t>
  </si>
  <si>
    <t>5.90×1290×C</t>
  </si>
  <si>
    <t>1251121481493</t>
  </si>
  <si>
    <t>Thép cuộn cán nóng 5.90x1290 SS400</t>
  </si>
  <si>
    <t>1251121481486</t>
  </si>
  <si>
    <t>Thép cuộn cán nóng 6.30x1290 SAE1006 II</t>
  </si>
  <si>
    <t>6.30×1290×C</t>
  </si>
  <si>
    <t>1251121481288</t>
  </si>
  <si>
    <t>Thép cuộn cán nóng 6.30x1290 SAE1006</t>
  </si>
  <si>
    <t>1251121481271</t>
  </si>
  <si>
    <t>Thép cuộn cán nóng 5.90x1200 SS400 II</t>
  </si>
  <si>
    <t>5.90×1200×C</t>
  </si>
  <si>
    <t>1251121481202</t>
  </si>
  <si>
    <t>Thép cuộn cán nóng 5.90x1200 SS400</t>
  </si>
  <si>
    <t>1251121481196</t>
  </si>
  <si>
    <t>Thép cuộn cán nóng 2.10x1212 SAE1006</t>
  </si>
  <si>
    <t>2.10×1212×C</t>
  </si>
  <si>
    <t>1251121480427</t>
  </si>
  <si>
    <t>Thép HRC HSPM 4.75x121Y S275JR II</t>
  </si>
  <si>
    <t>1251122107613</t>
  </si>
  <si>
    <t>[D]Thép cuộn cán nóng 3.50x120X SS400</t>
  </si>
  <si>
    <t>1251122107620</t>
  </si>
  <si>
    <t>1251122107637</t>
  </si>
  <si>
    <t>Thép HRC HSPM 3.02x121Y ASTM A36 II</t>
  </si>
  <si>
    <t>1251122107651</t>
  </si>
  <si>
    <t>Thép HRC HSPM 3.40x121Y ASTM A36 II</t>
  </si>
  <si>
    <t>1251122107675</t>
  </si>
  <si>
    <t>Thép HRC HSPM 2.64x152X ASTM A36 II</t>
  </si>
  <si>
    <t>1251122107699</t>
  </si>
  <si>
    <t>Thép HRC HSPM 3.02x152X ASTM A36 II</t>
  </si>
  <si>
    <t>1251122107712</t>
  </si>
  <si>
    <t>Thép HRC HSPM 2.23x121X S275JR II</t>
  </si>
  <si>
    <t>1251122107736</t>
  </si>
  <si>
    <t>Thép HRC HSPM 3.00x151Y S275JR II</t>
  </si>
  <si>
    <t>1251122107750</t>
  </si>
  <si>
    <t>Thép HRC HSPM 2.43x121Y S275JR II</t>
  </si>
  <si>
    <t>1251122107774</t>
  </si>
  <si>
    <t>Thép HRC HSPM 4.65x121Y S275JR II</t>
  </si>
  <si>
    <t>1251122107798</t>
  </si>
  <si>
    <t>Thép HRC HSPM 2.64x121Y CS type B II</t>
  </si>
  <si>
    <t>1251122107811</t>
  </si>
  <si>
    <t>Thép HRC HSPM 3.40x121Y CS type B II</t>
  </si>
  <si>
    <t>1251122107835</t>
  </si>
  <si>
    <t>Thép HRC HSPM 4.75x121Y CS type B II</t>
  </si>
  <si>
    <t>1251122107859</t>
  </si>
  <si>
    <t>Thép HRC HSPM 2.67x121Y CS type B II</t>
  </si>
  <si>
    <t>1251122107873</t>
  </si>
  <si>
    <t>Thép HRC HSPM 2.29x121Y CS type B II</t>
  </si>
  <si>
    <t>1251122107897</t>
  </si>
  <si>
    <t>Thép HRC HSPM 1.83x121Y CS type B II</t>
  </si>
  <si>
    <t>1251122107910</t>
  </si>
  <si>
    <t>Thép HRC HSPM 2.00x125Y SPHC II</t>
  </si>
  <si>
    <t>1251122107972</t>
  </si>
  <si>
    <t>Thép HRC HSPM 2.87x126Y SPHC II</t>
  </si>
  <si>
    <t>1251122107996</t>
  </si>
  <si>
    <t>Thép HRC HSPM 3.00x123X BjPC II</t>
  </si>
  <si>
    <t>1251122108016</t>
  </si>
  <si>
    <t>Thép HRC HSPM 2.50x123X BjPC II</t>
  </si>
  <si>
    <t>1251122108030</t>
  </si>
  <si>
    <t>Thép HRC HSPM 3.65x121Y S275JR II</t>
  </si>
  <si>
    <t>1251122108054</t>
  </si>
  <si>
    <t>Thép HRC HSPM 4.15x121Y S275JR II</t>
  </si>
  <si>
    <t>4.15×1217×C</t>
  </si>
  <si>
    <t>1251122108078</t>
  </si>
  <si>
    <t>Thép HRC HSPM 4.15x152X S275JR II</t>
  </si>
  <si>
    <t>4.15×1522×C</t>
  </si>
  <si>
    <t>1251122108092</t>
  </si>
  <si>
    <t>Thép HRC HSPM 4.65x152X S275JR II</t>
  </si>
  <si>
    <t>1251122108115</t>
  </si>
  <si>
    <t>Thép HRC HSPM 2.66x121Y SAE1008 II</t>
  </si>
  <si>
    <t>2.66×1217×C</t>
  </si>
  <si>
    <t>1251122108139</t>
  </si>
  <si>
    <t>Thép HRC HSPM 3.02x121Y CS typeB II</t>
  </si>
  <si>
    <t>1251122108153</t>
  </si>
  <si>
    <t>Thép HRC HSPM 1.80x131X S235JR II</t>
  </si>
  <si>
    <t>1251122107958</t>
  </si>
  <si>
    <t>Thép HRC HSPM 1.96x108X S235JR II</t>
  </si>
  <si>
    <t>1251122107934</t>
  </si>
  <si>
    <t>Thép HRC HSPM 1.75x121X SPHC II</t>
  </si>
  <si>
    <t>1251122109037</t>
  </si>
  <si>
    <t>Thép HRC HSPM 1.93x121X SPHC II</t>
  </si>
  <si>
    <t>1251122109051</t>
  </si>
  <si>
    <t>Thép HRC HSPM 2.75x134X S275JR II</t>
  </si>
  <si>
    <t>1251122109075</t>
  </si>
  <si>
    <t>Thép HRC HSPM 2.43x121X S275JR II</t>
  </si>
  <si>
    <t>1251122109099</t>
  </si>
  <si>
    <t>Thép HRC HSPM 2.88x121X S275JR II</t>
  </si>
  <si>
    <t>1251122109112</t>
  </si>
  <si>
    <t>Thép HRC HSPM 4.25x121X S275JR II</t>
  </si>
  <si>
    <t>1251122109136</t>
  </si>
  <si>
    <t>Thép HRC HSPM 4.75x121X S275JR II</t>
  </si>
  <si>
    <t>1251122109150</t>
  </si>
  <si>
    <t>Thép HRC HSPM 2.88x152X S275JR II</t>
  </si>
  <si>
    <t>1251122109174</t>
  </si>
  <si>
    <t>Thép HRC HSPM 3.80x123X SAE1006 II</t>
  </si>
  <si>
    <t>1251122109198</t>
  </si>
  <si>
    <t>Thép HRC HSPM 4.00x126X SAE1006 II</t>
  </si>
  <si>
    <t>1251122109211</t>
  </si>
  <si>
    <t>Thép HRC HSPM 2.05x126X SAE1006 II</t>
  </si>
  <si>
    <t>2.05×1262×C</t>
  </si>
  <si>
    <t>1251122109235</t>
  </si>
  <si>
    <t>Thép HRC HSPM 2.35x126X SAE1006 II</t>
  </si>
  <si>
    <t>1251122109259</t>
  </si>
  <si>
    <t>Thép HRC HSPM 2.55x126X SAE1006 II</t>
  </si>
  <si>
    <t>2.55×1262×C</t>
  </si>
  <si>
    <t>1251122109273</t>
  </si>
  <si>
    <t>Thép HRC HSPM 2.45x126X SAE1017 II</t>
  </si>
  <si>
    <t>1251122109297</t>
  </si>
  <si>
    <t>Thép HRC HSPM 2.95x125X SPHC II</t>
  </si>
  <si>
    <t>1251122109358</t>
  </si>
  <si>
    <t>[D]Thép cuộn cán nóng 2.00x120X SPA-H</t>
  </si>
  <si>
    <t>1251122108177</t>
  </si>
  <si>
    <t>[D]Thép cuộn cán nóng 2.00x120X SPA-H II</t>
  </si>
  <si>
    <t>1251122108184</t>
  </si>
  <si>
    <t>[D]Thép cuộn cán nóng 1.60x120X SPA-H</t>
  </si>
  <si>
    <t>1.60×1202×C</t>
  </si>
  <si>
    <t>1251122108191</t>
  </si>
  <si>
    <t>[D]Thép cuộn cán nóng 1.60x120X SPA-H II</t>
  </si>
  <si>
    <t>1251122108207</t>
  </si>
  <si>
    <t>Thép HRC HSPM 12.00x152X S355JR II</t>
  </si>
  <si>
    <t>12.00×1522×C</t>
  </si>
  <si>
    <t>BS EN 10025-2 </t>
  </si>
  <si>
    <t>1251122109389</t>
  </si>
  <si>
    <t>Thép HRC HSPM 2.50x125X SS400 II</t>
  </si>
  <si>
    <t>1251122109402</t>
  </si>
  <si>
    <t>Thép HRC HSPM 2.80x123X SAE1006 II</t>
  </si>
  <si>
    <t>1251122109426</t>
  </si>
  <si>
    <t>Thép HRC HSPM 3.20x123X SAE1006 II</t>
  </si>
  <si>
    <t>1251122109440</t>
  </si>
  <si>
    <t>Thép HRC HSPM 3.50x123X SAE1006 II</t>
  </si>
  <si>
    <t>1251122109464</t>
  </si>
  <si>
    <t>Thép HRC HSPM 2.00x123X BJPC II</t>
  </si>
  <si>
    <t>1251122109488</t>
  </si>
  <si>
    <t>Thép HRC HSPM 2.43x121Y S275JR</t>
  </si>
  <si>
    <t>1251122107767</t>
  </si>
  <si>
    <t>Thép HRC HSPM 4.65x121Y S275JR</t>
  </si>
  <si>
    <t>1251122107781</t>
  </si>
  <si>
    <t>Thép HRC HSPM 2.64x121Y CS type B</t>
  </si>
  <si>
    <t>1251122107804</t>
  </si>
  <si>
    <t>Thép HRC HSPM 3.40x121Y CS type B</t>
  </si>
  <si>
    <t>1251122107828</t>
  </si>
  <si>
    <t>Thép HRC HSPM 4.75x121Y CS type B</t>
  </si>
  <si>
    <t>1251122107842</t>
  </si>
  <si>
    <t>Thép HRC HSPM 2.67x121Y CS type B</t>
  </si>
  <si>
    <t>1251122107866</t>
  </si>
  <si>
    <t>Thép HRC HSPM 2.29x121Y CS type B</t>
  </si>
  <si>
    <t>1251122107880</t>
  </si>
  <si>
    <t>Thép HRC HSPM 4.75x121Y S275JR</t>
  </si>
  <si>
    <t>1251122107606</t>
  </si>
  <si>
    <t>Thép HRC HSPM 3.02x121Y ASTM A36</t>
  </si>
  <si>
    <t>1251122107644</t>
  </si>
  <si>
    <t>Thép HRC HSPM 3.40x121Y ASTM A36</t>
  </si>
  <si>
    <t>1251122107668</t>
  </si>
  <si>
    <t>Thép HRC HSPM 2.64x152X ASTM A36</t>
  </si>
  <si>
    <t>1251122107682</t>
  </si>
  <si>
    <t>Thép HRC HSPM 3.02x152X ASTM A36</t>
  </si>
  <si>
    <t>1251122107705</t>
  </si>
  <si>
    <t>Thép HRC HSPM 3.00x151Y S275JR</t>
  </si>
  <si>
    <t>1251122107743</t>
  </si>
  <si>
    <t>Thép HRC HSPM 1.83x121Y CS type B</t>
  </si>
  <si>
    <t>1251122107903</t>
  </si>
  <si>
    <t>Thép HRC HSPM 1.96x108X S235JR</t>
  </si>
  <si>
    <t>1251122107927</t>
  </si>
  <si>
    <t>Thép HRC HSPM 1.80x131X S235JR</t>
  </si>
  <si>
    <t>1251122107941</t>
  </si>
  <si>
    <t>Thép HRC HSPM 2.00x125Y SPHC</t>
  </si>
  <si>
    <t>1251122107965</t>
  </si>
  <si>
    <t>Thép HRC HSPM 2.87x126Y SPHC</t>
  </si>
  <si>
    <t>1251122107989</t>
  </si>
  <si>
    <t>Thép HRC HSPM 3.00x123X BjPC</t>
  </si>
  <si>
    <t>1251122108009</t>
  </si>
  <si>
    <t>Thép HRC HSPM 2.50x123X BjPC</t>
  </si>
  <si>
    <t>1251122108023</t>
  </si>
  <si>
    <t>Thép HRC HSPM 3.65x121Y S275JR</t>
  </si>
  <si>
    <t>1251122108047</t>
  </si>
  <si>
    <t>Thép HRC HSPM 4.15x121Y S275JR</t>
  </si>
  <si>
    <t>1251122108061</t>
  </si>
  <si>
    <t>Thép HRC HSPM 4.15x152X S275JR</t>
  </si>
  <si>
    <t>1251122108085</t>
  </si>
  <si>
    <t>Thép HRC HSPM 4.65x152X S275JR</t>
  </si>
  <si>
    <t>1251122108108</t>
  </si>
  <si>
    <t>Thép HRC HSPM 2.66x121Y SAE1008</t>
  </si>
  <si>
    <t>1251122108122</t>
  </si>
  <si>
    <t>Thép HRC HSPM 3.02x121Y CS typeB</t>
  </si>
  <si>
    <t>1251122108146</t>
  </si>
  <si>
    <t>Thép HRC HSPM 1.75x121X SPHC</t>
  </si>
  <si>
    <t>1251122109020</t>
  </si>
  <si>
    <t>Thép HRC HSPM 1.93x121X SPHC</t>
  </si>
  <si>
    <t>1251122109044</t>
  </si>
  <si>
    <t>Thép HRC HSPM 2.75x134X S275JR</t>
  </si>
  <si>
    <t>1251122109068</t>
  </si>
  <si>
    <t>Thép HRC HSPM 2.43x121X S275JR</t>
  </si>
  <si>
    <t>1251122109082</t>
  </si>
  <si>
    <t>Thép HRC HSPM 2.88x121X S275JR</t>
  </si>
  <si>
    <t>1251122109105</t>
  </si>
  <si>
    <t>Thép HRC HSPM 4.25x121X S275JR</t>
  </si>
  <si>
    <t>1251122109129</t>
  </si>
  <si>
    <t>Thép HRC HSPM 4.75x121X S275JR</t>
  </si>
  <si>
    <t>1251122109143</t>
  </si>
  <si>
    <t>Thép HRC HSPM 3.80x123X SAE1006</t>
  </si>
  <si>
    <t>1251122109181</t>
  </si>
  <si>
    <t>Thép HRC HSPM 4.00x126X SAE1006</t>
  </si>
  <si>
    <t>1251122109204</t>
  </si>
  <si>
    <t>Thép HRC HSPM 2.05x126X SAE1006</t>
  </si>
  <si>
    <t>1251122109228</t>
  </si>
  <si>
    <t>Thép HRC HSPM 2.35x126X SAE1006</t>
  </si>
  <si>
    <t>1251122109242</t>
  </si>
  <si>
    <t>Thép HRC HSPM 2.55x126X SAE1006</t>
  </si>
  <si>
    <t>1251122109266</t>
  </si>
  <si>
    <t>Thép HRC HSPM 2.45x126X SAE1017</t>
  </si>
  <si>
    <t>1251122109280</t>
  </si>
  <si>
    <t>Thép HRC HSPM 2.95x125X SPHC</t>
  </si>
  <si>
    <t>1251122109341</t>
  </si>
  <si>
    <t>Thép HRC HSPM 12.00x152X S355JR</t>
  </si>
  <si>
    <t>1251122109372</t>
  </si>
  <si>
    <t>Thép HRC HSPM 2.50x125X SS400</t>
  </si>
  <si>
    <t>1251122109396</t>
  </si>
  <si>
    <t>Thép HRC HSPM 2.80x123X SAE1006</t>
  </si>
  <si>
    <t>1251122109419</t>
  </si>
  <si>
    <t>Thép HRC HSPM 3.20x123X SAE1006</t>
  </si>
  <si>
    <t>1251122109433</t>
  </si>
  <si>
    <t>Thép HRC HSPM 3.50x123X SAE1006</t>
  </si>
  <si>
    <t>1251122109457</t>
  </si>
  <si>
    <t>Thép HRC HSPM 2.00x123X BJPC</t>
  </si>
  <si>
    <t>1251122109471</t>
  </si>
  <si>
    <t>Thép HRC HSPM 2.23x121X S275JR</t>
  </si>
  <si>
    <t>1251122107729</t>
  </si>
  <si>
    <t>Thép HRC HSPM 2.88x152X S275JR</t>
  </si>
  <si>
    <t>1251122109167</t>
  </si>
  <si>
    <t>Thép cuộn cán nóng 3.95x120Y SAE1006 II</t>
  </si>
  <si>
    <t>3.95×1207×C</t>
  </si>
  <si>
    <t>1251121960936</t>
  </si>
  <si>
    <t>Thép cuộn cán nóng 3.95x120Y SAE1006</t>
  </si>
  <si>
    <t>1251121960929</t>
  </si>
  <si>
    <t>Thép cuộn cán nóng 2.00x123X BJPC II</t>
  </si>
  <si>
    <t>1251121960912</t>
  </si>
  <si>
    <t>Thép cuộn cán nóng 2.00x123X BJPC</t>
  </si>
  <si>
    <t>1251121960905</t>
  </si>
  <si>
    <t>Thép cuộn cán nóng 7.90x135X SS400 II</t>
  </si>
  <si>
    <t>7.90×1352×C</t>
  </si>
  <si>
    <t>1251121960783</t>
  </si>
  <si>
    <t>Thép cuộn cán nóng 7.90x135X SS400</t>
  </si>
  <si>
    <t>1251121960776</t>
  </si>
  <si>
    <t>Thép cuộn cán nóng 6.90x135X SS400 II</t>
  </si>
  <si>
    <t>6.90×1352×C</t>
  </si>
  <si>
    <t>1251121960769</t>
  </si>
  <si>
    <t>Thép cuộn cán nóng 6.90x135X SS400</t>
  </si>
  <si>
    <t>1251121960752</t>
  </si>
  <si>
    <t>Thép cuộn cán nóng 3.45x135X SS400 II</t>
  </si>
  <si>
    <t>3.45×1352×C</t>
  </si>
  <si>
    <t>1251121960745</t>
  </si>
  <si>
    <t>Thép cuộn cán nóng 3.45x135X SS400</t>
  </si>
  <si>
    <t>1251121960738</t>
  </si>
  <si>
    <t>Thép cuộn cán nóng 6.90x103Y SS400 II</t>
  </si>
  <si>
    <t>6.90×1037×C</t>
  </si>
  <si>
    <t>1251121960721</t>
  </si>
  <si>
    <t>Thép cuộn cán nóng 6.90x103Y SS400</t>
  </si>
  <si>
    <t>1251121960714</t>
  </si>
  <si>
    <t>Thép cuộn cán nóng 6.00x103Y SS400 II</t>
  </si>
  <si>
    <t>6.00×1037×C</t>
  </si>
  <si>
    <t>1251121960707</t>
  </si>
  <si>
    <t>Thép cuộn cán nóng 6.00x103Y SS400</t>
  </si>
  <si>
    <t>1251121960691</t>
  </si>
  <si>
    <t>Thép cuộn cán nóng 5.40x103Y SS400 II</t>
  </si>
  <si>
    <t>5.40×1037×C</t>
  </si>
  <si>
    <t>1251121960684</t>
  </si>
  <si>
    <t>Thép cuộn cán nóng 5.40x103Y SS400</t>
  </si>
  <si>
    <t>1251121960677</t>
  </si>
  <si>
    <t>Thép cuộn cán nóng 5.30x104X SS400 II</t>
  </si>
  <si>
    <t>5.30×1042×C</t>
  </si>
  <si>
    <t>1251121960660</t>
  </si>
  <si>
    <t>Thép cuộn cán nóng 5.30x104X SS400</t>
  </si>
  <si>
    <t>1251121960653</t>
  </si>
  <si>
    <t>Thép cuộn cán nóng 4.60x104X SS400 II</t>
  </si>
  <si>
    <t>4.60×1042×C</t>
  </si>
  <si>
    <t>1251121960646</t>
  </si>
  <si>
    <t>Thép cuộn cán nóng 4.60x104X SS400</t>
  </si>
  <si>
    <t>1251121960639</t>
  </si>
  <si>
    <t>Thép cuộn cán nóng 3.80x104X SS400 II</t>
  </si>
  <si>
    <t>1251121960622</t>
  </si>
  <si>
    <t>Thép cuộn cán nóng 3.80x104X SS400</t>
  </si>
  <si>
    <t>1251121960615</t>
  </si>
  <si>
    <t>Thép cuộn cán nóng 3.45x126X SS400 II</t>
  </si>
  <si>
    <t>1251121960608</t>
  </si>
  <si>
    <t>Thép cuộn cán nóng 3.45x126X SS400</t>
  </si>
  <si>
    <t>1251121960592</t>
  </si>
  <si>
    <t>Thép cuộn cán nóng 1.78x126X SAE1006 II</t>
  </si>
  <si>
    <t>1.78×1262×C</t>
  </si>
  <si>
    <t>1251121960585</t>
  </si>
  <si>
    <t>Thép cuộn cán nóng 1.78x126X SAE1006</t>
  </si>
  <si>
    <t>1251121960578</t>
  </si>
  <si>
    <t>Thép cuộn cán nóng 1.48x126X SAE1006 II</t>
  </si>
  <si>
    <t>1.48×1262×C</t>
  </si>
  <si>
    <t>1251121960561</t>
  </si>
  <si>
    <t>Thép cuộn cán nóng 1.48x126X SAE1006</t>
  </si>
  <si>
    <t>1251121960554</t>
  </si>
  <si>
    <t>Thép cuộn cán nóng 3.15x126X SAE1006 II</t>
  </si>
  <si>
    <t>1251121960547</t>
  </si>
  <si>
    <t>Thép cuộn cán nóng 3.15x126X SAE1006</t>
  </si>
  <si>
    <t>1251121960530</t>
  </si>
  <si>
    <t>[D]Thép cuộn cán nóng 3.15x126Y SAE1006</t>
  </si>
  <si>
    <t>1251121957042</t>
  </si>
  <si>
    <t>1251121957035</t>
  </si>
  <si>
    <t>Thép cuộn cán nóng 12.00x152X S355JR II</t>
  </si>
  <si>
    <t>1251121957028</t>
  </si>
  <si>
    <t>Thép cuộn cán nóng 12.00x152X S355JR</t>
  </si>
  <si>
    <t>1251121957011</t>
  </si>
  <si>
    <t>Thép cuộn cán nóng 2.95x126X SAE1006 II</t>
  </si>
  <si>
    <t>1251121956922</t>
  </si>
  <si>
    <t>Thép cuộn cán nóng 2.95x126X SAE1006</t>
  </si>
  <si>
    <t>1251121956915</t>
  </si>
  <si>
    <t>Thép cuộn cán nóng 1.40x121Y SAE1006 II</t>
  </si>
  <si>
    <t>1.40×1217×C</t>
  </si>
  <si>
    <t>1251121956908</t>
  </si>
  <si>
    <t>Thép cuộn cán nóng 1.40x121Y SAE1006</t>
  </si>
  <si>
    <t>1251121956892</t>
  </si>
  <si>
    <t>Thép cuộn cán nóng 1.30x121Y SAE1006 II</t>
  </si>
  <si>
    <t>1.30×1217×C</t>
  </si>
  <si>
    <t>1251121956885</t>
  </si>
  <si>
    <t>Thép cuộn cán nóng 1.30x121Y SAE1006</t>
  </si>
  <si>
    <t>1251121956878</t>
  </si>
  <si>
    <t>Thép cuộn cán nóng 1.20x121Y SAE1006 II</t>
  </si>
  <si>
    <t>1.20×1217×C</t>
  </si>
  <si>
    <t>1251121956861</t>
  </si>
  <si>
    <t>Thép cuộn cán nóng 1.20x121Y SAE1006</t>
  </si>
  <si>
    <t>1251121956854</t>
  </si>
  <si>
    <t>Thép cuộn cán nóng 3.00x136X SAE1006 II</t>
  </si>
  <si>
    <t>3.00×1362×C</t>
  </si>
  <si>
    <t>1251121956687</t>
  </si>
  <si>
    <t>Thép cuộn cán nóng 3.00x136X SAE1006</t>
  </si>
  <si>
    <t>1251121956670</t>
  </si>
  <si>
    <t>Thép cuộn cán nóng 3.20x136X SAE1006 II</t>
  </si>
  <si>
    <t>3.20×1362×C</t>
  </si>
  <si>
    <t>1251121956663</t>
  </si>
  <si>
    <t>Thép cuộn cán nóng 3.20x136X SAE1006</t>
  </si>
  <si>
    <t>1251121956656</t>
  </si>
  <si>
    <t>Thép cuộn cán nóng 2.65x121X SAE1006 II</t>
  </si>
  <si>
    <t>2.65×1212×C</t>
  </si>
  <si>
    <t>1251121956625</t>
  </si>
  <si>
    <t>Thép cuộn cán nóng 2.65x121X SAE1006</t>
  </si>
  <si>
    <t>1251121956618</t>
  </si>
  <si>
    <t>Thép cuộn cán nóng 2.95x125X SPHC II</t>
  </si>
  <si>
    <t>1251121956601</t>
  </si>
  <si>
    <t>Thép cuộn cán nóng 2.95x125X SPHC</t>
  </si>
  <si>
    <t>1251121956595</t>
  </si>
  <si>
    <t>Thép cuộn cán nóng 2.75x140X SAE1006 II</t>
  </si>
  <si>
    <t>2.75×1402×C</t>
  </si>
  <si>
    <t>1251121956588</t>
  </si>
  <si>
    <t>Thép cuộn cán nóng 2.75x140X SAE1006</t>
  </si>
  <si>
    <t>1251121956571</t>
  </si>
  <si>
    <t>Thép cuộn cán nóng 2.50x140X SAE1006 II</t>
  </si>
  <si>
    <t>2.50×1402×C</t>
  </si>
  <si>
    <t>1251121956564</t>
  </si>
  <si>
    <t>Thép cuộn cán nóng 2.50x140X SAE1006</t>
  </si>
  <si>
    <t>1251121956557</t>
  </si>
  <si>
    <t>Thép cuộn cán nóng 2.30x140X SAE1006 II</t>
  </si>
  <si>
    <t>2.30×1402×C</t>
  </si>
  <si>
    <t>1251121956540</t>
  </si>
  <si>
    <t>Thép cuộn cán nóng 2.30x140X SAE1006</t>
  </si>
  <si>
    <t>1251121956533</t>
  </si>
  <si>
    <t>Thép cuộn cán nóng 7.30x137X SS400 II</t>
  </si>
  <si>
    <t>7.30×1372×C</t>
  </si>
  <si>
    <t>1251121956526</t>
  </si>
  <si>
    <t>Thép cuộn cán nóng 7.30x137X SS400</t>
  </si>
  <si>
    <t>1251121956519</t>
  </si>
  <si>
    <t>Thép cuộn cán nóng 4.55x134Y SS400 II</t>
  </si>
  <si>
    <t>4.55×1347×C</t>
  </si>
  <si>
    <t>1251121956502</t>
  </si>
  <si>
    <t>Thép cuộn cán nóng 4.55x134Y SS400</t>
  </si>
  <si>
    <t>1251121956496</t>
  </si>
  <si>
    <t>Thép cuộn cán nóng 4.50x130Y SS400 II</t>
  </si>
  <si>
    <t>4.50×1307×C</t>
  </si>
  <si>
    <t>1251121956489</t>
  </si>
  <si>
    <t>Thép cuộn cán nóng 4.50x130Y SS400</t>
  </si>
  <si>
    <t>1251121956472</t>
  </si>
  <si>
    <t>Thép cuộn cán nóng 4.10x130Y SS400 II</t>
  </si>
  <si>
    <t>4.10×1307×C</t>
  </si>
  <si>
    <t>1251121956465</t>
  </si>
  <si>
    <t>Thép cuộn cán nóng 4.10x130Y SS400</t>
  </si>
  <si>
    <t>1251121956458</t>
  </si>
  <si>
    <t>Thép cuộn cán nóng 5.12x126X SS400 II</t>
  </si>
  <si>
    <t>5.12×1262×C</t>
  </si>
  <si>
    <t>1251121956441</t>
  </si>
  <si>
    <t>Thép cuộn cán nóng 5.12x126X SS400</t>
  </si>
  <si>
    <t>1251121956434</t>
  </si>
  <si>
    <t>Thép cuộn cán nóng 3.62x126X SS400 II</t>
  </si>
  <si>
    <t>3.62×1262×C</t>
  </si>
  <si>
    <t>1251121956427</t>
  </si>
  <si>
    <t>Thép cuộn cán nóng 3.62x126X SS400</t>
  </si>
  <si>
    <t>1251121956410</t>
  </si>
  <si>
    <t>Thép cuộn cán nóng 3.55x126X SS400 II</t>
  </si>
  <si>
    <t>3.55×1262×C</t>
  </si>
  <si>
    <t>1251121956403</t>
  </si>
  <si>
    <t>Thép cuộn cán nóng 3.55x126X SS400</t>
  </si>
  <si>
    <t>1251121956397</t>
  </si>
  <si>
    <t>Thép cuộn cán nóng 3.30x127X S275JR II</t>
  </si>
  <si>
    <t>3.30×1272×C</t>
  </si>
  <si>
    <t>1251121956380</t>
  </si>
  <si>
    <t>Thép cuộn cán nóng 3.30x127X S275JR</t>
  </si>
  <si>
    <t>1251121956373</t>
  </si>
  <si>
    <t>Thép cuộn cán nóng 2.35x127X S275JR II</t>
  </si>
  <si>
    <t>2.35×1272×C</t>
  </si>
  <si>
    <t>1251121956366</t>
  </si>
  <si>
    <t>Thép cuộn cán nóng 2.35x127X S275JR</t>
  </si>
  <si>
    <t>1251121956359</t>
  </si>
  <si>
    <t>Thép cuộn cán nóng 2.80x127Y S235 JR II</t>
  </si>
  <si>
    <t>2.80×1277×C</t>
  </si>
  <si>
    <t>1251121956342</t>
  </si>
  <si>
    <t>Thép cuộn cán nóng 2.80x127Y S235 JR</t>
  </si>
  <si>
    <t>1251121956335</t>
  </si>
  <si>
    <t>Thép cuộn cán nóng 2.45x127Y S235 JR II</t>
  </si>
  <si>
    <t>2.45×1277×C</t>
  </si>
  <si>
    <t>1251121956328</t>
  </si>
  <si>
    <t>Thép cuộn cán nóng 2.45x127Y S235 JR</t>
  </si>
  <si>
    <t>1251121956311</t>
  </si>
  <si>
    <t>Thép cuộn cán nóng 2.25x127Y S235 JR II</t>
  </si>
  <si>
    <t>2.25×1277×C</t>
  </si>
  <si>
    <t>1251121956304</t>
  </si>
  <si>
    <t>Thép cuộn cán nóng 2.25x127Y S235 JR</t>
  </si>
  <si>
    <t>1251121956298</t>
  </si>
  <si>
    <t>Thép cuộn cán nóng 2.03x127Y S235 JR II</t>
  </si>
  <si>
    <t>2.03×1277×C</t>
  </si>
  <si>
    <t>1251121956281</t>
  </si>
  <si>
    <t>Thép cuộn cán nóng 2.03x127Y S235 JR</t>
  </si>
  <si>
    <t>1251121956274</t>
  </si>
  <si>
    <t>Thép cuộn cán nóng 2.00x127Y S235 JR II</t>
  </si>
  <si>
    <t>2.00×1277×C</t>
  </si>
  <si>
    <t>1251121956267</t>
  </si>
  <si>
    <t>Thép cuộn cán nóng 2.00x127Y S235 JR</t>
  </si>
  <si>
    <t>1251121956250</t>
  </si>
  <si>
    <t>Thép cuộn cán nóng 2.50x137X SS400 II</t>
  </si>
  <si>
    <t>2.50×1372×C</t>
  </si>
  <si>
    <t>1251121956243</t>
  </si>
  <si>
    <t>Thép cuộn cán nóng 2.50x137X SS400</t>
  </si>
  <si>
    <t>1251121956236</t>
  </si>
  <si>
    <t>Thép cuộn cán nóng 2.95x134Y SS400 II</t>
  </si>
  <si>
    <t>2.95×1347×C</t>
  </si>
  <si>
    <t>1251121956229</t>
  </si>
  <si>
    <t>Thép cuộn cán nóng 2.95x134Y SS400</t>
  </si>
  <si>
    <t>1251121956212</t>
  </si>
  <si>
    <t>Thép cuộn cán nóng 2.85x120Y SS400 II</t>
  </si>
  <si>
    <t>2.85×1207×C</t>
  </si>
  <si>
    <t>1251121956205</t>
  </si>
  <si>
    <t>Thép cuộn cán nóng 2.85x120Y SS400</t>
  </si>
  <si>
    <t>1251121956199</t>
  </si>
  <si>
    <t>Thép cuộn cán nóng 2.40x120Y SS400 II</t>
  </si>
  <si>
    <t>2.40×1207×C</t>
  </si>
  <si>
    <t>1251121956182</t>
  </si>
  <si>
    <t>Thép cuộn cán nóng 2.40x120Y SS400</t>
  </si>
  <si>
    <t>1251121956175</t>
  </si>
  <si>
    <t>Thép cuộn cán nóng 3.40x130Y SS400 II</t>
  </si>
  <si>
    <t>3.40×1307×C</t>
  </si>
  <si>
    <t>1251121956168</t>
  </si>
  <si>
    <t>Thép cuộn cán nóng 3.40x130Y SS400</t>
  </si>
  <si>
    <t>1251121956151</t>
  </si>
  <si>
    <t>Thép cuộn cán nóng 3.10x130Y SS400 II</t>
  </si>
  <si>
    <t>3.10×1307×C</t>
  </si>
  <si>
    <t>1251121956144</t>
  </si>
  <si>
    <t>Thép cuộn cán nóng 3.10x130Y SS400</t>
  </si>
  <si>
    <t>1251121956137</t>
  </si>
  <si>
    <t>Thép cuộn cán nóng 2.52x130Y SS400 II</t>
  </si>
  <si>
    <t>2.52×1307×C</t>
  </si>
  <si>
    <t>1251121956120</t>
  </si>
  <si>
    <t>Thép cuộn cán nóng 2.52x130Y SS400</t>
  </si>
  <si>
    <t>1251121956113</t>
  </si>
  <si>
    <t>Thép cuộn cán nóng 2.25x104Y SS400 II</t>
  </si>
  <si>
    <t>1251121956106</t>
  </si>
  <si>
    <t>Thép cuộn cán nóng 2.25x104Y SS400</t>
  </si>
  <si>
    <t>1251121956090</t>
  </si>
  <si>
    <t>Thép cuộn cán nóng 3.75x141X SS400 II</t>
  </si>
  <si>
    <t>3.75×1412×C</t>
  </si>
  <si>
    <t>1251121956083</t>
  </si>
  <si>
    <t>Thép cuộn cán nóng 3.75x141X SS400</t>
  </si>
  <si>
    <t>1251121956076</t>
  </si>
  <si>
    <t>Thép cuộn cán nóng 3.40x125X SAE1006 II</t>
  </si>
  <si>
    <t>3.40×1252×C</t>
  </si>
  <si>
    <t>1251121956069</t>
  </si>
  <si>
    <t>Thép cuộn cán nóng 3.40x125X SAE1006</t>
  </si>
  <si>
    <t>1251121956052</t>
  </si>
  <si>
    <t>Thép cuộn cán nóng 3.40x150X SS400 II</t>
  </si>
  <si>
    <t>3.40×1502×C</t>
  </si>
  <si>
    <t>1251121956045</t>
  </si>
  <si>
    <t>Thép cuộn cán nóng 3.40x150X SS400</t>
  </si>
  <si>
    <t>1251121956038</t>
  </si>
  <si>
    <t>Thép cuộn cán nóng 3.80x126X SPHC II</t>
  </si>
  <si>
    <t>1251121956021</t>
  </si>
  <si>
    <t>Thép cuộn cán nóng 3.80x126X SPHC</t>
  </si>
  <si>
    <t>1251121956014</t>
  </si>
  <si>
    <t>Thép cuộn cán nóng 3.10x126X SPHC II</t>
  </si>
  <si>
    <t>1251121956007</t>
  </si>
  <si>
    <t>Thép cuộn cán nóng 3.10x126X SPHC</t>
  </si>
  <si>
    <t>1251121955994</t>
  </si>
  <si>
    <t>Thép cuộn cán nóng 2.95x126X SPHC II</t>
  </si>
  <si>
    <t>1251121955987</t>
  </si>
  <si>
    <t>Thép cuộn cán nóng 2.95x126X SPHC</t>
  </si>
  <si>
    <t>1251121955970</t>
  </si>
  <si>
    <t>Thép cuộn cán nóng 2.72x126X SPHC II</t>
  </si>
  <si>
    <t>2.72×1262×C</t>
  </si>
  <si>
    <t>1251121955963</t>
  </si>
  <si>
    <t>Thép cuộn cán nóng 2.72x126X SPHC</t>
  </si>
  <si>
    <t>1251121955956</t>
  </si>
  <si>
    <t>Thép cuộn cán nóng 2.52x126X SPHC II</t>
  </si>
  <si>
    <t>2.52×1262×C</t>
  </si>
  <si>
    <t>1251121955949</t>
  </si>
  <si>
    <t>Thép cuộn cán nóng 2.52x126X SPHC</t>
  </si>
  <si>
    <t>1251121955932</t>
  </si>
  <si>
    <t>Thép cuộn cán nóng 4.00x132Y SAE1006 II</t>
  </si>
  <si>
    <t>4.00×1327×C</t>
  </si>
  <si>
    <t>1251121955925</t>
  </si>
  <si>
    <t>Thép cuộn cán nóng 4.00x132Y SAE1006</t>
  </si>
  <si>
    <t>1251121955918</t>
  </si>
  <si>
    <t>Thép cuộn cán nóng 2.95x132Y SAE1006 II</t>
  </si>
  <si>
    <t>2.95×1327×C</t>
  </si>
  <si>
    <t>1251121955901</t>
  </si>
  <si>
    <t>Thép cuộn cán nóng 2.95x132Y SAE1006</t>
  </si>
  <si>
    <t>1251121955895</t>
  </si>
  <si>
    <t>Thép cuộn cán nóng 2.45x132Y SAE1006 II</t>
  </si>
  <si>
    <t>2.45×1327×C</t>
  </si>
  <si>
    <t>1251121955888</t>
  </si>
  <si>
    <t>Thép cuộn cán nóng 2.45x132Y SAE1006</t>
  </si>
  <si>
    <t>1251121955871</t>
  </si>
  <si>
    <t>Thép cuộn cán nóng 2.45x121X SPHC II</t>
  </si>
  <si>
    <t>1251121955864</t>
  </si>
  <si>
    <t>Thép cuộn cán nóng 2.45x121X SPHC</t>
  </si>
  <si>
    <t>1251121955857</t>
  </si>
  <si>
    <t>Thép cuộn cán nóng 2.25x121X SPHC II</t>
  </si>
  <si>
    <t>1251121955840</t>
  </si>
  <si>
    <t>Thép cuộn cán nóng 2.25x121X SPHC</t>
  </si>
  <si>
    <t>1251121955833</t>
  </si>
  <si>
    <t>Thép cuộn cán nóng 2.82x121X SPHC II</t>
  </si>
  <si>
    <t>2.82×1212×C</t>
  </si>
  <si>
    <t>1251121955826</t>
  </si>
  <si>
    <t>Thép cuộn cán nóng 2.82x121X SPHC</t>
  </si>
  <si>
    <t>1251121955819</t>
  </si>
  <si>
    <t>Thép cuộn cán nóng 2.60x121X SPHC II</t>
  </si>
  <si>
    <t>2.60×1212×C</t>
  </si>
  <si>
    <t>1251121955802</t>
  </si>
  <si>
    <t>Thép cuộn cán nóng 2.60x121X SPHC</t>
  </si>
  <si>
    <t>1251121955796</t>
  </si>
  <si>
    <t>Thép cuộn cán nóng 4.30x126X SAE1006 II</t>
  </si>
  <si>
    <t>1251121955789</t>
  </si>
  <si>
    <t>Thép cuộn cán nóng 4.30x126X SAE1006</t>
  </si>
  <si>
    <t>1251121955772</t>
  </si>
  <si>
    <t>Thép cuộn cán nóng 4.20x126X SAE1006 II</t>
  </si>
  <si>
    <t>4.20×1262×C</t>
  </si>
  <si>
    <t>1251121955765</t>
  </si>
  <si>
    <t>Thép cuộn cán nóng 4.20x126X SAE1006</t>
  </si>
  <si>
    <t>1251121955758</t>
  </si>
  <si>
    <t>Thép cuộn cán nóng 4.10x126X SAE1006 II</t>
  </si>
  <si>
    <t>4.10×1262×C</t>
  </si>
  <si>
    <t>1251121955741</t>
  </si>
  <si>
    <t>Thép cuộn cán nóng 4.10x126X SAE1006</t>
  </si>
  <si>
    <t>1251121955734</t>
  </si>
  <si>
    <t>Thép cuộn cán nóng 2.80x122X SAE1006 II</t>
  </si>
  <si>
    <t>2.80×1222×C</t>
  </si>
  <si>
    <t>1251121955727</t>
  </si>
  <si>
    <t>Thép cuộn cán nóng 2.80x122X SAE1006</t>
  </si>
  <si>
    <t>1251121955710</t>
  </si>
  <si>
    <t>Thép cuộn cán nóng 2.45x123X SAE1008 II</t>
  </si>
  <si>
    <t>1251121955703</t>
  </si>
  <si>
    <t>Thép cuộn cán nóng 2.45x123X SAE1008</t>
  </si>
  <si>
    <t>1251121955697</t>
  </si>
  <si>
    <t>Thép cuộn cán nóng 2.80x111X SAE1006 II</t>
  </si>
  <si>
    <t>2.80×1112×C</t>
  </si>
  <si>
    <t>1251121955680</t>
  </si>
  <si>
    <t>Thép cuộn cán nóng 2.80x111X SAE1006</t>
  </si>
  <si>
    <t>1251121955673</t>
  </si>
  <si>
    <t>Thép cuộn cán nóng 2.55x126X SAE1006 II</t>
  </si>
  <si>
    <t>1251121955659</t>
  </si>
  <si>
    <t>Thép cuộn cán nóng 2.55x126X SAE1006</t>
  </si>
  <si>
    <t>1251121955642</t>
  </si>
  <si>
    <t>Thép cuộn cán nóng 2.35x126X SAE1006 II</t>
  </si>
  <si>
    <t>1251121955635</t>
  </si>
  <si>
    <t>Thép cuộn cán nóng 2.35x126X SAE1006</t>
  </si>
  <si>
    <t>1251121955628</t>
  </si>
  <si>
    <t>Thép cuộn cán nóng 2.05x126X SAE1006 II</t>
  </si>
  <si>
    <t>1251121955611</t>
  </si>
  <si>
    <t>Thép cuộn cán nóng 2.05x126X SAE1006</t>
  </si>
  <si>
    <t>1251121955604</t>
  </si>
  <si>
    <t>Thép cuộn cán nóng 2.00x118Y SAE1006 II</t>
  </si>
  <si>
    <t>2.00×1187×C</t>
  </si>
  <si>
    <t>1251121955598</t>
  </si>
  <si>
    <t>Thép cuộn cán nóng 2.00x118Y SAE1006</t>
  </si>
  <si>
    <t>1251121955581</t>
  </si>
  <si>
    <t>Thép cuộn cán nóng 2.50x118Y SAE1006 II</t>
  </si>
  <si>
    <t>1251121955574</t>
  </si>
  <si>
    <t>Thép cuộn cán nóng 2.50x118Y SAE1006</t>
  </si>
  <si>
    <t>1251121955567</t>
  </si>
  <si>
    <t>Thép cuộn cán nóng 1.80x118Y SAE1006 II</t>
  </si>
  <si>
    <t>1.80×1187×C</t>
  </si>
  <si>
    <t>1251121955550</t>
  </si>
  <si>
    <t>Thép cuộn cán nóng 1.80x118Y SAE1006</t>
  </si>
  <si>
    <t>1251121955543</t>
  </si>
  <si>
    <t>Thép cuộn cán nóng 2.25x118Y SAE1006 II</t>
  </si>
  <si>
    <t>2.25×1187×C</t>
  </si>
  <si>
    <t>1251121955536</t>
  </si>
  <si>
    <t>Thép cuộn cán nóng 2.25x118Y SAE1006</t>
  </si>
  <si>
    <t>1251121955529</t>
  </si>
  <si>
    <t>Thép cuộn cán nóng 2.45x118Y SAE1006 II</t>
  </si>
  <si>
    <t>2.45×1187×C</t>
  </si>
  <si>
    <t>1251121955512</t>
  </si>
  <si>
    <t>Thép cuộn cán nóng 2.45x118Y SAE1006</t>
  </si>
  <si>
    <t>1251121955505</t>
  </si>
  <si>
    <t>Thép cuộn cán nóng 3.90x148X SS400 II</t>
  </si>
  <si>
    <t>3.90×1482×C</t>
  </si>
  <si>
    <t>1251121955499</t>
  </si>
  <si>
    <t>Thép cuộn cán nóng 3.90x148X SS400</t>
  </si>
  <si>
    <t>1251121955482</t>
  </si>
  <si>
    <t>Thép cuộn cán nóng 3.80x121X SPHC II</t>
  </si>
  <si>
    <t>1251121955475</t>
  </si>
  <si>
    <t>Thép cuộn cán nóng 3.80x121X SPHC</t>
  </si>
  <si>
    <t>1251121955468</t>
  </si>
  <si>
    <t>Thép cuộn cán nóng 3.70x121X SPHC II</t>
  </si>
  <si>
    <t>1251121955451</t>
  </si>
  <si>
    <t>Thép cuộn cán nóng 3.70x121X SPHC</t>
  </si>
  <si>
    <t>1251121955444</t>
  </si>
  <si>
    <t>Thép cuộn cán nóng 3.60x121X SPHC II</t>
  </si>
  <si>
    <t>3.60×1212×C</t>
  </si>
  <si>
    <t>1251121955437</t>
  </si>
  <si>
    <t>Thép cuộn cán nóng 3.60x121X SPHC</t>
  </si>
  <si>
    <t>1251121955420</t>
  </si>
  <si>
    <t>Thép cuộn cán nóng 2.90x137X SS400 II</t>
  </si>
  <si>
    <t>2.90×1372×C</t>
  </si>
  <si>
    <t>1251121955413</t>
  </si>
  <si>
    <t>Thép cuộn cán nóng 2.90x137X SS400</t>
  </si>
  <si>
    <t>1251121955406</t>
  </si>
  <si>
    <t>Thép cuộn cán nóng 3.15x126X SS400 II</t>
  </si>
  <si>
    <t>1251121955390</t>
  </si>
  <si>
    <t>Thép cuộn cán nóng 3.15x126X SS400</t>
  </si>
  <si>
    <t>1251121955383</t>
  </si>
  <si>
    <t>Thép cuộn cán nóng 1.60x121X SAE1006 II</t>
  </si>
  <si>
    <t>1251121955307</t>
  </si>
  <si>
    <t>Thép cuộn cán nóng 1.60x121X SAE1006</t>
  </si>
  <si>
    <t>1251121955291</t>
  </si>
  <si>
    <t>Thép cuộn cán nóng 1.50x121X SAE1006 II</t>
  </si>
  <si>
    <t>1.50×1212×C</t>
  </si>
  <si>
    <t>1251121955284</t>
  </si>
  <si>
    <t>Thép cuộn cán nóng 1.50x121X SAE1006</t>
  </si>
  <si>
    <t>1251121955277</t>
  </si>
  <si>
    <t>Thép cuộn cán nóng 1.40x121X SAE1006 II</t>
  </si>
  <si>
    <t>1.40×1212×C</t>
  </si>
  <si>
    <t>1251121955260</t>
  </si>
  <si>
    <t>Thép cuộn cán nóng 1.40x121X SAE1006</t>
  </si>
  <si>
    <t>1251121955253</t>
  </si>
  <si>
    <t>Thép cuộn cán nóng 1.30x121X SAE1006 II</t>
  </si>
  <si>
    <t>1.30×1212×C</t>
  </si>
  <si>
    <t>1251121955246</t>
  </si>
  <si>
    <t>Thép cuộn cán nóng 1.30x121X SAE1006</t>
  </si>
  <si>
    <t>1251121955239</t>
  </si>
  <si>
    <t>Thép cuộn cán nóng 1.20x121X SAE1006 II</t>
  </si>
  <si>
    <t>1.20×1212×C</t>
  </si>
  <si>
    <t>1251121955222</t>
  </si>
  <si>
    <t>Thép cuộn cán nóng 1.20x121X SAE1006</t>
  </si>
  <si>
    <t>1251121955215</t>
  </si>
  <si>
    <t>Thép cuộn cán nóng 1.60x120X SPA-H II</t>
  </si>
  <si>
    <t>1251121955208</t>
  </si>
  <si>
    <t>Thép cuộn cán nóng 1.60x120X SPA-H</t>
  </si>
  <si>
    <t>1251121955192</t>
  </si>
  <si>
    <t>Thép cuộn cán nóng 2.00x120X SPA-H II</t>
  </si>
  <si>
    <t>1251121955185</t>
  </si>
  <si>
    <t>Thép cuộn cán nóng 2.00x120X SPA-H</t>
  </si>
  <si>
    <t>1251121955178</t>
  </si>
  <si>
    <t>[D]Thép cuộn cán nóng 2.50x126X SPHT1</t>
  </si>
  <si>
    <t>1251121954200</t>
  </si>
  <si>
    <t>Thép cuộn cán nóng 3.00x105X SAE1006 II</t>
  </si>
  <si>
    <t>3.00×1052×C</t>
  </si>
  <si>
    <t>1251121932056</t>
  </si>
  <si>
    <t>Thép cuộn cán nóng 3.00x105X SAE1006</t>
  </si>
  <si>
    <t>1251121932049</t>
  </si>
  <si>
    <t>Thép cuộn cán nóng 2.45x120Y S275JR II</t>
  </si>
  <si>
    <t>2.45×1207×C</t>
  </si>
  <si>
    <t>1251121932032</t>
  </si>
  <si>
    <t>Thép cuộn cán nóng 2.45x120Y S275JR</t>
  </si>
  <si>
    <t>1251121932025</t>
  </si>
  <si>
    <t>Thép cuộn cán nóng 2.70x120Y S275JR II</t>
  </si>
  <si>
    <t>2.70×1207×C</t>
  </si>
  <si>
    <t>1251121932018</t>
  </si>
  <si>
    <t>Thép cuộn cán nóng 2.70x120Y S275JR</t>
  </si>
  <si>
    <t>1251121932001</t>
  </si>
  <si>
    <t>Thép cuộn cán nóng 3.95x1220 S275JR II</t>
  </si>
  <si>
    <t>3.95×1220×C</t>
  </si>
  <si>
    <t>1251121931936</t>
  </si>
  <si>
    <t>Thép cuộn cán nóng 3.95x1220 S275JR</t>
  </si>
  <si>
    <t>1251121931929</t>
  </si>
  <si>
    <t>Thép cuộn cán nóng 3.95x122X S275JR II</t>
  </si>
  <si>
    <t>3.95×1222×C</t>
  </si>
  <si>
    <t>1251121931912</t>
  </si>
  <si>
    <t>Thép cuộn cán nóng 3.95x122X S275JR</t>
  </si>
  <si>
    <t>1251121931905</t>
  </si>
  <si>
    <t>Thép cuộn cán nóng 3.00x144X S275JR II</t>
  </si>
  <si>
    <t>3.00×1442×C</t>
  </si>
  <si>
    <t>1251121931899</t>
  </si>
  <si>
    <t>Thép cuộn cán nóng 3.00x144X S275JR</t>
  </si>
  <si>
    <t>1251121931882</t>
  </si>
  <si>
    <t>Thép cuộn cán nóng 2.52x144X S275JR II</t>
  </si>
  <si>
    <t>2.52×1442×C</t>
  </si>
  <si>
    <t>1251121931875</t>
  </si>
  <si>
    <t>Thép cuộn cán nóng 2.52x144X S275JR</t>
  </si>
  <si>
    <t>1251121931868</t>
  </si>
  <si>
    <t>Thép cuộn cán nóng 5.80x145X S275JR II</t>
  </si>
  <si>
    <t>5.80×1452×C</t>
  </si>
  <si>
    <t>1251121931851</t>
  </si>
  <si>
    <t>Thép cuộn cán nóng 5.80x145X S275JR</t>
  </si>
  <si>
    <t>1251121931844</t>
  </si>
  <si>
    <t>Thép cuộn cán nóng 2.25x125X SAE1006 II</t>
  </si>
  <si>
    <t>2.25×1252×C</t>
  </si>
  <si>
    <t>1251121931820</t>
  </si>
  <si>
    <t>Thép cuộn cán nóng 2.25x125X SAE1006</t>
  </si>
  <si>
    <t>1251121931813</t>
  </si>
  <si>
    <t>Thép cuộn cán nóng 2.50x111Y SAE1006 II</t>
  </si>
  <si>
    <t>2.50×1117×C</t>
  </si>
  <si>
    <t>1251121931806</t>
  </si>
  <si>
    <t>Thép cuộn cán nóng 2.50x111Y SAE1006</t>
  </si>
  <si>
    <t>1251121931790</t>
  </si>
  <si>
    <t>Thép cuộn cán nóng 2.30x111Y SAE1006 II</t>
  </si>
  <si>
    <t>2.30×1117×C</t>
  </si>
  <si>
    <t>1251121931783</t>
  </si>
  <si>
    <t>Thép cuộn cán nóng 2.30x111Y SAE1006</t>
  </si>
  <si>
    <t>1251121931776</t>
  </si>
  <si>
    <t>Thép cuộn cán nóng 2.80x110X SAE1006 II</t>
  </si>
  <si>
    <t>2.80×1102×C</t>
  </si>
  <si>
    <t>1251121931769</t>
  </si>
  <si>
    <t>Thép cuộn cán nóng 2.80x110X SAE1006</t>
  </si>
  <si>
    <t>1251121931752</t>
  </si>
  <si>
    <t>Thép cuộn cán nóng 2.00x110X SAE1006 II</t>
  </si>
  <si>
    <t>2.00×1102×C</t>
  </si>
  <si>
    <t>1251121931745</t>
  </si>
  <si>
    <t>Thép cuộn cán nóng 2.00x110X SAE1006</t>
  </si>
  <si>
    <t>1251121931738</t>
  </si>
  <si>
    <t>Thép cuộn cán nóng 2.50x105X SAE1006 II</t>
  </si>
  <si>
    <t>2.50×1052×C</t>
  </si>
  <si>
    <t>1251121931721</t>
  </si>
  <si>
    <t>Thép cuộn cán nóng 2.50x105X SAE1006</t>
  </si>
  <si>
    <t>1251121931714</t>
  </si>
  <si>
    <t>Thép cuộn cán nóng 4.00x101X SAE1006 II</t>
  </si>
  <si>
    <t>1251121931707</t>
  </si>
  <si>
    <t>Thép cuộn cán nóng 4.00x101X SAE1006</t>
  </si>
  <si>
    <t>1251121931691</t>
  </si>
  <si>
    <t>Thép cuộn cán nóng 3.20x101X SAE1006 II</t>
  </si>
  <si>
    <t>3.20×1012×C</t>
  </si>
  <si>
    <t>1251121931684</t>
  </si>
  <si>
    <t>Thép cuộn cán nóng 3.20x101X SAE1006</t>
  </si>
  <si>
    <t>1251121931677</t>
  </si>
  <si>
    <t>Thép cuộn cán nóng 2.80x101X SAE1006 II</t>
  </si>
  <si>
    <t>2.80×1012×C</t>
  </si>
  <si>
    <t>1251121931660</t>
  </si>
  <si>
    <t>Thép cuộn cán nóng 2.80x101X SAE1006</t>
  </si>
  <si>
    <t>1251121931653</t>
  </si>
  <si>
    <t>Thép cuộn cán nóng 2.30x101X SAE1006 II</t>
  </si>
  <si>
    <t>2.30×1012×C</t>
  </si>
  <si>
    <t>1251121931646</t>
  </si>
  <si>
    <t>Thép cuộn cán nóng 2.30x101X SAE1006</t>
  </si>
  <si>
    <t>1251121931639</t>
  </si>
  <si>
    <t>Thép cuộn cán nóng 3.20x110X SAE1006 II</t>
  </si>
  <si>
    <t>3.20×1102×C</t>
  </si>
  <si>
    <t>1251121931622</t>
  </si>
  <si>
    <t>Thép cuộn cán nóng 3.20x110X SAE1006</t>
  </si>
  <si>
    <t>1251121931615</t>
  </si>
  <si>
    <t>Thép cuộn cán nóng 2.30x110X SAE1006 II</t>
  </si>
  <si>
    <t>2.30×1102×C</t>
  </si>
  <si>
    <t>1251121931608</t>
  </si>
  <si>
    <t>Thép cuộn cán nóng 2.30x110X SAE1006</t>
  </si>
  <si>
    <t>1251121931592</t>
  </si>
  <si>
    <t>Thép cuộn cán nóng 2.30x105X SAE1006 II</t>
  </si>
  <si>
    <t>2.30×1052×C</t>
  </si>
  <si>
    <t>1251121931585</t>
  </si>
  <si>
    <t>Thép cuộn cán nóng 2.30x105X SAE1006</t>
  </si>
  <si>
    <t>1251121931578</t>
  </si>
  <si>
    <t>Thép cuộn cán nóng 2.00x111Y SAE1006 II</t>
  </si>
  <si>
    <t>2.00×1117×C</t>
  </si>
  <si>
    <t>1251121931561</t>
  </si>
  <si>
    <t>Thép cuộn cán nóng 2.00x111Y SAE1006</t>
  </si>
  <si>
    <t>1251121931554</t>
  </si>
  <si>
    <t>Thép cuộn cán nóng 2.00x101X SAE1006 II</t>
  </si>
  <si>
    <t>1251121931547</t>
  </si>
  <si>
    <t>Thép cuộn cán nóng 2.00x101X SAE1006</t>
  </si>
  <si>
    <t>1251121931530</t>
  </si>
  <si>
    <t>Thép cuộn cán nóng 2.50x101X SAE1006 II</t>
  </si>
  <si>
    <t>1251121931523</t>
  </si>
  <si>
    <t>Thép cuộn cán nóng 2.50x101X SAE1006</t>
  </si>
  <si>
    <t>1251121931516</t>
  </si>
  <si>
    <t>Thép cuộn cán nóng 2.40x115Y SAE1006 II</t>
  </si>
  <si>
    <t>1251121931509</t>
  </si>
  <si>
    <t>Thép cuộn cán nóng 2.40x115Y SAE1006</t>
  </si>
  <si>
    <t>1251121931493</t>
  </si>
  <si>
    <t>Thép cuộn cán nóng 2.10x126Y SPHC II</t>
  </si>
  <si>
    <t>2.10×1267×C</t>
  </si>
  <si>
    <t>1251121931486</t>
  </si>
  <si>
    <t>Thép cuộn cán nóng 2.10x126Y SPHC</t>
  </si>
  <si>
    <t>1251121931479</t>
  </si>
  <si>
    <t>Thép cuộn cán nóng 2.05x126Y SPHC II</t>
  </si>
  <si>
    <t>2.05×1267×C</t>
  </si>
  <si>
    <t>1251121931462</t>
  </si>
  <si>
    <t>Thép cuộn cán nóng 2.05x126Y SPHC</t>
  </si>
  <si>
    <t>1251121931455</t>
  </si>
  <si>
    <t>Thép cuộn cán nóng 2.87x120X SPHC II</t>
  </si>
  <si>
    <t>1251121931448</t>
  </si>
  <si>
    <t>Thép cuộn cán nóng 2.87x120X SPHC</t>
  </si>
  <si>
    <t>1251121931431</t>
  </si>
  <si>
    <t>Thép cuộn cán nóng 2.30x120X SPHC II</t>
  </si>
  <si>
    <t>1251121931424</t>
  </si>
  <si>
    <t>Thép cuộn cán nóng 2.30x120X SPHC</t>
  </si>
  <si>
    <t>1251121931417</t>
  </si>
  <si>
    <t>Thép cuộn cán nóng 3.62x137Y SS400 II</t>
  </si>
  <si>
    <t>3.62×1377×C</t>
  </si>
  <si>
    <t>1251121931400</t>
  </si>
  <si>
    <t>Thép cuộn cán nóng 3.62x137Y SS400</t>
  </si>
  <si>
    <t>1251121931394</t>
  </si>
  <si>
    <t>Thép cuộn cán nóng 3.00x137Y SS400 II</t>
  </si>
  <si>
    <t>3.00×1377×C</t>
  </si>
  <si>
    <t>1251121931387</t>
  </si>
  <si>
    <t>Thép cuộn cán nóng 3.00x137Y SS400</t>
  </si>
  <si>
    <t>1251121931370</t>
  </si>
  <si>
    <t>Thép cuộn cán nóng 2.90x131Y SS400 II</t>
  </si>
  <si>
    <t>2.90×1317×C</t>
  </si>
  <si>
    <t>1251121931363</t>
  </si>
  <si>
    <t>Thép cuộn cán nóng 2.90x131Y SS400</t>
  </si>
  <si>
    <t>1251121931356</t>
  </si>
  <si>
    <t>Thép cuộn cán nóng 2.32x131Y SS400 II</t>
  </si>
  <si>
    <t>2.32×1317×C</t>
  </si>
  <si>
    <t>1251121931349</t>
  </si>
  <si>
    <t>Thép cuộn cán nóng 2.32x131Y SS400</t>
  </si>
  <si>
    <t>1251121931332</t>
  </si>
  <si>
    <t>Thép cuộn cán nóng 2.20x131Y SS400 II</t>
  </si>
  <si>
    <t>2.20×1317×C</t>
  </si>
  <si>
    <t>1251121931325</t>
  </si>
  <si>
    <t>Thép cuộn cán nóng 2.20x131Y SS400</t>
  </si>
  <si>
    <t>1251121931318</t>
  </si>
  <si>
    <t>Thép cuộn cán nóng 4.10x131X SS400 II</t>
  </si>
  <si>
    <t>4.10×1312×C</t>
  </si>
  <si>
    <t>1251121931301</t>
  </si>
  <si>
    <t>Thép cuộn cán nóng 4.10x131X SS400</t>
  </si>
  <si>
    <t>1251121931295</t>
  </si>
  <si>
    <t>Thép cuộn cán nóng 3.11x131X SS400 II</t>
  </si>
  <si>
    <t>3.11×1312×C</t>
  </si>
  <si>
    <t>1251121931288</t>
  </si>
  <si>
    <t>Thép cuộn cán nóng 3.11x131X SS400</t>
  </si>
  <si>
    <t>1251121931271</t>
  </si>
  <si>
    <t>Thép cuộn cán nóng 2.58x131X SS400 II</t>
  </si>
  <si>
    <t>2.58×1312×C</t>
  </si>
  <si>
    <t>1251121931264</t>
  </si>
  <si>
    <t>Thép cuộn cán nóng 2.58x131X SS400</t>
  </si>
  <si>
    <t>1251121931257</t>
  </si>
  <si>
    <t>Thép cuộn cán nóng 3.75x120X SS400 II</t>
  </si>
  <si>
    <t>3.75×1202×C</t>
  </si>
  <si>
    <t>1251121931240</t>
  </si>
  <si>
    <t>Thép cuộn cán nóng 3.75x120X SS400</t>
  </si>
  <si>
    <t>1251121931233</t>
  </si>
  <si>
    <t>Thép cuộn cán nóng 2.75x120X SS400 II</t>
  </si>
  <si>
    <t>1251121931226</t>
  </si>
  <si>
    <t>Thép cuộn cán nóng 2.75x120X SS400</t>
  </si>
  <si>
    <t>1251121931219</t>
  </si>
  <si>
    <t>Thép cuộn cán nóng 2.46x120X SS400 II</t>
  </si>
  <si>
    <t>2.46×1202×C</t>
  </si>
  <si>
    <t>1251121931202</t>
  </si>
  <si>
    <t>Thép cuộn cán nóng 2.46x120X SS400</t>
  </si>
  <si>
    <t>1251121931196</t>
  </si>
  <si>
    <t>Thép cuộn cán nóng 6.40x105X SS400 II</t>
  </si>
  <si>
    <t>6.40×1052×C</t>
  </si>
  <si>
    <t>1251121931189</t>
  </si>
  <si>
    <t>Thép cuộn cán nóng 6.40x105X SS400</t>
  </si>
  <si>
    <t>1251121931172</t>
  </si>
  <si>
    <t>Thép cuộn cán nóng 4.30x105X SS400 II</t>
  </si>
  <si>
    <t>4.30×1052×C</t>
  </si>
  <si>
    <t>1251121931165</t>
  </si>
  <si>
    <t>Thép cuộn cán nóng 4.30x105X SS400</t>
  </si>
  <si>
    <t>1251121931158</t>
  </si>
  <si>
    <t>Thép cuộn cán nóng 2.58x105X SS400 II</t>
  </si>
  <si>
    <t>2.58×1052×C</t>
  </si>
  <si>
    <t>1251121931141</t>
  </si>
  <si>
    <t>Thép cuộn cán nóng 2.58x105X SS400</t>
  </si>
  <si>
    <t>1251121931134</t>
  </si>
  <si>
    <t>Thép cuộn cán nóng 2.40x103Y SS400 II</t>
  </si>
  <si>
    <t>2.40×1037×C</t>
  </si>
  <si>
    <t>1251121931127</t>
  </si>
  <si>
    <t>Thép cuộn cán nóng 2.40x103Y SS400</t>
  </si>
  <si>
    <t>1251121931110</t>
  </si>
  <si>
    <t>Thép cuộn cán nóng 2.50x110Y SAE1006 II</t>
  </si>
  <si>
    <t>2.50×1107×C</t>
  </si>
  <si>
    <t>1251121931097</t>
  </si>
  <si>
    <t>Thép cuộn cán nóng 2.50x110Y SAE1006</t>
  </si>
  <si>
    <t>1251121931080</t>
  </si>
  <si>
    <t>Thép cuộn cán nóng 2.50x113Y SAE1006</t>
  </si>
  <si>
    <t>2.50×1137×C</t>
  </si>
  <si>
    <t>1251121931073</t>
  </si>
  <si>
    <t>Thép cuộn cán nóng 2.50x113Y SAE1006 II</t>
  </si>
  <si>
    <t>1251121931066</t>
  </si>
  <si>
    <t>Thép cuộn cán nóng 2.16x120Y ASTM A36 II</t>
  </si>
  <si>
    <t>2.16×1207×C</t>
  </si>
  <si>
    <t>1251121930854</t>
  </si>
  <si>
    <t>Thép cuộn cán nóng 2.16x120Y ASTM A36</t>
  </si>
  <si>
    <t>1251121930847</t>
  </si>
  <si>
    <t>Thép cuộn cán nóng 2.45x119Y SS400 II</t>
  </si>
  <si>
    <t>2.45×1197×C</t>
  </si>
  <si>
    <t>1251121930830</t>
  </si>
  <si>
    <t>Thép cuộn cán nóng 2.45x119Y SS400</t>
  </si>
  <si>
    <t>1251121930823</t>
  </si>
  <si>
    <t>Thép cuộn cán nóng 2.92x120Y ASTM A36 II</t>
  </si>
  <si>
    <t>2.92×1207×C</t>
  </si>
  <si>
    <t>1251121930816</t>
  </si>
  <si>
    <t>Thép cuộn cán nóng 2.92x120Y ASTM A36</t>
  </si>
  <si>
    <t>1251121930809</t>
  </si>
  <si>
    <t>Thép cuộn cán nóng 2.66x120Y ASTM A36 II</t>
  </si>
  <si>
    <t>2.66×1207×C</t>
  </si>
  <si>
    <t>1251121930793</t>
  </si>
  <si>
    <t>Thép cuộn cán nóng 2.66x120Y ASTM A36</t>
  </si>
  <si>
    <t>1251121930786</t>
  </si>
  <si>
    <t>Thép cuộn cán nóng 2.78x120X S275JR II</t>
  </si>
  <si>
    <t>2.78×1202×C</t>
  </si>
  <si>
    <t>1251121930779</t>
  </si>
  <si>
    <t>Thép cuộn cán nóng 2.78x120X S275JR</t>
  </si>
  <si>
    <t>1251121930762</t>
  </si>
  <si>
    <t>Thép cuộn cán nóng 1.80x120X S235JR II</t>
  </si>
  <si>
    <t>1251121930755</t>
  </si>
  <si>
    <t>Thép cuộn cán nóng 1.80x120X S235JR</t>
  </si>
  <si>
    <t>1251121930748</t>
  </si>
  <si>
    <t>Thép cuộn cán nóng 1.82x120X ASTM A36 II</t>
  </si>
  <si>
    <t>1.82×1202×C</t>
  </si>
  <si>
    <t>1251121930731</t>
  </si>
  <si>
    <t>Thép cuộn cán nóng 1.82x120X ASTM A36</t>
  </si>
  <si>
    <t>1251121930724</t>
  </si>
  <si>
    <t>Thép cuộn cán nóng 2.35x125X S235JR II</t>
  </si>
  <si>
    <t>1251121930717</t>
  </si>
  <si>
    <t>Thép cuộn cán nóng 2.35x125X S235JR</t>
  </si>
  <si>
    <t>1251121930700</t>
  </si>
  <si>
    <t>Thép cuộn cán nóng 1.50x125X S235JR II</t>
  </si>
  <si>
    <t>1251121930694</t>
  </si>
  <si>
    <t>Thép cuộn cán nóng 1.50x125X S235JR</t>
  </si>
  <si>
    <t>1251121930687</t>
  </si>
  <si>
    <t>Thép cuộn cán nóng 11.80x150X SS400 II</t>
  </si>
  <si>
    <t>11.80×1502×C</t>
  </si>
  <si>
    <t>1251121930670</t>
  </si>
  <si>
    <t>Thép cuộn cán nóng 11.80x150X SS400</t>
  </si>
  <si>
    <t>1251121930663</t>
  </si>
  <si>
    <t>Thép cuộn cán nóng 9.80x150X SS400 II</t>
  </si>
  <si>
    <t>9.80×1502×C</t>
  </si>
  <si>
    <t>1251121930656</t>
  </si>
  <si>
    <t>Thép cuộn cán nóng 9.80x150X SS400</t>
  </si>
  <si>
    <t>1251121930649</t>
  </si>
  <si>
    <t>Thép cuộn cán nóng 7.80x150X SS400 II</t>
  </si>
  <si>
    <t>7.80×1502×C</t>
  </si>
  <si>
    <t>1251121930632</t>
  </si>
  <si>
    <t>Thép cuộn cán nóng 7.80x150X SS400</t>
  </si>
  <si>
    <t>1251121930625</t>
  </si>
  <si>
    <t>Thép cuộn cán nóng 5.80x150X SS400 II</t>
  </si>
  <si>
    <t>1251121930618</t>
  </si>
  <si>
    <t>Thép cuộn cán nóng 5.80x150X SS400</t>
  </si>
  <si>
    <t>1251121930601</t>
  </si>
  <si>
    <t>Thép cuộn cán nóng 4.80x150X SS400 II</t>
  </si>
  <si>
    <t>1251121930595</t>
  </si>
  <si>
    <t>Thép cuộn cán nóng 4.80x150X SS400</t>
  </si>
  <si>
    <t>1251121930588</t>
  </si>
  <si>
    <t>Thép cuộn cán nóng 3.80x150X SS400 II</t>
  </si>
  <si>
    <t>1251121930571</t>
  </si>
  <si>
    <t>Thép cuộn cán nóng 3.80x150X SS400</t>
  </si>
  <si>
    <t>1251121930564</t>
  </si>
  <si>
    <t>Thép cuộn cán nóng 2.40x125X SS400 II</t>
  </si>
  <si>
    <t>1251121930557</t>
  </si>
  <si>
    <t>Thép cuộn cán nóng 2.40x125X SS400</t>
  </si>
  <si>
    <t>1251121930540</t>
  </si>
  <si>
    <t>Thép cuộn cán nóng 2.15x125X SS400 II</t>
  </si>
  <si>
    <t>1251121930533</t>
  </si>
  <si>
    <t>Thép cuộn cán nóng 2.15x125X SS400</t>
  </si>
  <si>
    <t>1251121930526</t>
  </si>
  <si>
    <t>Thép cuộn cán nóng 2.00x125X SS400 II</t>
  </si>
  <si>
    <t>1251121930519</t>
  </si>
  <si>
    <t>Thép cuộn cán nóng 2.00x125X SS400</t>
  </si>
  <si>
    <t>1251121930502</t>
  </si>
  <si>
    <t>Thép cuộn cán nóng 1.90x125X SS400 II</t>
  </si>
  <si>
    <t>1251121930496</t>
  </si>
  <si>
    <t>Thép cuộn cán nóng 1.90x125X SS400</t>
  </si>
  <si>
    <t>1251121930489</t>
  </si>
  <si>
    <t>Thép cuộn cán nóng 2.85x125X SS400 II</t>
  </si>
  <si>
    <t>1251121930472</t>
  </si>
  <si>
    <t>Thép cuộn cán nóng 2.85x125X SS400</t>
  </si>
  <si>
    <t>1251121930465</t>
  </si>
  <si>
    <t>Thép cuộn cán nóng 2.28x121Y CS typeB II</t>
  </si>
  <si>
    <t>2.28×1217×C</t>
  </si>
  <si>
    <t>1251121930458</t>
  </si>
  <si>
    <t>Thép cuộn cán nóng 2.28x121Y CS type B</t>
  </si>
  <si>
    <t>1251121930441</t>
  </si>
  <si>
    <t>Thép cuộn cán nóng 2.66x121Y CS typeB II</t>
  </si>
  <si>
    <t>1251121930434</t>
  </si>
  <si>
    <t>Thép cuộn cán nóng 2.66x121Y CS type B</t>
  </si>
  <si>
    <t>1251121930427</t>
  </si>
  <si>
    <t>Thép cuộn cán nóng 3.58x121Y CS typeB II</t>
  </si>
  <si>
    <t>3.58×1217×C</t>
  </si>
  <si>
    <t>1251121930410</t>
  </si>
  <si>
    <t>Thép cuộn cán nóng 3.58x121Y CS type B</t>
  </si>
  <si>
    <t>1251121930403</t>
  </si>
  <si>
    <t>Thép cuộn cán nóng 4.55x121Y CS typeB II</t>
  </si>
  <si>
    <t>1251121930397</t>
  </si>
  <si>
    <t>Thép cuộn cán nóng 4.55x121Y CS type B</t>
  </si>
  <si>
    <t>1251121930380</t>
  </si>
  <si>
    <t>Thép cuộn cán nóng 4.77x121Y CS typeA II</t>
  </si>
  <si>
    <t>4.77×1217×C</t>
  </si>
  <si>
    <t>1251121930373</t>
  </si>
  <si>
    <t>Thép cuộn cán nóng 4.77x121Y CS type A</t>
  </si>
  <si>
    <t>1251121930366</t>
  </si>
  <si>
    <t>Thép cuộn cán nóng 3.17x121Y CS typeA II</t>
  </si>
  <si>
    <t>3.17×1217×C</t>
  </si>
  <si>
    <t>1251121930359</t>
  </si>
  <si>
    <t>Thép cuộn cán nóng 3.17x121Y CS type A</t>
  </si>
  <si>
    <t>1251121930342</t>
  </si>
  <si>
    <t>Thép cuộn cán nóng 2.27x121Y SAE1008 II</t>
  </si>
  <si>
    <t>2.27×1217×C</t>
  </si>
  <si>
    <t>1251121930335</t>
  </si>
  <si>
    <t>Thép cuộn cán nóng 2.27x121Y SAE1008</t>
  </si>
  <si>
    <t>1251121930328</t>
  </si>
  <si>
    <t>Thép cuộn cán nóng 2.59x121Y SAE1008 II</t>
  </si>
  <si>
    <t>1251121930311</t>
  </si>
  <si>
    <t>Thép cuộn cán nóng 2.59x121Y SAE1008</t>
  </si>
  <si>
    <t>1251121930304</t>
  </si>
  <si>
    <t>Thép cuộn cán nóng 3.04x121Y SAE1008 II</t>
  </si>
  <si>
    <t>1251121930298</t>
  </si>
  <si>
    <t>Thép cuộn cán nóng 3.04x121Y SAE1008</t>
  </si>
  <si>
    <t>1251121930281</t>
  </si>
  <si>
    <t>Thép cuộn cán nóng 3.50x121Y SAE1008 II</t>
  </si>
  <si>
    <t>1251121930274</t>
  </si>
  <si>
    <t>Thép cuộn cán nóng 3.50x121Y SAE1008</t>
  </si>
  <si>
    <t>1251121930267</t>
  </si>
  <si>
    <t>Thép cuộn cán nóng 3.78x121Y SAE1008 II</t>
  </si>
  <si>
    <t>3.78×1217×C</t>
  </si>
  <si>
    <t>1251121930250</t>
  </si>
  <si>
    <t>Thép cuộn cán nóng 3.78x121Y SAE1008</t>
  </si>
  <si>
    <t>1251121930243</t>
  </si>
  <si>
    <t>Thép cuộn cán nóng 2.65x121Y S275JR II</t>
  </si>
  <si>
    <t>1251121930212</t>
  </si>
  <si>
    <t>Thép cuộn cán nóng 2.65x121Y S275JR</t>
  </si>
  <si>
    <t>1251121930205</t>
  </si>
  <si>
    <t>Thép cuộn cán nóng 5.15x152X S275JR II</t>
  </si>
  <si>
    <t>5.15×1522×C</t>
  </si>
  <si>
    <t>1251121930199</t>
  </si>
  <si>
    <t>Thép cuộn cán nóng 5.15x152X S275JR</t>
  </si>
  <si>
    <t>1251121930182</t>
  </si>
  <si>
    <t>Thép cuộn cán nóng 6.80x121Y S275JR II</t>
  </si>
  <si>
    <t>6.80×1217×C</t>
  </si>
  <si>
    <t>1251121930175</t>
  </si>
  <si>
    <t>Thép cuộn cán nóng 6.80x121Y S275JR</t>
  </si>
  <si>
    <t>1251121930168</t>
  </si>
  <si>
    <t>Thép cuộn cán nóng 8.50x149Y S275JR II</t>
  </si>
  <si>
    <t>8.50×1497×C</t>
  </si>
  <si>
    <t>1251121930151</t>
  </si>
  <si>
    <t>Thép cuộn cán nóng 8.50x149Y S275JR</t>
  </si>
  <si>
    <t>1251121930144</t>
  </si>
  <si>
    <t>Thép cuộn cán nóng 8.10x149Y S275JR II</t>
  </si>
  <si>
    <t>8.10×1497×C</t>
  </si>
  <si>
    <t>1251121930137</t>
  </si>
  <si>
    <t>Thép cuộn cán nóng 8.10x149Y S275JR</t>
  </si>
  <si>
    <t>1251121930120</t>
  </si>
  <si>
    <t>Thép cuộn cán nóng 2.70x145X S275JR II</t>
  </si>
  <si>
    <t>2.70×1452×C</t>
  </si>
  <si>
    <t>1251121930113</t>
  </si>
  <si>
    <t>Thép cuộn cán nóng 2.70x145X S275JR</t>
  </si>
  <si>
    <t>1251121930106</t>
  </si>
  <si>
    <t>Thép cuộn cán nóng 2.40x145X S275JR II</t>
  </si>
  <si>
    <t>2.40×1452×C</t>
  </si>
  <si>
    <t>1251121930090</t>
  </si>
  <si>
    <t>Thép cuộn cán nóng 2.40x145X S275JR</t>
  </si>
  <si>
    <t>1251121930083</t>
  </si>
  <si>
    <t>Thép cuộn cán nóng 5.80x142X S275JR II</t>
  </si>
  <si>
    <t>5.80×1422×C</t>
  </si>
  <si>
    <t>1251121930076</t>
  </si>
  <si>
    <t>Thép cuộn cán nóng 5.80x142X S275JR</t>
  </si>
  <si>
    <t>1251121930069</t>
  </si>
  <si>
    <t>Thép cuộn cán nóng 2.70x133X S275JR II</t>
  </si>
  <si>
    <t>2.70×1332×C</t>
  </si>
  <si>
    <t>1251121930052</t>
  </si>
  <si>
    <t>Thép cuộn cán nóng 2.70x133X S275JR</t>
  </si>
  <si>
    <t>1251121930045</t>
  </si>
  <si>
    <t>Thép cuộn cán nóng 2.40x133X S275JR II</t>
  </si>
  <si>
    <t>2.40×1332×C</t>
  </si>
  <si>
    <t>1251121930038</t>
  </si>
  <si>
    <t>Thép cuộn cán nóng 2.40x133X S275JR</t>
  </si>
  <si>
    <t>1251121930021</t>
  </si>
  <si>
    <t>Thép cuộn cán nóng 3.65x105X S275JR II</t>
  </si>
  <si>
    <t>3.65×1052×C</t>
  </si>
  <si>
    <t>1251121930014</t>
  </si>
  <si>
    <t>Thép cuộn cán nóng 3.65x105X S275JR</t>
  </si>
  <si>
    <t>1251121930007</t>
  </si>
  <si>
    <t>Thép cuộn cán nóng 2.50x145X S275JR II</t>
  </si>
  <si>
    <t>2.50×1452×C</t>
  </si>
  <si>
    <t>1251121929995</t>
  </si>
  <si>
    <t>Thép cuộn cán nóng 2.50x145X S275JR</t>
  </si>
  <si>
    <t>1251121929988</t>
  </si>
  <si>
    <t>Thép cuộn cán nóng 2.50x121Y S275JR II</t>
  </si>
  <si>
    <t>1251121929971</t>
  </si>
  <si>
    <t>Thép cuộn cán nóng 2.50x121Y S275JR</t>
  </si>
  <si>
    <t>1251121929964</t>
  </si>
  <si>
    <t>Thép cuộn cán nóng 9.27x152X CS typeB II</t>
  </si>
  <si>
    <t>9.27×1522×C</t>
  </si>
  <si>
    <t>1251121929957</t>
  </si>
  <si>
    <t>Thép cuộn cán nóng 9.27x152X CS type B</t>
  </si>
  <si>
    <t>1251121929940</t>
  </si>
  <si>
    <t>Thép cuộn cán nóng 6.10x152X CS typeB II</t>
  </si>
  <si>
    <t>6.10×1522×C</t>
  </si>
  <si>
    <t>1251121929933</t>
  </si>
  <si>
    <t>Thép cuộn cán nóng 6.10x152X CS type B</t>
  </si>
  <si>
    <t>1251121929926</t>
  </si>
  <si>
    <t>Thép cuộn cán nóng 4.45x152X CS typeB II</t>
  </si>
  <si>
    <t>1251121929919</t>
  </si>
  <si>
    <t>Thép cuộn cán nóng 4.45x152X CS type B</t>
  </si>
  <si>
    <t>1251121929902</t>
  </si>
  <si>
    <t>Thép cuộn cán nóng 9.27x121Y CS typeB II</t>
  </si>
  <si>
    <t>9.27×1217×C</t>
  </si>
  <si>
    <t>1251121929896</t>
  </si>
  <si>
    <t>Thép cuộn cán nóng 9.27x121Y CS type B</t>
  </si>
  <si>
    <t>1251121929889</t>
  </si>
  <si>
    <t>Thép cuộn cán nóng 6.10x121Y CS typeB II</t>
  </si>
  <si>
    <t>6.10×1217×C</t>
  </si>
  <si>
    <t>1251121929872</t>
  </si>
  <si>
    <t>Thép cuộn cán nóng 6.10x121Y CS type B</t>
  </si>
  <si>
    <t>1251121929865</t>
  </si>
  <si>
    <t>Thép cuộn cán nóng 4.45x121Y CS typeB II</t>
  </si>
  <si>
    <t>4.45×1217×C</t>
  </si>
  <si>
    <t>1251121929858</t>
  </si>
  <si>
    <t>Thép cuộn cán nóng 4.45x121Y CS type B</t>
  </si>
  <si>
    <t>1251121929841</t>
  </si>
  <si>
    <t>Thép cuộn cán nóng 2.90x121Y CS typeB II</t>
  </si>
  <si>
    <t>1251121929834</t>
  </si>
  <si>
    <t>Thép cuộn cán nóng 2.90x121Y CS type B</t>
  </si>
  <si>
    <t>1251121929827</t>
  </si>
  <si>
    <t>Thép cuộn cán nóng 3.60x121Y CS typeB II</t>
  </si>
  <si>
    <t>3.60×1217×C</t>
  </si>
  <si>
    <t>1251121929810</t>
  </si>
  <si>
    <t>Thép cuộn cán nóng 3.60x121Y CS type B</t>
  </si>
  <si>
    <t>1251121929803</t>
  </si>
  <si>
    <t>Thép cuộn cán nóng 2.58x121Y CS typeB II</t>
  </si>
  <si>
    <t>2.58×1217×C</t>
  </si>
  <si>
    <t>1251121929797</t>
  </si>
  <si>
    <t>Thép cuộn cán nóng 2.58x121Y CS type B</t>
  </si>
  <si>
    <t>1251121929780</t>
  </si>
  <si>
    <t>Thép cuộn cán nóng 2.55x121Y CS typeB II</t>
  </si>
  <si>
    <t>1251121929773</t>
  </si>
  <si>
    <t>Thép cuộn cán nóng 2.55x121Y CS type B</t>
  </si>
  <si>
    <t>1251121929766</t>
  </si>
  <si>
    <t>Thép cuộn cán nóng 2.40x121Y CS typeB II</t>
  </si>
  <si>
    <t>1251121929759</t>
  </si>
  <si>
    <t>Thép cuộn cán nóng 2.40x121Y CS type B</t>
  </si>
  <si>
    <t>1251121929742</t>
  </si>
  <si>
    <t>Thép cuộn cán nóng 2.20x121Y CS typeB II</t>
  </si>
  <si>
    <t>1251121929735</t>
  </si>
  <si>
    <t>Thép cuộn cán nóng 2.20x121Y CS type B</t>
  </si>
  <si>
    <t>1251121929728</t>
  </si>
  <si>
    <t>Thép cuộn cán nóng 1.90x121Y CS typeB II</t>
  </si>
  <si>
    <t>1251121929711</t>
  </si>
  <si>
    <t>Thép cuộn cán nóng 1.90x121Y CS type B</t>
  </si>
  <si>
    <t>1251121929704</t>
  </si>
  <si>
    <t>Thép cuộn cán nóng 1.80x121Y CS typeB II</t>
  </si>
  <si>
    <t>1251121929698</t>
  </si>
  <si>
    <t>Thép cuộn cán nóng 1.80x121Y CS type B</t>
  </si>
  <si>
    <t>1251121929681</t>
  </si>
  <si>
    <t>Thép cuộn cán nóng 4.76x121Y CS typeB II</t>
  </si>
  <si>
    <t>1251121929674</t>
  </si>
  <si>
    <t>Thép cuộn cán nóng 4.76x121Y CS type B</t>
  </si>
  <si>
    <t>1251121929667</t>
  </si>
  <si>
    <t>Thép cuộn cán nóng 3.42x152X CS typeB II</t>
  </si>
  <si>
    <t>1251121929650</t>
  </si>
  <si>
    <t>Thép cuộn cán nóng 3.42x152X CS type B</t>
  </si>
  <si>
    <t>1251121929643</t>
  </si>
  <si>
    <t>Thép cuộn cán nóng 3.42x121Y CS typeB II</t>
  </si>
  <si>
    <t>1251121929636</t>
  </si>
  <si>
    <t>Thép cuộn cán nóng 3.42x121Y CS type B</t>
  </si>
  <si>
    <t>1251121929629</t>
  </si>
  <si>
    <t>Thép cuộn cán nóng 3.04x152X CS typeB II</t>
  </si>
  <si>
    <t>3.04×1522×C</t>
  </si>
  <si>
    <t>1251121929612</t>
  </si>
  <si>
    <t>Thép cuộn cán nóng 3.04x152X CS type B</t>
  </si>
  <si>
    <t>1251121929605</t>
  </si>
  <si>
    <t>Thép cuộn cán nóng 3.04x121Y CS typeB II</t>
  </si>
  <si>
    <t>1251121929599</t>
  </si>
  <si>
    <t>Thép cuộn cán nóng 3.04x121Y CS type B</t>
  </si>
  <si>
    <t>1251121929582</t>
  </si>
  <si>
    <t>Thép cuộn cán nóng 2.63x152X CS typeB II</t>
  </si>
  <si>
    <t>2.63×1522×C</t>
  </si>
  <si>
    <t>1251121929575</t>
  </si>
  <si>
    <t>Thép cuộn cán nóng 2.63x152X CS type B</t>
  </si>
  <si>
    <t>1251121929568</t>
  </si>
  <si>
    <t>Thép cuộn cán nóng 2.63x121Y CS typeB II</t>
  </si>
  <si>
    <t>1251121929551</t>
  </si>
  <si>
    <t>Thép cuộn cán nóng 2.63x121Y CS type B</t>
  </si>
  <si>
    <t>1251121929544</t>
  </si>
  <si>
    <t>Thép cuộn cán nóng 1.87x121Y CS typeB II</t>
  </si>
  <si>
    <t>1.87×1217×C</t>
  </si>
  <si>
    <t>1251121929537</t>
  </si>
  <si>
    <t>Thép cuộn cán nóng 1.87x121Y CS type B</t>
  </si>
  <si>
    <t>1251121929520</t>
  </si>
  <si>
    <t>Thép cuộn cán nóng 3.02x121Y CS typeB II</t>
  </si>
  <si>
    <t>1251121929513</t>
  </si>
  <si>
    <t>Thép cuộn cán nóng 3.02x121Y CS type B</t>
  </si>
  <si>
    <t>1251121929506</t>
  </si>
  <si>
    <t>Thép cuộn cán nóng 3.90x140X S355JR II</t>
  </si>
  <si>
    <t>1251121929490</t>
  </si>
  <si>
    <t>Thép cuộn cán nóng 3.90x140X S355JR</t>
  </si>
  <si>
    <t>1251121929483</t>
  </si>
  <si>
    <t>Thép cuộn cán nóng 4.30x108Y S235JR II</t>
  </si>
  <si>
    <t>4.30×1087×C</t>
  </si>
  <si>
    <t>1251121929476</t>
  </si>
  <si>
    <t>Thép cuộn cán nóng 4.30x108Y S235JR</t>
  </si>
  <si>
    <t>1251121929469</t>
  </si>
  <si>
    <t>Thép cuộn cán nóng 6.00x139X S235JR II</t>
  </si>
  <si>
    <t>6.00×1392×C</t>
  </si>
  <si>
    <t>1251121929452</t>
  </si>
  <si>
    <t>Thép cuộn cán nóng 6.00x139X S235JR</t>
  </si>
  <si>
    <t>1251121929445</t>
  </si>
  <si>
    <t>Thép cuộn cán nóng 4.30x140X S235JR II</t>
  </si>
  <si>
    <t>4.30×1402×C</t>
  </si>
  <si>
    <t>1251121929438</t>
  </si>
  <si>
    <t>Thép cuộn cán nóng 4.30x140X S235JR</t>
  </si>
  <si>
    <t>1251121929421</t>
  </si>
  <si>
    <t>Thép cuộn cán nóng 3.80x140X S235JR II</t>
  </si>
  <si>
    <t>1251121929414</t>
  </si>
  <si>
    <t>Thép cuộn cán nóng 3.80x140X S235JR</t>
  </si>
  <si>
    <t>1251121929407</t>
  </si>
  <si>
    <t>Thép cuộn cán nóng 3.75x108Y S235JR II</t>
  </si>
  <si>
    <t>3.75×1087×C</t>
  </si>
  <si>
    <t>1251121929391</t>
  </si>
  <si>
    <t>Thép cuộn cán nóng 3.75x108Y S235JR</t>
  </si>
  <si>
    <t>1251121929384</t>
  </si>
  <si>
    <t>Thép cuộn cán nóng 3.75x135X S235JR II</t>
  </si>
  <si>
    <t>3.75×1352×C</t>
  </si>
  <si>
    <t>1251121929377</t>
  </si>
  <si>
    <t>Thép cuộn cán nóng 3.75x135X S235JR</t>
  </si>
  <si>
    <t>1251121929360</t>
  </si>
  <si>
    <t>Thép cuộn cán nóng 3.35x145X S235JR II</t>
  </si>
  <si>
    <t>3.35×1452×C</t>
  </si>
  <si>
    <t>1251121929353</t>
  </si>
  <si>
    <t>Thép cuộn cán nóng 3.35x145X S235JR</t>
  </si>
  <si>
    <t>1251121929346</t>
  </si>
  <si>
    <t>Thép cuộn cán nóng 3.35x135X S235JR II</t>
  </si>
  <si>
    <t>3.35×1352×C</t>
  </si>
  <si>
    <t>1251121929339</t>
  </si>
  <si>
    <t>Thép cuộn cán nóng 3.35x135X S235JR</t>
  </si>
  <si>
    <t>1251121929322</t>
  </si>
  <si>
    <t>Thép cuộn cán nóng 3.35x127X S235JR II</t>
  </si>
  <si>
    <t>3.35×1272×C</t>
  </si>
  <si>
    <t>1251121929315</t>
  </si>
  <si>
    <t>Thép cuộn cán nóng 3.35x127X S235JR</t>
  </si>
  <si>
    <t>1251121929308</t>
  </si>
  <si>
    <t>Thép cuộn cán nóng 2.95x145X S235JR II</t>
  </si>
  <si>
    <t>2.95×1452×C</t>
  </si>
  <si>
    <t>1251121929292</t>
  </si>
  <si>
    <t>Thép cuộn cán nóng 2.95x145X S235JR</t>
  </si>
  <si>
    <t>1251121929285</t>
  </si>
  <si>
    <t>Thép cuộn cán nóng 2.95x127X S235JR II</t>
  </si>
  <si>
    <t>2.95×1272×C</t>
  </si>
  <si>
    <t>1251121929278</t>
  </si>
  <si>
    <t>Thép cuộn cán nóng 2.95x127X S235JR</t>
  </si>
  <si>
    <t>1251121929261</t>
  </si>
  <si>
    <t>Thép cuộn cán nóng 2.75x122X S235JR II</t>
  </si>
  <si>
    <t>1251121929254</t>
  </si>
  <si>
    <t>Thép cuộn cán nóng 2.75x122X S235JR</t>
  </si>
  <si>
    <t>1251121929247</t>
  </si>
  <si>
    <t>Thép cuộn cán nóng 2.55x122Y S235JR II</t>
  </si>
  <si>
    <t>1251121929230</t>
  </si>
  <si>
    <t>Thép cuộn cán nóng 2.55x122Y S235JR</t>
  </si>
  <si>
    <t>1251121929223</t>
  </si>
  <si>
    <t>Thép cuộn cán nóng 2.35x122Y S235JR II</t>
  </si>
  <si>
    <t>2.35×1227×C</t>
  </si>
  <si>
    <t>1251121929216</t>
  </si>
  <si>
    <t>Thép cuộn cán nóng 2.35x122Y S235JR</t>
  </si>
  <si>
    <t>1251121929209</t>
  </si>
  <si>
    <t>Thép cuộn cán nóng 2.15x122Y S235JR II</t>
  </si>
  <si>
    <t>2.15×1227×C</t>
  </si>
  <si>
    <t>1251121929193</t>
  </si>
  <si>
    <t>Thép cuộn cán nóng 2.15x122Y S235JR</t>
  </si>
  <si>
    <t>1251121929186</t>
  </si>
  <si>
    <t>Thép cuộn cán nóng 2.00x122Y S235JR II</t>
  </si>
  <si>
    <t>1251121929179</t>
  </si>
  <si>
    <t>Thép cuộn cán nóng 2.00x122Y S235JR</t>
  </si>
  <si>
    <t>1251121929162</t>
  </si>
  <si>
    <t>Thép cuộn cán nóng 4.00x150X S355JR II</t>
  </si>
  <si>
    <t>1251121929155</t>
  </si>
  <si>
    <t>Thép cuộn cán nóng 4.00x150X S355JR</t>
  </si>
  <si>
    <t>1251121929148</t>
  </si>
  <si>
    <t>Thép cuộn cán nóng 3.00x150X S355JR II</t>
  </si>
  <si>
    <t>1251121929131</t>
  </si>
  <si>
    <t>Thép cuộn cán nóng 3.00x150X S355JR</t>
  </si>
  <si>
    <t>1251121929124</t>
  </si>
  <si>
    <t>Thép cuộn cán nóng 3.90x150X S355JR II</t>
  </si>
  <si>
    <t>1251121929117</t>
  </si>
  <si>
    <t>Thép cuộn cán nóng 3.90x150X S355JR</t>
  </si>
  <si>
    <t>1251121929100</t>
  </si>
  <si>
    <t>Thép cuộn cán nóng 2.90x150X S355JR II</t>
  </si>
  <si>
    <t>1251121929094</t>
  </si>
  <si>
    <t>Thép cuộn cán nóng 2.90x150X S355JR</t>
  </si>
  <si>
    <t>1251121929087</t>
  </si>
  <si>
    <t>Thép cuộn cán nóng 5.60x148Y S355JR II</t>
  </si>
  <si>
    <t>5.60×1487×C</t>
  </si>
  <si>
    <t>1251121929070</t>
  </si>
  <si>
    <t>Thép cuộn cán nóng 5.60x148Y S355JR</t>
  </si>
  <si>
    <t>1251121929063</t>
  </si>
  <si>
    <t>Thép cuộn cán nóng 5.60x142X S355JR II</t>
  </si>
  <si>
    <t>5.60×1422×C</t>
  </si>
  <si>
    <t>1251121929056</t>
  </si>
  <si>
    <t>Thép cuộn cán nóng 5.60x142X S355JR</t>
  </si>
  <si>
    <t>1251121929049</t>
  </si>
  <si>
    <t>Thép cuộn cán nóng 5.60x140Y S355JR II</t>
  </si>
  <si>
    <t>5.60×1407×C</t>
  </si>
  <si>
    <t>1251121929032</t>
  </si>
  <si>
    <t>Thép cuộn cán nóng 5.60x140Y S355JR</t>
  </si>
  <si>
    <t>1251121929025</t>
  </si>
  <si>
    <t>Thép cuộn cán nóng 5.60x138X S355JR II</t>
  </si>
  <si>
    <t>5.60×1382×C</t>
  </si>
  <si>
    <t>1251121929018</t>
  </si>
  <si>
    <t>Thép cuộn cán nóng 5.60x138X S355JR</t>
  </si>
  <si>
    <t>1251121929001</t>
  </si>
  <si>
    <t>Thép cuộn cán nóng 5.60x126Y S355JR II</t>
  </si>
  <si>
    <t>5.60×1267×C</t>
  </si>
  <si>
    <t>1251121928998</t>
  </si>
  <si>
    <t>Thép cuộn cán nóng 5.60x126Y S355JR</t>
  </si>
  <si>
    <t>1251121928981</t>
  </si>
  <si>
    <t>Thép cuộn cán nóng 4.60x142Y S355JR II</t>
  </si>
  <si>
    <t>4.60×1427×C</t>
  </si>
  <si>
    <t>1251121928974</t>
  </si>
  <si>
    <t>Thép cuộn cán nóng 4.60x142Y S355JR</t>
  </si>
  <si>
    <t>1251121928967</t>
  </si>
  <si>
    <t>Thép cuộn cán nóng 4.60x141Y S355JR II</t>
  </si>
  <si>
    <t>4.60×1417×C</t>
  </si>
  <si>
    <t>1251121928950</t>
  </si>
  <si>
    <t>Thép cuộn cán nóng 4.60x141Y S355JR</t>
  </si>
  <si>
    <t>1251121928943</t>
  </si>
  <si>
    <t>Thép cuộn cán nóng 4.60x139X S355JR II</t>
  </si>
  <si>
    <t>4.60×1392×C</t>
  </si>
  <si>
    <t>1251121928936</t>
  </si>
  <si>
    <t>Thép cuộn cán nóng 4.60x139X S355JR</t>
  </si>
  <si>
    <t>1251121928929</t>
  </si>
  <si>
    <t>Thép cuộn cán nóng 4.60x127X S355JR II</t>
  </si>
  <si>
    <t>4.60×1272×C</t>
  </si>
  <si>
    <t>1251121928912</t>
  </si>
  <si>
    <t>Thép cuộn cán nóng 4.60x127X S355JR</t>
  </si>
  <si>
    <t>1251121928905</t>
  </si>
  <si>
    <t>Thép cuộn cán nóng 3.90x151X S355JR II</t>
  </si>
  <si>
    <t>3.90×1512×C</t>
  </si>
  <si>
    <t>1251121928899</t>
  </si>
  <si>
    <t>Thép cuộn cán nóng 3.90x151X S355JR</t>
  </si>
  <si>
    <t>1251121928882</t>
  </si>
  <si>
    <t>Thép cuộn cán nóng 1.80x122Y S235JR II</t>
  </si>
  <si>
    <t>1251121928875</t>
  </si>
  <si>
    <t>Thép cuộn cán nóng 1.80x122Y S235JR</t>
  </si>
  <si>
    <t>1251121928868</t>
  </si>
  <si>
    <t>Thép cuộn cán nóng 4.90x139X S355JR II</t>
  </si>
  <si>
    <t>4.90×1392×C</t>
  </si>
  <si>
    <t>1251121928851</t>
  </si>
  <si>
    <t>Thép cuộn cán nóng 4.90x139X S355JR</t>
  </si>
  <si>
    <t>1251121928844</t>
  </si>
  <si>
    <t>Thép cuộn cán nóng 4.00x139X S355JR II</t>
  </si>
  <si>
    <t>4.00×1392×C</t>
  </si>
  <si>
    <t>1251121928837</t>
  </si>
  <si>
    <t>Thép cuộn cán nóng 4.00x139X S355JR</t>
  </si>
  <si>
    <t>1251121928820</t>
  </si>
  <si>
    <t>Thép cuộn cán nóng 3.00x139X S355JR II</t>
  </si>
  <si>
    <t>3.00×1392×C</t>
  </si>
  <si>
    <t>1251121928813</t>
  </si>
  <si>
    <t>Thép cuộn cán nóng 3.00x139X S355JR</t>
  </si>
  <si>
    <t>1251121928806</t>
  </si>
  <si>
    <t>Thép cuộn cán nóng 4.00x134Y S355JR II</t>
  </si>
  <si>
    <t>4.00×1347×C</t>
  </si>
  <si>
    <t>1251121928790</t>
  </si>
  <si>
    <t>Thép cuộn cán nóng 4.00x134Y S355JR</t>
  </si>
  <si>
    <t>1251121928783</t>
  </si>
  <si>
    <t>Thép cuộn cán nóng 3.50x124X S355JR II</t>
  </si>
  <si>
    <t>3.50×1242×C</t>
  </si>
  <si>
    <t>1251121928776</t>
  </si>
  <si>
    <t>Thép cuộn cán nóng 3.50x124X S355JR</t>
  </si>
  <si>
    <t>1251121928769</t>
  </si>
  <si>
    <t>Thép cuộn cán nóng 3.00x124X S355JR II</t>
  </si>
  <si>
    <t>1251121928752</t>
  </si>
  <si>
    <t>Thép cuộn cán nóng 3.00x124X S355JR</t>
  </si>
  <si>
    <t>1251121928745</t>
  </si>
  <si>
    <t>Thép cuộn cán nóng 2.50x124X S355JR II</t>
  </si>
  <si>
    <t>1251121928738</t>
  </si>
  <si>
    <t>Thép cuộn cán nóng 2.50x124X S355JR</t>
  </si>
  <si>
    <t>1251121928721</t>
  </si>
  <si>
    <t>Thép cuộn cán nóng 4.00x122Y SAE1006 II</t>
  </si>
  <si>
    <t>1251121928714</t>
  </si>
  <si>
    <t>Thép cuộn cán nóng 4.00x122Y SAE1006</t>
  </si>
  <si>
    <t>1251121928707</t>
  </si>
  <si>
    <t>Thép cuộn cán nóng 3.60x122Y SAE1006 II</t>
  </si>
  <si>
    <t>3.60×1227×C</t>
  </si>
  <si>
    <t>1251121928691</t>
  </si>
  <si>
    <t>Thép cuộn cán nóng 3.60x122Y SAE1006</t>
  </si>
  <si>
    <t>1251121928684</t>
  </si>
  <si>
    <t>Thép cuộn cán nóng 3.20x122Y SAE1006 II</t>
  </si>
  <si>
    <t>1251121928677</t>
  </si>
  <si>
    <t>Thép cuộn cán nóng 3.20x122Y SAE1006</t>
  </si>
  <si>
    <t>1251121928660</t>
  </si>
  <si>
    <t>Thép cuộn cán nóng 3.00x122Y SAE1006 II</t>
  </si>
  <si>
    <t>1251121928653</t>
  </si>
  <si>
    <t>Thép cuộn cán nóng 3.00x122Y SAE1006</t>
  </si>
  <si>
    <t>1251121928646</t>
  </si>
  <si>
    <t>Thép cuộn cán nóng 2.25x122Y SAE1006 II</t>
  </si>
  <si>
    <t>2.25×1227×C</t>
  </si>
  <si>
    <t>1251121928639</t>
  </si>
  <si>
    <t>Thép cuộn cán nóng 2.25x122Y SAE1006</t>
  </si>
  <si>
    <t>1251121928622</t>
  </si>
  <si>
    <t>Thép cuộn cán nóng 2.25x102X SAE1006 II</t>
  </si>
  <si>
    <t>2.25×1022×C</t>
  </si>
  <si>
    <t>1251121928615</t>
  </si>
  <si>
    <t>Thép cuộn cán nóng 2.25x102X SAE1006</t>
  </si>
  <si>
    <t>1251121928608</t>
  </si>
  <si>
    <t>Thép cuộn cán nóng 2.00x102X SAE1006 II</t>
  </si>
  <si>
    <t>2.00×1022×C</t>
  </si>
  <si>
    <t>1251121928592</t>
  </si>
  <si>
    <t>Thép cuộn cán nóng 2.00x102X SAE1006</t>
  </si>
  <si>
    <t>1251121928585</t>
  </si>
  <si>
    <t>Thép cuộn cán nóng 2.00x113Y SAE1006 II</t>
  </si>
  <si>
    <t>2.00×1137×C</t>
  </si>
  <si>
    <t>1251121928578</t>
  </si>
  <si>
    <t>Thép cuộn cán nóng 2.00x113Y SAE1006</t>
  </si>
  <si>
    <t>1251121928561</t>
  </si>
  <si>
    <t>Thép cuộn cán nóng 6.10x152X SAE1006 II</t>
  </si>
  <si>
    <t>1251121928554</t>
  </si>
  <si>
    <t>Thép cuộn cán nóng 6.10x152X SAE1006</t>
  </si>
  <si>
    <t>1251121928547</t>
  </si>
  <si>
    <t>Thép cuộn cán nóng 4.34x152X SAE1006 II</t>
  </si>
  <si>
    <t>4.34×1522×C</t>
  </si>
  <si>
    <t>1251121928530</t>
  </si>
  <si>
    <t>Thép cuộn cán nóng 4.34x152X SAE1006</t>
  </si>
  <si>
    <t>1251121928523</t>
  </si>
  <si>
    <t>Thép cuộn cán nóng 3.23x152X SAE1006 II</t>
  </si>
  <si>
    <t>3.23×1522×C</t>
  </si>
  <si>
    <t>1251121928516</t>
  </si>
  <si>
    <t>Thép cuộn cán nóng 3.23x152X SAE1006</t>
  </si>
  <si>
    <t>1251121928509</t>
  </si>
  <si>
    <t>Thép cuộn cán nóng 6.10x121Y SAE1006 II</t>
  </si>
  <si>
    <t>1251121928493</t>
  </si>
  <si>
    <t>Thép cuộn cán nóng 6.10x121Y SAE1006</t>
  </si>
  <si>
    <t>1251121928486</t>
  </si>
  <si>
    <t>Thép cuộn cán nóng 4.34x121Y SAE1006 II</t>
  </si>
  <si>
    <t>4.34×1217×C</t>
  </si>
  <si>
    <t>1251121928479</t>
  </si>
  <si>
    <t>Thép cuộn cán nóng 4.34x121Y SAE1006</t>
  </si>
  <si>
    <t>1251121928462</t>
  </si>
  <si>
    <t>Thép cuộn cán nóng 3.23x121Y SAE1006 II</t>
  </si>
  <si>
    <t>3.23×1217×C</t>
  </si>
  <si>
    <t>1251121928455</t>
  </si>
  <si>
    <t>Thép cuộn cán nóng 3.23x121Y SAE1006</t>
  </si>
  <si>
    <t>1251121928448</t>
  </si>
  <si>
    <t>Thép cuộn cán nóng 2.44x121Y SAE1006 II</t>
  </si>
  <si>
    <t>2.44×1217×C</t>
  </si>
  <si>
    <t>1251121928431</t>
  </si>
  <si>
    <t>Thép cuộn cán nóng 2.44x121Y SAE1006</t>
  </si>
  <si>
    <t>1251121928424</t>
  </si>
  <si>
    <t>Thép cuộn cán nóng 1.80x121Y SAE1006 II</t>
  </si>
  <si>
    <t>1251121928417</t>
  </si>
  <si>
    <t>Thép cuộn cán nóng 1.80x121Y SAE1006</t>
  </si>
  <si>
    <t>1251121928400</t>
  </si>
  <si>
    <t>Thép cuộn cán nóng 2.26x121Y SAE1008 II</t>
  </si>
  <si>
    <t>1251121928394</t>
  </si>
  <si>
    <t>Thép cuộn cán nóng 2.26x121Y SAE1008</t>
  </si>
  <si>
    <t>1251121928387</t>
  </si>
  <si>
    <t>Thép cuộn cán nóng 3.50x128X SAE1006 II</t>
  </si>
  <si>
    <t>3.50×1282×C</t>
  </si>
  <si>
    <t>1251121928370</t>
  </si>
  <si>
    <t>Thép cuộn cán nóng 3.50x128X SAE1006</t>
  </si>
  <si>
    <t>1251121928363</t>
  </si>
  <si>
    <t>Thép cuộn cán nóng 3.00x128X SAE1006 II</t>
  </si>
  <si>
    <t>3.00×1282×C</t>
  </si>
  <si>
    <t>1251121928356</t>
  </si>
  <si>
    <t>Thép cuộn cán nóng 3.00x128X SAE1006</t>
  </si>
  <si>
    <t>1251121928349</t>
  </si>
  <si>
    <t>Thép cuộn cán nóng 2.75x128X SAE1006 II</t>
  </si>
  <si>
    <t>2.75×1282×C</t>
  </si>
  <si>
    <t>1251121928332</t>
  </si>
  <si>
    <t>Thép cuộn cán nóng 2.75x128X SAE1006</t>
  </si>
  <si>
    <t>1251121928325</t>
  </si>
  <si>
    <t>Thép cuộn cán nóng 2.50x128X SAE1006 II</t>
  </si>
  <si>
    <t>2.50×1282×C</t>
  </si>
  <si>
    <t>1251121928318</t>
  </si>
  <si>
    <t>Thép cuộn cán nóng 2.50x128X SAE1006</t>
  </si>
  <si>
    <t>1251121928301</t>
  </si>
  <si>
    <t>Thép cuộn cán nóng 2.30x128X SAE1006 II</t>
  </si>
  <si>
    <t>2.30×1282×C</t>
  </si>
  <si>
    <t>1251121928295</t>
  </si>
  <si>
    <t>Thép cuộn cán nóng 2.30x128X SAE1006</t>
  </si>
  <si>
    <t>1251121928288</t>
  </si>
  <si>
    <t>Thép cuộn cán nóng 2.00x128X SAE1006 II</t>
  </si>
  <si>
    <t>2.00×1282×C</t>
  </si>
  <si>
    <t>1251121928271</t>
  </si>
  <si>
    <t>Thép cuộn cán nóng 2.00x128X SAE1006</t>
  </si>
  <si>
    <t>1251121928264</t>
  </si>
  <si>
    <t>Thép cuộn cán nóng 1.80x128X SAE1006 II</t>
  </si>
  <si>
    <t>1.80×1282×C</t>
  </si>
  <si>
    <t>1251121928257</t>
  </si>
  <si>
    <t>Thép cuộn cán nóng 1.80x128X SAE1006</t>
  </si>
  <si>
    <t>1251121928240</t>
  </si>
  <si>
    <t>Thép cuộn cán nóng 2.75x125X SAE1006 II</t>
  </si>
  <si>
    <t>1251121928233</t>
  </si>
  <si>
    <t>Thép cuộn cán nóng 2.75x125X SAE1006</t>
  </si>
  <si>
    <t>1251121928226</t>
  </si>
  <si>
    <t>Thép cuộn cán nóng 1.80x125X SAE1006 II</t>
  </si>
  <si>
    <t>1251121928219</t>
  </si>
  <si>
    <t>Thép cuộn cán nóng 1.80x125X SAE1006</t>
  </si>
  <si>
    <t>1251121928202</t>
  </si>
  <si>
    <t>Thép cuộn cán nóng 2.43x121Y SPHC II</t>
  </si>
  <si>
    <t>1251121928196</t>
  </si>
  <si>
    <t>Thép cuộn cán nóng 2.43x121Y SPHC</t>
  </si>
  <si>
    <t>1251121928189</t>
  </si>
  <si>
    <t>Thép cuộn cán nóng 2.00x121Y SPHC II</t>
  </si>
  <si>
    <t>1251121928172</t>
  </si>
  <si>
    <t>Thép cuộn cán nóng 2.00x121Y SPHC</t>
  </si>
  <si>
    <t>1251121928165</t>
  </si>
  <si>
    <t>Thép cuộn cán nóng 2.10x125X SPHC II</t>
  </si>
  <si>
    <t>1251121928158</t>
  </si>
  <si>
    <t>Thép cuộn cán nóng 2.10x125X SPHC</t>
  </si>
  <si>
    <t>1251121928141</t>
  </si>
  <si>
    <t>Thép cuộn cán nóng 2.30x125X SS400 II</t>
  </si>
  <si>
    <t>1251121928134</t>
  </si>
  <si>
    <t>Thép cuộn cán nóng 2.30x125X SS400</t>
  </si>
  <si>
    <t>1251121928127</t>
  </si>
  <si>
    <t>Thép cuộn cán nóng 3.45x129X SS400 II</t>
  </si>
  <si>
    <t>3.45×1292×C</t>
  </si>
  <si>
    <t>1251121928110</t>
  </si>
  <si>
    <t>Thép cuộn cán nóng 3.45x129X SS400</t>
  </si>
  <si>
    <t>1251121928103</t>
  </si>
  <si>
    <t>Thép cuộn cán nóng 6.30x121Y ASTM A36 II</t>
  </si>
  <si>
    <t>1251121928097</t>
  </si>
  <si>
    <t>Thép cuộn cán nóng 6.30x121Y ASTM A36</t>
  </si>
  <si>
    <t>1251121928080</t>
  </si>
  <si>
    <t>Thép cuộn cán nóng 6.00x121Y ASTM A36 II</t>
  </si>
  <si>
    <t>6.00×1217×C</t>
  </si>
  <si>
    <t>1251121928073</t>
  </si>
  <si>
    <t>Thép cuộn cán nóng 6.00x121Y ASTM A36</t>
  </si>
  <si>
    <t>1251121928066</t>
  </si>
  <si>
    <t>Thép cuộn cán nóng 4.72x121Y ASTM A36 II</t>
  </si>
  <si>
    <t>4.72×1217×C</t>
  </si>
  <si>
    <t>1251121928059</t>
  </si>
  <si>
    <t>Thép cuộn cán nóng 4.72x121Y ASTM A36</t>
  </si>
  <si>
    <t>1251121928042</t>
  </si>
  <si>
    <t>Thép cuộn cán nóng 4.42x121Y ASTM A36 II</t>
  </si>
  <si>
    <t>4.42×1217×C</t>
  </si>
  <si>
    <t>1251121928035</t>
  </si>
  <si>
    <t>Thép cuộn cán nóng 4.42x121Y ASTM A36</t>
  </si>
  <si>
    <t>1251121928028</t>
  </si>
  <si>
    <t>Thép cuộn cán nóng 9.52x152X ASTM A36 II</t>
  </si>
  <si>
    <t>9.52×1522×C</t>
  </si>
  <si>
    <t>1251121928011</t>
  </si>
  <si>
    <t>Thép cuộn cán nóng 9.52x152X ASTM A36</t>
  </si>
  <si>
    <t>1251121928004</t>
  </si>
  <si>
    <t>Thép cuộn cán nóng 9.52x121Y ASTM A36 II</t>
  </si>
  <si>
    <t>9.52×1217×C</t>
  </si>
  <si>
    <t>1251121927991</t>
  </si>
  <si>
    <t>Thép cuộn cán nóng 9.52x121Y ASTM A36</t>
  </si>
  <si>
    <t>1251121927984</t>
  </si>
  <si>
    <t>Thép cuộn cán nóng 7.92x152X ASTM A36 II</t>
  </si>
  <si>
    <t>7.92×1522×C</t>
  </si>
  <si>
    <t>1251121927977</t>
  </si>
  <si>
    <t>Thép cuộn cán nóng 7.92x152X ASTM A36</t>
  </si>
  <si>
    <t>1251121927960</t>
  </si>
  <si>
    <t>Thép cuộn cán nóng 7.92x121Y ASTM A36 II</t>
  </si>
  <si>
    <t>7.92×1217×C</t>
  </si>
  <si>
    <t>1251121927953</t>
  </si>
  <si>
    <t>Thép cuộn cán nóng 7.92x121Y ASTM A36</t>
  </si>
  <si>
    <t>1251121927946</t>
  </si>
  <si>
    <t>Thép cuộn cán nóng 4.76x152X ASTM A36 II</t>
  </si>
  <si>
    <t>1251121927939</t>
  </si>
  <si>
    <t>Thép cuộn cán nóng 4.76x152X ASTM A36</t>
  </si>
  <si>
    <t>1251121927922</t>
  </si>
  <si>
    <t>Thép cuộn cán nóng 3.42x152X ASTM A36 II</t>
  </si>
  <si>
    <t>1251121927915</t>
  </si>
  <si>
    <t>Thép cuộn cán nóng 3.42x152X ASTM A36</t>
  </si>
  <si>
    <t>1251121927908</t>
  </si>
  <si>
    <t>Thép cuộn cán nóng 4.18x121Y ASTM A36 II</t>
  </si>
  <si>
    <t>4.18×1217×C</t>
  </si>
  <si>
    <t>1251121927892</t>
  </si>
  <si>
    <t>Thép cuộn cán nóng 4.18x121Y ASTM A36</t>
  </si>
  <si>
    <t>1251121927885</t>
  </si>
  <si>
    <t>Thép cuộn cán nóng 3.80x121Y ASTM A36 II</t>
  </si>
  <si>
    <t>1251121927878</t>
  </si>
  <si>
    <t>Thép cuộn cán nóng 3.80x121Y ASTM A36</t>
  </si>
  <si>
    <t>1251121927861</t>
  </si>
  <si>
    <t>Thép cuộn cán nóng 3.42x121Y ASTM A36 II</t>
  </si>
  <si>
    <t>1251121927854</t>
  </si>
  <si>
    <t>Thép cuộn cán nóng 3.42x121Y ASTM A36</t>
  </si>
  <si>
    <t>1251121927847</t>
  </si>
  <si>
    <t>Thép cuộn cán nóng 3.04x121Y ASTM A36 II</t>
  </si>
  <si>
    <t>1251121927830</t>
  </si>
  <si>
    <t>Thép cuộn cán nóng 3.04x121Y ASTM A36</t>
  </si>
  <si>
    <t>1251121927823</t>
  </si>
  <si>
    <t>Thép cuộn cán nóng 2.66x121Y ASTM A36 II</t>
  </si>
  <si>
    <t>1251121927816</t>
  </si>
  <si>
    <t>Thép cuộn cán nóng 2.66x121Y ASTM A36</t>
  </si>
  <si>
    <t>1251121927809</t>
  </si>
  <si>
    <t>Thép cuộn cán nóng 9.53x152X ASTM A36 II</t>
  </si>
  <si>
    <t>9.53×1522×C</t>
  </si>
  <si>
    <t>1251121927793</t>
  </si>
  <si>
    <t>Thép cuộn cán nóng 9.53x152X ASTM A36</t>
  </si>
  <si>
    <t>1251121927786</t>
  </si>
  <si>
    <t>Thép cuộn cán nóng 6.35x152X ASTM A36 II</t>
  </si>
  <si>
    <t>6.35×1522×C</t>
  </si>
  <si>
    <t>1251121927779</t>
  </si>
  <si>
    <t>Thép cuộn cán nóng 6.35x152X ASTM A36</t>
  </si>
  <si>
    <t>1251121927762</t>
  </si>
  <si>
    <t>Thép cuộn cán nóng 3.04x152X ASTM A36 II</t>
  </si>
  <si>
    <t>1251121927755</t>
  </si>
  <si>
    <t>Thép cuộn cán nóng 3.04x152X ASTM A36</t>
  </si>
  <si>
    <t>1251121927748</t>
  </si>
  <si>
    <t>Thép cuộn cán nóng 2.66x152X ASTM A36 II</t>
  </si>
  <si>
    <t>2.66×1522×C</t>
  </si>
  <si>
    <t>1251121927731</t>
  </si>
  <si>
    <t>Thép cuộn cán nóng 2.66x152X ASTM A36</t>
  </si>
  <si>
    <t>1251121927724</t>
  </si>
  <si>
    <t>Thép cuộn cán nóng 2.45x104X SAE1006 II</t>
  </si>
  <si>
    <t>2.45×1042×C</t>
  </si>
  <si>
    <t>1251121927618</t>
  </si>
  <si>
    <t>Thép cuộn cán nóng 2.45x104X SAE1006</t>
  </si>
  <si>
    <t>1251121927601</t>
  </si>
  <si>
    <t>Thép cuộn cán nóng 2.70x121Y SAE1006 II</t>
  </si>
  <si>
    <t>1251121927595</t>
  </si>
  <si>
    <t>Thép cuộn cán nóng 2.70x121Y SAE1006</t>
  </si>
  <si>
    <t>1251121927588</t>
  </si>
  <si>
    <t>Thép cuộn cán nóng 2.45x120X SAE1006 II</t>
  </si>
  <si>
    <t>1251121927571</t>
  </si>
  <si>
    <t>Thép cuộn cán nóng 2.45x120X SAE1006</t>
  </si>
  <si>
    <t>1251121927564</t>
  </si>
  <si>
    <t>Thép cuộn cán nóng 2.40x120X SAE1006 II</t>
  </si>
  <si>
    <t>2.40×1202×C</t>
  </si>
  <si>
    <t>1251121927557</t>
  </si>
  <si>
    <t>Thép cuộn cán nóng 2.40x120X SAE1006</t>
  </si>
  <si>
    <t>1251121927540</t>
  </si>
  <si>
    <t>Thép cuộn cán nóng 2.50x114X SAE1006 II</t>
  </si>
  <si>
    <t>2.50×1142×C</t>
  </si>
  <si>
    <t>1251121927533</t>
  </si>
  <si>
    <t>Thép cuộn cán nóng 2.50x114X SAE1006</t>
  </si>
  <si>
    <t>1251121927526</t>
  </si>
  <si>
    <t>Thép cuộn cán nóng 2.87x119X SS400 II</t>
  </si>
  <si>
    <t>2.87×1192×C</t>
  </si>
  <si>
    <t>1251121927519</t>
  </si>
  <si>
    <t>Thép cuộn cán nóng 2.87x119X SS400</t>
  </si>
  <si>
    <t>1251121927502</t>
  </si>
  <si>
    <t>Thép cuộn cán nóng 2.50x118Y BjPC II</t>
  </si>
  <si>
    <t>1251121927496</t>
  </si>
  <si>
    <t>Thép cuộn cán nóng 2.50x118Y BjPC</t>
  </si>
  <si>
    <t>1251121927489</t>
  </si>
  <si>
    <t>Thép cuộn cán nóng 4.80x125X SS400 II</t>
  </si>
  <si>
    <t>4.80×1252×C</t>
  </si>
  <si>
    <t>1251121927472</t>
  </si>
  <si>
    <t>Thép cuộn cán nóng 4.80x125X SS400</t>
  </si>
  <si>
    <t>1251121927465</t>
  </si>
  <si>
    <t>Thép cuộn cán nóng 3.50x125X SS400 II</t>
  </si>
  <si>
    <t>1251121927458</t>
  </si>
  <si>
    <t>Thép cuộn cán nóng 3.50x125X SS400</t>
  </si>
  <si>
    <t>1251121927441</t>
  </si>
  <si>
    <t>Thép cuộn cán nóng 3.20x125X SS400 II</t>
  </si>
  <si>
    <t>3.20×1252×C</t>
  </si>
  <si>
    <t>1251121927434</t>
  </si>
  <si>
    <t>Thép cuộn cán nóng 3.20x125X SS400</t>
  </si>
  <si>
    <t>1251121927427</t>
  </si>
  <si>
    <t>Thép cuộn cán nóng 2.80x140X SS400 II</t>
  </si>
  <si>
    <t>2.80×1402×C</t>
  </si>
  <si>
    <t>1251121927410</t>
  </si>
  <si>
    <t>Thép cuộn cán nóng 2.80x140X SS400</t>
  </si>
  <si>
    <t>1251121927403</t>
  </si>
  <si>
    <t>Thép cuộn cán nóng 4.35x131Y SS400 II</t>
  </si>
  <si>
    <t>4.35×1317×C</t>
  </si>
  <si>
    <t>1251121927397</t>
  </si>
  <si>
    <t>Thép cuộn cán nóng 4.35x131Y SS400</t>
  </si>
  <si>
    <t>1251121927380</t>
  </si>
  <si>
    <t>Thép cuộn cán nóng 4.15x130X SS400 II</t>
  </si>
  <si>
    <t>4.15×1302×C</t>
  </si>
  <si>
    <t>1251121927373</t>
  </si>
  <si>
    <t>Thép cuộn cán nóng 4.15x130X SS400</t>
  </si>
  <si>
    <t>1251121927366</t>
  </si>
  <si>
    <t>Thép cuộn cán nóng 3.60x131X SS400 II</t>
  </si>
  <si>
    <t>1251121927359</t>
  </si>
  <si>
    <t>Thép cuộn cán nóng 3.60x131X SS400</t>
  </si>
  <si>
    <t>1251121927342</t>
  </si>
  <si>
    <t>Thép cuộn cán nóng 3.45x131X SS400 II</t>
  </si>
  <si>
    <t>3.45×1312×C</t>
  </si>
  <si>
    <t>1251121927335</t>
  </si>
  <si>
    <t>Thép cuộn cán nóng 3.45x131X SS400</t>
  </si>
  <si>
    <t>1251121927328</t>
  </si>
  <si>
    <t>Thép cuộn cán nóng 3.40x120X SS400 II</t>
  </si>
  <si>
    <t>3.40×1202×C</t>
  </si>
  <si>
    <t>1251121927311</t>
  </si>
  <si>
    <t>Thép cuộn cán nóng 3.40x120X SS400</t>
  </si>
  <si>
    <t>1251121927304</t>
  </si>
  <si>
    <t>Thép cuộn cán nóng 3.30x130X SS400 II</t>
  </si>
  <si>
    <t>3.30×1302×C</t>
  </si>
  <si>
    <t>1251121927298</t>
  </si>
  <si>
    <t>Thép cuộn cán nóng 3.30x130X SS400</t>
  </si>
  <si>
    <t>1251121927281</t>
  </si>
  <si>
    <t>Thép cuộn cán nóng 3.22x120X SS400 II</t>
  </si>
  <si>
    <t>3.22×1202×C</t>
  </si>
  <si>
    <t>1251121927274</t>
  </si>
  <si>
    <t>Thép cuộn cán nóng 3.22x120X SS400</t>
  </si>
  <si>
    <t>1251121927267</t>
  </si>
  <si>
    <t>Thép cuộn cán nóng 3.10x130X SS400 II</t>
  </si>
  <si>
    <t>1251121927250</t>
  </si>
  <si>
    <t>Thép cuộn cán nóng 3.10x130X SS400</t>
  </si>
  <si>
    <t>1251121927243</t>
  </si>
  <si>
    <t>Thép cuộn cán nóng 3.00x130X SS400 II</t>
  </si>
  <si>
    <t>1251121927236</t>
  </si>
  <si>
    <t>Thép cuộn cán nóng 3.00x130X SS400</t>
  </si>
  <si>
    <t>1251121927229</t>
  </si>
  <si>
    <t>Thép cuộn cán nóng 2.96x130X SS400 II</t>
  </si>
  <si>
    <t>2.96×1302×C</t>
  </si>
  <si>
    <t>1251121927212</t>
  </si>
  <si>
    <t>Thép cuộn cán nóng 2.96x130X SS400</t>
  </si>
  <si>
    <t>1251121927205</t>
  </si>
  <si>
    <t>Thép cuộn cán nóng 2.85x120X SS400 II</t>
  </si>
  <si>
    <t>2.85×1202×C</t>
  </si>
  <si>
    <t>1251121927199</t>
  </si>
  <si>
    <t>Thép cuộn cán nóng 2.85x120X SS400</t>
  </si>
  <si>
    <t>1251121927182</t>
  </si>
  <si>
    <t>Thép cuộn cán nóng 2.70x126Y SS400 II</t>
  </si>
  <si>
    <t>2.70×1267×C</t>
  </si>
  <si>
    <t>1251121927175</t>
  </si>
  <si>
    <t>Thép cuộn cán nóng 2.70x126Y SS400</t>
  </si>
  <si>
    <t>1251121927168</t>
  </si>
  <si>
    <t>Thép cuộn cán nóng 2.65x126Y SS400 II</t>
  </si>
  <si>
    <t>2.65×1267×C</t>
  </si>
  <si>
    <t>1251121927151</t>
  </si>
  <si>
    <t>Thép cuộn cán nóng 2.65x126Y SS400</t>
  </si>
  <si>
    <t>1251121927144</t>
  </si>
  <si>
    <t>Thép cuộn cán nóng 2.50x126Y SS400 II</t>
  </si>
  <si>
    <t>1251121927137</t>
  </si>
  <si>
    <t>Thép cuộn cán nóng 2.50x126Y SS400</t>
  </si>
  <si>
    <t>1251121927120</t>
  </si>
  <si>
    <t>Thép cuộn cán nóng 2.45x103Y SS400 II</t>
  </si>
  <si>
    <t>2.45×1037×C</t>
  </si>
  <si>
    <t>1251121927113</t>
  </si>
  <si>
    <t>Thép cuộn cán nóng 2.45x103Y SS400</t>
  </si>
  <si>
    <t>1251121927106</t>
  </si>
  <si>
    <t>Thép cuộn cán nóng 2.40x126Y SS400 II</t>
  </si>
  <si>
    <t>2.40×1267×C</t>
  </si>
  <si>
    <t>1251121927090</t>
  </si>
  <si>
    <t>Thép cuộn cán nóng 2.40x126Y SS400</t>
  </si>
  <si>
    <t>1251121927083</t>
  </si>
  <si>
    <t>Thép cuộn cán nóng 2.45x123Y SAE1006 II</t>
  </si>
  <si>
    <t>1251121927076</t>
  </si>
  <si>
    <t>Thép cuộn cán nóng 2.45x123Y SAE1006</t>
  </si>
  <si>
    <t>1251121927069</t>
  </si>
  <si>
    <t>Thép cuộn cán nóng 2.80x107X SAE1006 II</t>
  </si>
  <si>
    <t>2.80×1072×C</t>
  </si>
  <si>
    <t>1251121927052</t>
  </si>
  <si>
    <t>Thép cuộn cán nóng 2.80x107X SAE1006</t>
  </si>
  <si>
    <t>1251121927045</t>
  </si>
  <si>
    <t>Thép cuộn cán nóng 2.80x121X SAE1006 II</t>
  </si>
  <si>
    <t>2.80×1212×C</t>
  </si>
  <si>
    <t>1251121927038</t>
  </si>
  <si>
    <t>Thép cuộn cán nóng 2.80x121X SAE1006</t>
  </si>
  <si>
    <t>1251121927021</t>
  </si>
  <si>
    <t>Thép cuộn cán nóng 2.45x121Y SAE1006 II</t>
  </si>
  <si>
    <t>1251121927014</t>
  </si>
  <si>
    <t>Thép cuộn cán nóng 2.45x121Y SAE1006</t>
  </si>
  <si>
    <t>1251121927007</t>
  </si>
  <si>
    <t>Thép cuộn cán nóng 3.50x126Y SAE1006 II</t>
  </si>
  <si>
    <t>1251121926994</t>
  </si>
  <si>
    <t>Thép cuộn cán nóng 3.50x126Y SAE1006</t>
  </si>
  <si>
    <t>1251121926987</t>
  </si>
  <si>
    <t>Thép cuộn cán nóng 2.65x126X SAE1006 II</t>
  </si>
  <si>
    <t>2.65×1262×C</t>
  </si>
  <si>
    <t>1251121926970</t>
  </si>
  <si>
    <t>Thép cuộn cán nóng 2.65x126X SAE1006</t>
  </si>
  <si>
    <t>1251121926963</t>
  </si>
  <si>
    <t>Thép cuộn cán nóng 2.90x121Y SAE1006 II</t>
  </si>
  <si>
    <t>1251121926956</t>
  </si>
  <si>
    <t>Thép cuộn cán nóng 2.90x121Y SAE1006</t>
  </si>
  <si>
    <t>1251121926949</t>
  </si>
  <si>
    <t>Thép cuộn cán nóng 2.70x121X SAE1006 II</t>
  </si>
  <si>
    <t>1251121926932</t>
  </si>
  <si>
    <t>Thép cuộn cán nóng 2.70x121X SAE1006</t>
  </si>
  <si>
    <t>1251121926925</t>
  </si>
  <si>
    <t>Thép cuộn cán nóng 2.60x120X SAE1006 II</t>
  </si>
  <si>
    <t>2.60×1202×C</t>
  </si>
  <si>
    <t>1251121926918</t>
  </si>
  <si>
    <t>Thép cuộn cán nóng 2.60x120X SAE1006</t>
  </si>
  <si>
    <t>1251121926901</t>
  </si>
  <si>
    <t>Thép cuộn cán nóng 2.70x120X SAE1006 II</t>
  </si>
  <si>
    <t>2.70×1202×C</t>
  </si>
  <si>
    <t>1251121926895</t>
  </si>
  <si>
    <t>Thép cuộn cán nóng 2.70x120X SAE1006</t>
  </si>
  <si>
    <t>1251121926888</t>
  </si>
  <si>
    <t>Thép cuộn cán nóng 2.85x126Y SPHC II</t>
  </si>
  <si>
    <t>2.85×1267×C</t>
  </si>
  <si>
    <t>1251121926871</t>
  </si>
  <si>
    <t>Thép cuộn cán nóng 2.85x126Y SPHC</t>
  </si>
  <si>
    <t>1251121926864</t>
  </si>
  <si>
    <t>Thép cuộn cán nóng 2.45x126Y SPHC II</t>
  </si>
  <si>
    <t>2.45×1267×C</t>
  </si>
  <si>
    <t>1251121926857</t>
  </si>
  <si>
    <t>Thép cuộn cán nóng 2.45x126Y SPHC</t>
  </si>
  <si>
    <t>1251121926840</t>
  </si>
  <si>
    <t>Thép cuộn cán nóng 2.00x121X SPHC II</t>
  </si>
  <si>
    <t>1251121926833</t>
  </si>
  <si>
    <t>Thép cuộn cán nóng 2.00x121X SPHC</t>
  </si>
  <si>
    <t>1251121926826</t>
  </si>
  <si>
    <t>Thép cuộn cán nóng 3.67x121Y S275JR II</t>
  </si>
  <si>
    <t>3.67×1217×C</t>
  </si>
  <si>
    <t>1251121926819</t>
  </si>
  <si>
    <t>Thép cuộn cán nóng 3.67x121Y S275JR</t>
  </si>
  <si>
    <t>1251121926802</t>
  </si>
  <si>
    <t>Thép cuộn cán nóng 2.85x125X S275JR II</t>
  </si>
  <si>
    <t>1251121926796</t>
  </si>
  <si>
    <t>Thép cuộn cán nóng 2.85x125X S275JR</t>
  </si>
  <si>
    <t>1251121926789</t>
  </si>
  <si>
    <t>Thép cuộn cán nóng 3.00x118X BjPS II</t>
  </si>
  <si>
    <t>1251121926772</t>
  </si>
  <si>
    <t>Thép cuộn cán nóng 3.00x118X BjPS</t>
  </si>
  <si>
    <t>1251121926765</t>
  </si>
  <si>
    <t>Thép cuộn cán nóng 4.85x142Y DD11 II</t>
  </si>
  <si>
    <t>4.85×1427×C</t>
  </si>
  <si>
    <t>1251121926758</t>
  </si>
  <si>
    <t>Thép cuộn cán nóng 4.85x142Y DD11</t>
  </si>
  <si>
    <t>1251121926741</t>
  </si>
  <si>
    <t>Thép cuộn cán nóng 3.00x108X SS400 II</t>
  </si>
  <si>
    <t>3.00×1082×C</t>
  </si>
  <si>
    <t>1251121926734</t>
  </si>
  <si>
    <t>Thép cuộn cán nóng 3.00x108X SS400</t>
  </si>
  <si>
    <t>1251121926727</t>
  </si>
  <si>
    <t>Thép cuộn cán nóng 2.50x110X SAE1006 II</t>
  </si>
  <si>
    <t>2.50×1102×C</t>
  </si>
  <si>
    <t>1251121926710</t>
  </si>
  <si>
    <t>Thép cuộn cán nóng 2.50x110X SAE1006</t>
  </si>
  <si>
    <t>1251121926703</t>
  </si>
  <si>
    <t>Thép cuộn cán nóng 4.10x132Y S275JR II</t>
  </si>
  <si>
    <t>4.10×1327×C</t>
  </si>
  <si>
    <t>1251121926697</t>
  </si>
  <si>
    <t>Thép cuộn cán nóng 4.10x132Y S275JR</t>
  </si>
  <si>
    <t>1251121926680</t>
  </si>
  <si>
    <t>Thép cuộn cán nóng 4.10x125Y S275JR II</t>
  </si>
  <si>
    <t>4.10×1257×C</t>
  </si>
  <si>
    <t>1251121926673</t>
  </si>
  <si>
    <t>Thép cuộn cán nóng 4.10x125Y S275JR</t>
  </si>
  <si>
    <t>1251121926666</t>
  </si>
  <si>
    <t>Thép cuộn cán nóng 5.50x120X S275JR II</t>
  </si>
  <si>
    <t>5.50×1202×C</t>
  </si>
  <si>
    <t>1251121926659</t>
  </si>
  <si>
    <t>Thép cuộn cán nóng 5.50x120X S275JR</t>
  </si>
  <si>
    <t>1251121926642</t>
  </si>
  <si>
    <t>Thép cuộn cán nóng 1.65x126Y SAE1006 II</t>
  </si>
  <si>
    <t>1.65×1267×C</t>
  </si>
  <si>
    <t>1251121926628</t>
  </si>
  <si>
    <t>Thép cuộn cán nóng 1.65x126Y SAE1006</t>
  </si>
  <si>
    <t>1251121926611</t>
  </si>
  <si>
    <t>Thép cuộn cán nóng 3.90x1410 SS400 II</t>
  </si>
  <si>
    <t>3.90×1410×C</t>
  </si>
  <si>
    <t>1251121482964</t>
  </si>
  <si>
    <t>Thép cuộn cán nóng 3.90x1410 SS400</t>
  </si>
  <si>
    <t>1251121482957</t>
  </si>
  <si>
    <t>Thép cuộn cán nóng 2.85x1400 SS400 II</t>
  </si>
  <si>
    <t>2.85×1400×C</t>
  </si>
  <si>
    <t>1251121482940</t>
  </si>
  <si>
    <t>Thép cuộn cán nóng 2.85x1400 SS400</t>
  </si>
  <si>
    <t>1251121482933</t>
  </si>
  <si>
    <t>Thép cuộn cán nóng 3.90x1490 SS400 II</t>
  </si>
  <si>
    <t>3.90×1490×C</t>
  </si>
  <si>
    <t>1251121482926</t>
  </si>
  <si>
    <t>Thép cuộn cán nóng 3.90x1490 SS400</t>
  </si>
  <si>
    <t>1251121482919</t>
  </si>
  <si>
    <t>Thép cuộn cán nóng 17.90x1500 SS400 II</t>
  </si>
  <si>
    <t>17.90×1500×C</t>
  </si>
  <si>
    <t>1251121482902</t>
  </si>
  <si>
    <t>Thép cuộn cán nóng 17.90x1500 SS400</t>
  </si>
  <si>
    <t>1251121482896</t>
  </si>
  <si>
    <t>Thép cuộn cán nóng 15.90x1500 SS400 II</t>
  </si>
  <si>
    <t>15.90×1500×C</t>
  </si>
  <si>
    <t>1251121482889</t>
  </si>
  <si>
    <t>Thép cuộn cán nóng 15.90x1500 SS400</t>
  </si>
  <si>
    <t>1251121482872</t>
  </si>
  <si>
    <t>Thép cuộn cán nóng 13.90x1500 SS400 II</t>
  </si>
  <si>
    <t>13.90×1500×C</t>
  </si>
  <si>
    <t>1251121482865</t>
  </si>
  <si>
    <t>Thép cuộn cán nóng 13.90x1500 SS400</t>
  </si>
  <si>
    <t>1251121482858</t>
  </si>
  <si>
    <t>Thép cuộn cán nóng 6.30x1260 SAE1006 II</t>
  </si>
  <si>
    <t>6.30×1260×C</t>
  </si>
  <si>
    <t>1251121482841</t>
  </si>
  <si>
    <t>Thép cuộn cán nóng 6.30x1260 SAE1006</t>
  </si>
  <si>
    <t>1251121482834</t>
  </si>
  <si>
    <t>Thép cuộn cán nóng 2.60x1238 SAE1006 II</t>
  </si>
  <si>
    <t>2.60×1238×C</t>
  </si>
  <si>
    <t>1251121482827</t>
  </si>
  <si>
    <t>Thép cuộn cán nóng 2.60x1238 SAE1006</t>
  </si>
  <si>
    <t>1251121482810</t>
  </si>
  <si>
    <t>Thép cuộn cán nóng 2.30x1238 SAE1006 II</t>
  </si>
  <si>
    <t>2.30×1238×C</t>
  </si>
  <si>
    <t>1251121482803</t>
  </si>
  <si>
    <t>Thép cuộn cán nóng 2.30x1238 SAE1006</t>
  </si>
  <si>
    <t>1251121482797</t>
  </si>
  <si>
    <t>Thép cuộn cán nóng 1.80x1230 SAE1006 II</t>
  </si>
  <si>
    <t>1.80×1230×C</t>
  </si>
  <si>
    <t>1251121482780</t>
  </si>
  <si>
    <t>Thép cuộn cán nóng 1.80x1230 SAE1006</t>
  </si>
  <si>
    <t>1251121482773</t>
  </si>
  <si>
    <t>[D]Thép cuộn cán nóng 1.50x1230SAE1006II</t>
  </si>
  <si>
    <t>1.50×1230×C</t>
  </si>
  <si>
    <t>1251121482766</t>
  </si>
  <si>
    <t>[D]Thép cuộn cán nóng 1.50x1230 SAE1006</t>
  </si>
  <si>
    <t>1251121482759</t>
  </si>
  <si>
    <t>Thép cuộn cán nóng 1.20x1230 SAE1006 II</t>
  </si>
  <si>
    <t>1.20×1230×C</t>
  </si>
  <si>
    <t>1251121482742</t>
  </si>
  <si>
    <t>Thép cuộn cán nóng 1.20x1230 SAE1006</t>
  </si>
  <si>
    <t>1251121482735</t>
  </si>
  <si>
    <t>Thép cuộn cán nóng 3.95x1410 SS400 II</t>
  </si>
  <si>
    <t>3.95×1410×C</t>
  </si>
  <si>
    <t>1251121482643</t>
  </si>
  <si>
    <t>Thép cuộn cán nóng 3.95x1410 SS400</t>
  </si>
  <si>
    <t>1251121482636</t>
  </si>
  <si>
    <t>Thép cuộn cán nóng 2.80x1410 SS400 II</t>
  </si>
  <si>
    <t>2.80×1410×C</t>
  </si>
  <si>
    <t>1251121482629</t>
  </si>
  <si>
    <t>Thép cuộn cán nóng 2.80x1410 SS400</t>
  </si>
  <si>
    <t>1251121482612</t>
  </si>
  <si>
    <t>Thép cuộn cán nóng 4.45x1210 SS400 II</t>
  </si>
  <si>
    <t>4.45×1210×C</t>
  </si>
  <si>
    <t>1251121482605</t>
  </si>
  <si>
    <t>Thép cuộn cán nóng 4.45x1210 SS400</t>
  </si>
  <si>
    <t>1251121482599</t>
  </si>
  <si>
    <t>Thép cuộn cán nóng 2.60x1269 SAE1006 II</t>
  </si>
  <si>
    <t>2.60×1269×C</t>
  </si>
  <si>
    <t>1251121482582</t>
  </si>
  <si>
    <t>Thép cuộn cán nóng 2.60x1269 SAE1006</t>
  </si>
  <si>
    <t>1251121482575</t>
  </si>
  <si>
    <t>Thép cuộn cán nóng 2.30x1269 SAE1006 II</t>
  </si>
  <si>
    <t>2.30×1269×C</t>
  </si>
  <si>
    <t>1251121482568</t>
  </si>
  <si>
    <t>Thép cuộn cán nóng 2.30x1269 SAE1006</t>
  </si>
  <si>
    <t>1251121482551</t>
  </si>
  <si>
    <t>Thép cuộn cán nóng 4.50x1225 SAE1006 II</t>
  </si>
  <si>
    <t>4.50×1225×C</t>
  </si>
  <si>
    <t>1251121482544</t>
  </si>
  <si>
    <t>Thép cuộn cán nóng 4.50x1225 SAE1006</t>
  </si>
  <si>
    <t>1251121482537</t>
  </si>
  <si>
    <t>Thép cuộn cán nóng 2.80x1225 SAE1006 II</t>
  </si>
  <si>
    <t>2.80×1225×C</t>
  </si>
  <si>
    <t>1251121482520</t>
  </si>
  <si>
    <t>Thép cuộn cán nóng 2.80x1225 SAE1006</t>
  </si>
  <si>
    <t>1251121482513</t>
  </si>
  <si>
    <t>Thép cuộn cán nóng 3.90x1260 SAE1006 II</t>
  </si>
  <si>
    <t>3.90×1260×C</t>
  </si>
  <si>
    <t>1251121482506</t>
  </si>
  <si>
    <t>Thép cuộn cán nóng 3.90x1260 SAE1006</t>
  </si>
  <si>
    <t>1251121482490</t>
  </si>
  <si>
    <t>Thép cuộn cán nóng 3.50x1260 SAE1006 II</t>
  </si>
  <si>
    <t>1251121482483</t>
  </si>
  <si>
    <t>Thép cuộn cán nóng 3.50x1260 SAE1006</t>
  </si>
  <si>
    <t>1251121482476</t>
  </si>
  <si>
    <t>Thép cuộn cán nóng 2.95x1219 SPHC II</t>
  </si>
  <si>
    <t>2.95×1219×C</t>
  </si>
  <si>
    <t>1251121481035</t>
  </si>
  <si>
    <t>Thép cuộn cán nóng 2.95x1219 SPHC</t>
  </si>
  <si>
    <t>1251121481028</t>
  </si>
  <si>
    <t>Thép cuộn cán nóng 2.90x1219 SPHC II</t>
  </si>
  <si>
    <t>1251121481011</t>
  </si>
  <si>
    <t>Thép cuộn cán nóng 2.90x1219 SPHC</t>
  </si>
  <si>
    <t>1251121481004</t>
  </si>
  <si>
    <t>Thép cuộn cán nóng 2.65x1219 SPHC II</t>
  </si>
  <si>
    <t>2.65×1219×C</t>
  </si>
  <si>
    <t>1251121480991</t>
  </si>
  <si>
    <t>Thép cuộn cán nóng 2.65x1219 SPHC</t>
  </si>
  <si>
    <t>1251121480984</t>
  </si>
  <si>
    <t>Thép cuộn cán nóng 2.15x1262 SAE1006 II</t>
  </si>
  <si>
    <t>2.15×1262×C</t>
  </si>
  <si>
    <t>1251121480977</t>
  </si>
  <si>
    <t>Thép cuộn cán nóng 2.15x1262 SAE1006</t>
  </si>
  <si>
    <t>1251121480960</t>
  </si>
  <si>
    <t>Thép cuộn cán nóng 2.10x1210 SAE1006 II</t>
  </si>
  <si>
    <t>2.10×1210×C</t>
  </si>
  <si>
    <t>1251121480953</t>
  </si>
  <si>
    <t>Thép cuộn cán nóng 2.10x1210 SAE1006</t>
  </si>
  <si>
    <t>1251121480946</t>
  </si>
  <si>
    <t>Thép cuộn cán nóng 2.60x1219 SS400 II</t>
  </si>
  <si>
    <t>2.60×1219×C</t>
  </si>
  <si>
    <t>1251121480939</t>
  </si>
  <si>
    <t>Thép cuộn cán nóng 2.60x1219 SS400</t>
  </si>
  <si>
    <t>1251121480922</t>
  </si>
  <si>
    <t>Thép cuộn cán nóng 2.10x1212 SAE1006 II</t>
  </si>
  <si>
    <t>1251121480434</t>
  </si>
  <si>
    <t>Thép cuộn cán nóng 4.00x1225 BJPC II</t>
  </si>
  <si>
    <t>4.00×1225×C</t>
  </si>
  <si>
    <t>1251121480366</t>
  </si>
  <si>
    <t>Thép cuộn cán nóng 4.00x1225 BJPC</t>
  </si>
  <si>
    <t>1251121480359</t>
  </si>
  <si>
    <t>Thép cuộn cán nóng 3.60x1225 BJPC II</t>
  </si>
  <si>
    <t>3.60×1225×C</t>
  </si>
  <si>
    <t>1251121480342</t>
  </si>
  <si>
    <t>Thép cuộn cán nóng 3.60x1225 BJPC</t>
  </si>
  <si>
    <t>1251121480335</t>
  </si>
  <si>
    <t>Thép cuộn cán nóng 3.20x1225 BJPC II</t>
  </si>
  <si>
    <t>3.20×1225×C</t>
  </si>
  <si>
    <t>1251121480328</t>
  </si>
  <si>
    <t>Thép cuộn cán nóng 3.20x1225 BJPC</t>
  </si>
  <si>
    <t>1251121480311</t>
  </si>
  <si>
    <t>Thép cuộn cán nóng 3.00x1225 BJPC II</t>
  </si>
  <si>
    <t>3.00×1225×C</t>
  </si>
  <si>
    <t>1251121480304</t>
  </si>
  <si>
    <t>Thép cuộn cán nóng 3.00x1225 BJPC</t>
  </si>
  <si>
    <t>1251121480298</t>
  </si>
  <si>
    <t>Thép cuộn cán nóng 2.80x1225 BJPC II</t>
  </si>
  <si>
    <t>1251121480281</t>
  </si>
  <si>
    <t>Thép cuộn cán nóng 2.80x1225 BJPC</t>
  </si>
  <si>
    <t>1251121480274</t>
  </si>
  <si>
    <t>Thép cuộn cán nóng 2.50x1225 BJPC II</t>
  </si>
  <si>
    <t>2.50×1225×C</t>
  </si>
  <si>
    <t>1251121480267</t>
  </si>
  <si>
    <t>Thép cuộn cán nóng 2.50x1225 BJPC</t>
  </si>
  <si>
    <t>1251121480250</t>
  </si>
  <si>
    <t>Thép cuộn cán nóng 2.25x1225 BJPC II</t>
  </si>
  <si>
    <t>2.25×1225×C</t>
  </si>
  <si>
    <t>1251121480243</t>
  </si>
  <si>
    <t>Thép cuộn cán nóng 2.25x1225 BJPC</t>
  </si>
  <si>
    <t>1251121480236</t>
  </si>
  <si>
    <t>Thép cuộn cán nóng 2.00x1225 BJPC II</t>
  </si>
  <si>
    <t>2.00×1225×C</t>
  </si>
  <si>
    <t>1251121480229</t>
  </si>
  <si>
    <t>Thép cuộn cán nóng 2.00x1225 BJPC</t>
  </si>
  <si>
    <t>1251121480212</t>
  </si>
  <si>
    <t>Thép cuộn cán nóng 3.65x1219 SS400 II</t>
  </si>
  <si>
    <t>3.65×1219×C</t>
  </si>
  <si>
    <t>1251121480205</t>
  </si>
  <si>
    <t>Thép cuộn cán nóng 3.65x1219 SS400</t>
  </si>
  <si>
    <t>1251121480199</t>
  </si>
  <si>
    <t>Thép cuộn cán nóng 4.30x1250 SAE1006 II</t>
  </si>
  <si>
    <t>4.30×1250×C</t>
  </si>
  <si>
    <t>1251121480182</t>
  </si>
  <si>
    <t>Thép cuộn cán nóng 4.30x1250 SAE1006</t>
  </si>
  <si>
    <t>1251121480175</t>
  </si>
  <si>
    <t>Thép cuộn cán nóng 3.30x1250 SAE1006 II</t>
  </si>
  <si>
    <t>3.30×1250×C</t>
  </si>
  <si>
    <t>1251121480168</t>
  </si>
  <si>
    <t>Thép cuộn cán nóng 3.30x1250 SAE1006</t>
  </si>
  <si>
    <t>1251121480151</t>
  </si>
  <si>
    <t>Thép HRC HSPM 2.25x123X SAE1006 II</t>
  </si>
  <si>
    <t>1251122103240</t>
  </si>
  <si>
    <t>Thép HRC HSPM 2.25x93X SAE1006 II</t>
  </si>
  <si>
    <t>1251122103264</t>
  </si>
  <si>
    <t>Thép HRC HSPM 2.50x93X SAE1006 II</t>
  </si>
  <si>
    <t>1251122103288</t>
  </si>
  <si>
    <t>Thép HRC HSPM 2.80x93X SAE1006 II</t>
  </si>
  <si>
    <t>1251122103301</t>
  </si>
  <si>
    <t>Thép HRC HSPM 1.95x125X SAE1006 II</t>
  </si>
  <si>
    <t>1251122103325</t>
  </si>
  <si>
    <t>Thép HRC HSPM 1.95x125X SPHC II</t>
  </si>
  <si>
    <t>1251122103349</t>
  </si>
  <si>
    <t>Thép HRC HSPM 2.25x125X SPHC II</t>
  </si>
  <si>
    <t>1251122103363</t>
  </si>
  <si>
    <t>Thép HRC HSPM 2.80x152X S275JR II</t>
  </si>
  <si>
    <t>1251122103387</t>
  </si>
  <si>
    <t>Thép HRC HSPM 2.00x110Y SAE1006 II</t>
  </si>
  <si>
    <t>1251122103400</t>
  </si>
  <si>
    <t>Thép HRC HSPM 2.20x110Y SAE1006 II</t>
  </si>
  <si>
    <t>1251122103424</t>
  </si>
  <si>
    <t>Thép HRC HSPM 2.30x110Y SAE1006 II</t>
  </si>
  <si>
    <t>1251122103448</t>
  </si>
  <si>
    <t>Thép HRC HSPM 2.45x110Y SAE1006 II</t>
  </si>
  <si>
    <t>1251122103462</t>
  </si>
  <si>
    <t>Thép HRC HSPM 2.67x121Y SAE1008 II</t>
  </si>
  <si>
    <t>1251122103486</t>
  </si>
  <si>
    <t>Thép HRC HSPM 3.05x121Y SAE1008 II</t>
  </si>
  <si>
    <t>3.05×1217×C</t>
  </si>
  <si>
    <t>1251122103509</t>
  </si>
  <si>
    <t>Thép HRC HSPM 3.40x121Y SAE1008 II</t>
  </si>
  <si>
    <t>1251122103523</t>
  </si>
  <si>
    <t>Thép HRC HSPM 2.00x121Y SAE1008 II</t>
  </si>
  <si>
    <t>1251122103547</t>
  </si>
  <si>
    <t>Thép HRC HSPM 1.50x121Y SAE1008 II</t>
  </si>
  <si>
    <t>1251122103561</t>
  </si>
  <si>
    <t>Thép HRC HSPM 2.28x121Y SAE1008 II</t>
  </si>
  <si>
    <t>1251122103585</t>
  </si>
  <si>
    <t>Thép HRC HSPM 3.04x121Y SAE1008 II</t>
  </si>
  <si>
    <t>1251122103608</t>
  </si>
  <si>
    <t>Thép HRC HSPM 2.50x121Y SS400 II</t>
  </si>
  <si>
    <t>1251122103622</t>
  </si>
  <si>
    <t>Thép HRC HSPM 2.80x121Y SS400 II</t>
  </si>
  <si>
    <t>1251122103646</t>
  </si>
  <si>
    <t>Thép HRC HSPM 3.80x121Y SS400 II</t>
  </si>
  <si>
    <t>1251122103660</t>
  </si>
  <si>
    <t>Thép HRC HSPM 1.78x121X SPHC II</t>
  </si>
  <si>
    <t>1.78×1212×C</t>
  </si>
  <si>
    <t>1251122103684</t>
  </si>
  <si>
    <t>Thép HRC HSPM 1.88x121X SPHC II</t>
  </si>
  <si>
    <t>1.88×1212×C</t>
  </si>
  <si>
    <t>1251122103707</t>
  </si>
  <si>
    <t>Thép HRC HSPM 1.50x121X SPHC II</t>
  </si>
  <si>
    <t>1251122103721</t>
  </si>
  <si>
    <t>Thép HRC HSPM 2.25x121X S275JR II</t>
  </si>
  <si>
    <t>1251122103745</t>
  </si>
  <si>
    <t>Thép HRC HSPM 2.45x121X S275JR II</t>
  </si>
  <si>
    <t>1251122103769</t>
  </si>
  <si>
    <t>Thép HRC HSPM 4.90x121X S275JR II</t>
  </si>
  <si>
    <t>4.90×1212×C</t>
  </si>
  <si>
    <t>1251122103783</t>
  </si>
  <si>
    <t>Thép HRC HSPM 2.45x121Y S235JR II</t>
  </si>
  <si>
    <t>1251122103806</t>
  </si>
  <si>
    <t>Thép HRC HSPM 4.75x152X S275JR II</t>
  </si>
  <si>
    <t>1251122103820</t>
  </si>
  <si>
    <t>Thép HRC HSPM 2.20x121Y S275JR II</t>
  </si>
  <si>
    <t>1251122103844</t>
  </si>
  <si>
    <t>Thép HRC HSPM 3.60x121Y S275JR II</t>
  </si>
  <si>
    <t>1251122103868</t>
  </si>
  <si>
    <t>Thép HRC HSPM 3.65x152X S275JR II</t>
  </si>
  <si>
    <t>1251122103882</t>
  </si>
  <si>
    <t>Thép HRC HSPM 4.90x152X S275JR II</t>
  </si>
  <si>
    <t>1251122103905</t>
  </si>
  <si>
    <t>Thép HRC HSPM 1.50x126Y SAE1006 II</t>
  </si>
  <si>
    <t>1251122103929</t>
  </si>
  <si>
    <t>Thép HRC HSPM 1.85x126Y SAE1006 II</t>
  </si>
  <si>
    <t>1251122103943</t>
  </si>
  <si>
    <t>Thép HRC HSPM 1.50x125X S235JR II</t>
  </si>
  <si>
    <t>1251122103967</t>
  </si>
  <si>
    <t>Thép HRC HSPM 1.83x125X S235JR II</t>
  </si>
  <si>
    <t>1251122103981</t>
  </si>
  <si>
    <t>Thép HRC HSPM 3.95x126X SAE1017 II</t>
  </si>
  <si>
    <t>1251122104001</t>
  </si>
  <si>
    <t>Thép HRC HSPM 3.95x107X SAE1017 II</t>
  </si>
  <si>
    <t>3.95×1072×C</t>
  </si>
  <si>
    <t>1251122104025</t>
  </si>
  <si>
    <t>Thép HRC HSPM 3.95x120X SAE1017 II</t>
  </si>
  <si>
    <t>1251122104049</t>
  </si>
  <si>
    <t>Thép HRC HSPM 3.95x126X SAE1006 II</t>
  </si>
  <si>
    <t>1251122104063</t>
  </si>
  <si>
    <t>Thép HRC HSPM 2.25x121X SAE1006 II</t>
  </si>
  <si>
    <t>1251122104087</t>
  </si>
  <si>
    <t>Thép HRC HSPM 2.45x121X SAE1006 II</t>
  </si>
  <si>
    <t>1251122104100</t>
  </si>
  <si>
    <t>Thép HRC HSPM 2.83x152X S275JR II</t>
  </si>
  <si>
    <t>2.83×1522×C</t>
  </si>
  <si>
    <t>1251122104124</t>
  </si>
  <si>
    <t>Thép HRC HSPM 1.95x125X SAE1006</t>
  </si>
  <si>
    <t>1251122103318</t>
  </si>
  <si>
    <t>Thép HRC HSPM 1.95x125X SPHC</t>
  </si>
  <si>
    <t>1251122103332</t>
  </si>
  <si>
    <t>Thép HRC HSPM 2.25x125X SPHC</t>
  </si>
  <si>
    <t>1251122103356</t>
  </si>
  <si>
    <t>Thép HRC HSPM 2.00x110Y SAE1006</t>
  </si>
  <si>
    <t>1251122103394</t>
  </si>
  <si>
    <t>Thép HRC HSPM 2.20x110Y SAE1006</t>
  </si>
  <si>
    <t>1251122103417</t>
  </si>
  <si>
    <t>Thép HRC HSPM 2.30x110Y SAE1006</t>
  </si>
  <si>
    <t>1251122103431</t>
  </si>
  <si>
    <t>Thép HRC HSPM 2.45x110Y SAE1006</t>
  </si>
  <si>
    <t>1251122103455</t>
  </si>
  <si>
    <t>Thép HRC HSPM 2.67x121Y SAE1008</t>
  </si>
  <si>
    <t>1251122103479</t>
  </si>
  <si>
    <t>Thép HRC HSPM 3.05x121Y SAE1008</t>
  </si>
  <si>
    <t>1251122103493</t>
  </si>
  <si>
    <t>Thép HRC HSPM 3.40x121Y SAE1008</t>
  </si>
  <si>
    <t>1251122103516</t>
  </si>
  <si>
    <t>Thép HRC HSPM 2.00x121Y SAE1008</t>
  </si>
  <si>
    <t>1251122103530</t>
  </si>
  <si>
    <t>Thép HRC HSPM 1.50x121Y SAE1008</t>
  </si>
  <si>
    <t>1251122103554</t>
  </si>
  <si>
    <t>Thép HRC HSPM 2.28x121Y SAE1008</t>
  </si>
  <si>
    <t>1251122103578</t>
  </si>
  <si>
    <t>Thép HRC HSPM 3.04x121Y SAE1008</t>
  </si>
  <si>
    <t>1251122103592</t>
  </si>
  <si>
    <t>Thép HRC HSPM 2.50x121Y SS400</t>
  </si>
  <si>
    <t>1251122103615</t>
  </si>
  <si>
    <t>Thép HRC HSPM 2.80x121Y SS400</t>
  </si>
  <si>
    <t>1251122103639</t>
  </si>
  <si>
    <t>Thép HRC HSPM 3.80x121Y SS400</t>
  </si>
  <si>
    <t>1251122103653</t>
  </si>
  <si>
    <t>Thép HRC HSPM 1.78x121X SPHC</t>
  </si>
  <si>
    <t>1251122103677</t>
  </si>
  <si>
    <t>Thép HRC HSPM 1.88x121X SPHC</t>
  </si>
  <si>
    <t>1251122103691</t>
  </si>
  <si>
    <t>Thép HRC HSPM 2.25x121X S275JR</t>
  </si>
  <si>
    <t>1251122103738</t>
  </si>
  <si>
    <t>Thép HRC HSPM 4.90x121X S275JR</t>
  </si>
  <si>
    <t>1251122103776</t>
  </si>
  <si>
    <t>Thép HRC HSPM 2.45x121Y S235JR</t>
  </si>
  <si>
    <t>1251122103790</t>
  </si>
  <si>
    <t>Thép HRC HSPM 2.20x121Y S275JR</t>
  </si>
  <si>
    <t>1251122103837</t>
  </si>
  <si>
    <t>Thép HRC HSPM 3.60x121Y S275JR</t>
  </si>
  <si>
    <t>1251122103851</t>
  </si>
  <si>
    <t>Thép HRC HSPM 3.65x152X S275JR</t>
  </si>
  <si>
    <t>1251122103875</t>
  </si>
  <si>
    <t>Thép HRC HSPM 4.90x152X S275JR</t>
  </si>
  <si>
    <t>1251122103899</t>
  </si>
  <si>
    <t>Thép HRC HSPM 2.25x93X SAE1006</t>
  </si>
  <si>
    <t>1251122103257</t>
  </si>
  <si>
    <t>Thép HRC HSPM 2.50x93X SAE1006</t>
  </si>
  <si>
    <t>1251122103271</t>
  </si>
  <si>
    <t>Thép HRC HSPM 2.80x93X SAE1006</t>
  </si>
  <si>
    <t>1251122103295</t>
  </si>
  <si>
    <t>Thép HRC HSPM 2.80x152X S275JR</t>
  </si>
  <si>
    <t>1251122103370</t>
  </si>
  <si>
    <t>Thép HRC HSPM 1.50x126Y SAE1006</t>
  </si>
  <si>
    <t>1251122103912</t>
  </si>
  <si>
    <t>Thép HRC HSPM 1.85x126Y SAE1006</t>
  </si>
  <si>
    <t>1251122103936</t>
  </si>
  <si>
    <t>Thép HRC HSPM 1.83x125X S235JR</t>
  </si>
  <si>
    <t>1251122103974</t>
  </si>
  <si>
    <t>Thép HRC HSPM 3.95x126X SAE1017</t>
  </si>
  <si>
    <t>1251122103998</t>
  </si>
  <si>
    <t>Thép HRC HSPM 3.95x107X SAE1017</t>
  </si>
  <si>
    <t>1251122104018</t>
  </si>
  <si>
    <t>Thép HRC HSPM 3.95x120X SAE1017</t>
  </si>
  <si>
    <t>1251122104032</t>
  </si>
  <si>
    <t>Thép HRC HSPM 3.95x126X SAE1006</t>
  </si>
  <si>
    <t>1251122104056</t>
  </si>
  <si>
    <t>Thép HRC HSPM 2.25x121X SAE1006</t>
  </si>
  <si>
    <t>1251122104070</t>
  </si>
  <si>
    <t>Thép HRC HSPM 2.45x121X SAE1006</t>
  </si>
  <si>
    <t>1251122104094</t>
  </si>
  <si>
    <t>Thép HRC HSPM 2.83x152X S275JR</t>
  </si>
  <si>
    <t>1251122104117</t>
  </si>
  <si>
    <t>Thép HRC HSPM 1.50x125X S235JR</t>
  </si>
  <si>
    <t>1251122103950</t>
  </si>
  <si>
    <t>Thép HRC HSPM 2.25x123X SAE1006</t>
  </si>
  <si>
    <t>1251122103233</t>
  </si>
  <si>
    <t>Thép HRC HSPM 1.50x121X SPHC</t>
  </si>
  <si>
    <t>1251122103714</t>
  </si>
  <si>
    <t>Thép HRC HSPM 2.45x121X S275JR</t>
  </si>
  <si>
    <t>1251122103752</t>
  </si>
  <si>
    <t>Thép HRC HSPM 4.75x152X S275JR</t>
  </si>
  <si>
    <t>1251122103813</t>
  </si>
  <si>
    <t>Thép HRC HSPM 2.00x101X DD11 II</t>
  </si>
  <si>
    <t>EN 10111:2008-06</t>
  </si>
  <si>
    <t>1251122113799</t>
  </si>
  <si>
    <t>Thép HRC HSPM 2.35x101X DD11 II</t>
  </si>
  <si>
    <t>1251122113812</t>
  </si>
  <si>
    <t>Thép HRC HSPM 2.50x101X DD11 II</t>
  </si>
  <si>
    <t>1251122113836</t>
  </si>
  <si>
    <t>Thép HRC HSPM 3.00x101X DD11 II</t>
  </si>
  <si>
    <t>1251122113850</t>
  </si>
  <si>
    <t>Thép HRC HSPM 4.00x101X DD11 II</t>
  </si>
  <si>
    <t>1251122113874</t>
  </si>
  <si>
    <t>Thép HRC HSPM 2.00x126X DD11 II</t>
  </si>
  <si>
    <t>1251122113898</t>
  </si>
  <si>
    <t>Thép HRC HSPM 2.35x126X DD11 II</t>
  </si>
  <si>
    <t>1251122113911</t>
  </si>
  <si>
    <t>Thép HRC HSPM 2.50x126X DD11 II</t>
  </si>
  <si>
    <t>1251122113935</t>
  </si>
  <si>
    <t>Thép HRC HSPM 2.85x126X DD11 II</t>
  </si>
  <si>
    <t>1251122113959</t>
  </si>
  <si>
    <t>Thép HRC HSPM 3.00x126X DD11 II</t>
  </si>
  <si>
    <t>1251122113973</t>
  </si>
  <si>
    <t>Thép HRC HSPM 4.00x126X DD11 II</t>
  </si>
  <si>
    <t>1251122113997</t>
  </si>
  <si>
    <t>Thép HRC HSPM 2.00x126X SAE1017 II</t>
  </si>
  <si>
    <t>1251122114017</t>
  </si>
  <si>
    <t>Thép HRC HSPM 2.42x126X SAE1017 II</t>
  </si>
  <si>
    <t>2.42×1262×C</t>
  </si>
  <si>
    <t>1251122114031</t>
  </si>
  <si>
    <t>Thép HRC HSPM 2.00x101X DD11</t>
  </si>
  <si>
    <t>1251122113782</t>
  </si>
  <si>
    <t>Thép HRC HSPM 2.35x101X DD11</t>
  </si>
  <si>
    <t>1251122113805</t>
  </si>
  <si>
    <t>Thép HRC HSPM 2.50x101X DD11</t>
  </si>
  <si>
    <t>1251122113829</t>
  </si>
  <si>
    <t>Thép HRC HSPM 3.00x101X DD11</t>
  </si>
  <si>
    <t>1251122113843</t>
  </si>
  <si>
    <t>Thép HRC HSPM 4.00x101X DD11</t>
  </si>
  <si>
    <t>1251122113867</t>
  </si>
  <si>
    <t>Thép HRC HSPM 2.00x126X DD11</t>
  </si>
  <si>
    <t>1251122113881</t>
  </si>
  <si>
    <t>Thép HRC HSPM 2.35x126X DD11</t>
  </si>
  <si>
    <t>1251122113904</t>
  </si>
  <si>
    <t>Thép HRC HSPM 2.50x126X DD11</t>
  </si>
  <si>
    <t>1251122113928</t>
  </si>
  <si>
    <t>Thép HRC HSPM 2.85x126X DD11</t>
  </si>
  <si>
    <t>1251122113942</t>
  </si>
  <si>
    <t>Thép HRC HSPM 3.00x126X DD11</t>
  </si>
  <si>
    <t>1251122113966</t>
  </si>
  <si>
    <t>Thép HRC HSPM 4.00x126X DD11</t>
  </si>
  <si>
    <t>1251122113980</t>
  </si>
  <si>
    <t>Thép HRC HSPM 2.00x126X SAE1017</t>
  </si>
  <si>
    <t>1251122114000</t>
  </si>
  <si>
    <t>Thép HRC HSPM 2.42x126X SAE1017</t>
  </si>
  <si>
    <t>1251122114024</t>
  </si>
  <si>
    <t>Thép cuộn cán nóng 2.42x126X SAE1017 II</t>
  </si>
  <si>
    <t>1251121977989</t>
  </si>
  <si>
    <t>Thép cuộn cán nóng 2.42x126X SAE1017</t>
  </si>
  <si>
    <t>1251121977972</t>
  </si>
  <si>
    <t>Thép cuộn cán nóng 2.30x126X SAE1017 II</t>
  </si>
  <si>
    <t>1251121977965</t>
  </si>
  <si>
    <t>Thép cuộn cán nóng 2.30x126X SAE1017</t>
  </si>
  <si>
    <t>1251121977958</t>
  </si>
  <si>
    <t>Thép cuộn cán nóng 2.00x126X SAE1017 II</t>
  </si>
  <si>
    <t>1251121977941</t>
  </si>
  <si>
    <t>Thép cuộn cán nóng 2.00x126X SAE1017</t>
  </si>
  <si>
    <t>1251121977934</t>
  </si>
  <si>
    <t>Thép cuộn cán nóng 4.00x126X DD11 II</t>
  </si>
  <si>
    <t>1251121977927</t>
  </si>
  <si>
    <t>Thép cuộn cán nóng 4.00x126X DD11</t>
  </si>
  <si>
    <t>1251121977910</t>
  </si>
  <si>
    <t>Thép cuộn cán nóng 3.00x126X DD11 II</t>
  </si>
  <si>
    <t>1251121977903</t>
  </si>
  <si>
    <t>Thép cuộn cán nóng 3.00x126X DD11</t>
  </si>
  <si>
    <t>1251121977897</t>
  </si>
  <si>
    <t>Thép cuộn cán nóng 2.85x126X DD11 II</t>
  </si>
  <si>
    <t>1251121977880</t>
  </si>
  <si>
    <t>Thép cuộn cán nóng 2.85x126X DD11</t>
  </si>
  <si>
    <t>1251121977873</t>
  </si>
  <si>
    <t>Thép cuộn cán nóng 2.50x126X DD11 II</t>
  </si>
  <si>
    <t>1251121977866</t>
  </si>
  <si>
    <t>Thép cuộn cán nóng 2.50x126X DD11</t>
  </si>
  <si>
    <t>1251121977859</t>
  </si>
  <si>
    <t>Thép cuộn cán nóng 2.35x126X DD11 II</t>
  </si>
  <si>
    <t>1251121977842</t>
  </si>
  <si>
    <t>Thép cuộn cán nóng 2.35x126X DD11</t>
  </si>
  <si>
    <t>1251121977835</t>
  </si>
  <si>
    <t>Thép cuộn cán nóng 2.00x126X DD11 II</t>
  </si>
  <si>
    <t>1251121977828</t>
  </si>
  <si>
    <t>Thép cuộn cán nóng 2.00x126X DD11</t>
  </si>
  <si>
    <t>1251121977811</t>
  </si>
  <si>
    <t>Thép cuộn cán nóng 4.00x101X DD11 II</t>
  </si>
  <si>
    <t>1251121977804</t>
  </si>
  <si>
    <t>Thép cuộn cán nóng 4.00x101X DD11</t>
  </si>
  <si>
    <t>1251121977798</t>
  </si>
  <si>
    <t>Thép cuộn cán nóng 3.00x101X DD11 II</t>
  </si>
  <si>
    <t>1251121977781</t>
  </si>
  <si>
    <t>Thép cuộn cán nóng 3.00x101X DD11</t>
  </si>
  <si>
    <t>1251121977774</t>
  </si>
  <si>
    <t>Thép cuộn cán nóng 2.50x101X DD11 II</t>
  </si>
  <si>
    <t>1251121977767</t>
  </si>
  <si>
    <t>Thép cuộn cán nóng 2.50x101X DD11</t>
  </si>
  <si>
    <t>1251121977750</t>
  </si>
  <si>
    <t>Thép cuộn cán nóng 2.35x101X DD11 II</t>
  </si>
  <si>
    <t>1251121977743</t>
  </si>
  <si>
    <t>Thép cuộn cán nóng 2.35x101X DD11</t>
  </si>
  <si>
    <t>1251121977736</t>
  </si>
  <si>
    <t>Thép cuộn cán nóng 2.00x101X DD11 II</t>
  </si>
  <si>
    <t>1251121977729</t>
  </si>
  <si>
    <t>Thép cuộn cán nóng 2.00x101X DD11</t>
  </si>
  <si>
    <t>1251121977712</t>
  </si>
  <si>
    <t>Thép cuộn cán nóng 1.48x124Y SAE1006</t>
  </si>
  <si>
    <t>1.48×1247×C</t>
  </si>
  <si>
    <t>1251121957394</t>
  </si>
  <si>
    <t>Thép cuộn cán nóng 1.48x124X SAE1006 II</t>
  </si>
  <si>
    <t>1.48×1242×C</t>
  </si>
  <si>
    <t>1251121957387</t>
  </si>
  <si>
    <t>Thép cuộn cán nóng 1.48x124X SAE1006</t>
  </si>
  <si>
    <t>1251121957370</t>
  </si>
  <si>
    <t>Thép cuộn cán nóng 1.48x123Y SAE1006 II</t>
  </si>
  <si>
    <t>1.48×1237×C</t>
  </si>
  <si>
    <t>1251121957363</t>
  </si>
  <si>
    <t>Thép cuộn cán nóng 1.48x123Y SAE1006</t>
  </si>
  <si>
    <t>1251121957356</t>
  </si>
  <si>
    <t>Thép cuộn cán nóng 1.48x123X SAE1006 II</t>
  </si>
  <si>
    <t>1.48×1232×C</t>
  </si>
  <si>
    <t>1251121957349</t>
  </si>
  <si>
    <t>Thép cuộn cán nóng 1.48x123X SAE1006</t>
  </si>
  <si>
    <t>1251121957332</t>
  </si>
  <si>
    <t>Thép cuộn cán nóng 1.45x129Y SAE1006 II</t>
  </si>
  <si>
    <t>1.45×1297×C</t>
  </si>
  <si>
    <t>1251121957325</t>
  </si>
  <si>
    <t>Thép cuộn cán nóng 1.45x129Y SAE1006</t>
  </si>
  <si>
    <t>1251121957318</t>
  </si>
  <si>
    <t>Thép cuộn cán nóng 1.45x129X SAE1006 II</t>
  </si>
  <si>
    <t>1.45×1292×C</t>
  </si>
  <si>
    <t>1251121957301</t>
  </si>
  <si>
    <t>Thép cuộn cán nóng 1.45x129X SAE1006</t>
  </si>
  <si>
    <t>1251121957295</t>
  </si>
  <si>
    <t>Thép cuộn cán nóng 1.45x128Y SAE1006 II</t>
  </si>
  <si>
    <t>1.45×1287×C</t>
  </si>
  <si>
    <t>1251121957288</t>
  </si>
  <si>
    <t>Thép cuộn cán nóng 1.45x128Y SAE1006</t>
  </si>
  <si>
    <t>1251121957271</t>
  </si>
  <si>
    <t>Thép cuộn cán nóng 1.45x128X SAE1006 II</t>
  </si>
  <si>
    <t>1.45×1282×C</t>
  </si>
  <si>
    <t>1251121957264</t>
  </si>
  <si>
    <t>Thép cuộn cán nóng 1.45x128X SAE1006</t>
  </si>
  <si>
    <t>1251121957257</t>
  </si>
  <si>
    <t>Thép cuộn cán nóng 1.45x127Y SAE1006 II</t>
  </si>
  <si>
    <t>1.45×1277×C</t>
  </si>
  <si>
    <t>1251121957240</t>
  </si>
  <si>
    <t>Thép cuộn cán nóng 1.45x127Y SAE1006</t>
  </si>
  <si>
    <t>1251121957233</t>
  </si>
  <si>
    <t>Thép cuộn cán nóng 1.45x127X SAE1006 II</t>
  </si>
  <si>
    <t>1.45×1272×C</t>
  </si>
  <si>
    <t>1251121957226</t>
  </si>
  <si>
    <t>Thép cuộn cán nóng 1.45x127X SAE1006</t>
  </si>
  <si>
    <t>1251121957219</t>
  </si>
  <si>
    <t>Thép cuộn cán nóng 1.45x126Y SAE1006 II</t>
  </si>
  <si>
    <t>1.45×1267×C</t>
  </si>
  <si>
    <t>1251121957202</t>
  </si>
  <si>
    <t>Thép cuộn cán nóng 1.45x126Y SAE1006</t>
  </si>
  <si>
    <t>1251121957196</t>
  </si>
  <si>
    <t>Thép cuộn cán nóng 1.45x126X SAE1006 II</t>
  </si>
  <si>
    <t>1.45×1262×C</t>
  </si>
  <si>
    <t>1251121957189</t>
  </si>
  <si>
    <t>Thép cuộn cán nóng 1.45x126X SAE1006</t>
  </si>
  <si>
    <t>1251121957172</t>
  </si>
  <si>
    <t>Thép cuộn cán nóng 1.45x125Y SAE1006 II</t>
  </si>
  <si>
    <t>1.45×1257×C</t>
  </si>
  <si>
    <t>1251121957165</t>
  </si>
  <si>
    <t>Thép cuộn cán nóng 1.45x125Y SAE1006</t>
  </si>
  <si>
    <t>1251121957158</t>
  </si>
  <si>
    <t>Thép cuộn cán nóng 1.45x125X SAE1006 II</t>
  </si>
  <si>
    <t>1.45×1252×C</t>
  </si>
  <si>
    <t>1251121957141</t>
  </si>
  <si>
    <t>Thép cuộn cán nóng 1.45x125X SAE1006</t>
  </si>
  <si>
    <t>1251121957134</t>
  </si>
  <si>
    <t>Thép cuộn cán nóng 1.45x124Y SAE1006 II</t>
  </si>
  <si>
    <t>1.45×1247×C</t>
  </si>
  <si>
    <t>1251121957127</t>
  </si>
  <si>
    <t>Thép cuộn cán nóng 1.45x124Y SAE1006</t>
  </si>
  <si>
    <t>1251121957110</t>
  </si>
  <si>
    <t>Thép cuộn cán nóng 1.45x123X SAE1006</t>
  </si>
  <si>
    <t>1.45×1232×C</t>
  </si>
  <si>
    <t>1251121957059</t>
  </si>
  <si>
    <t>Thép cuộn cán nóng 3.95x120X SAE1017 II</t>
  </si>
  <si>
    <t>1251121944479</t>
  </si>
  <si>
    <t>Thép cuộn cán nóng 3.95x120X SAE1017</t>
  </si>
  <si>
    <t>1251121944462</t>
  </si>
  <si>
    <t>Thép cuộn cán nóng 7.65x152X S275JR II</t>
  </si>
  <si>
    <t>7.65×1522×C</t>
  </si>
  <si>
    <t>1251121944455</t>
  </si>
  <si>
    <t>Thép cuộn cán nóng 7.65x152X S275JR</t>
  </si>
  <si>
    <t>1251121944448</t>
  </si>
  <si>
    <t>Thép cuộn cán nóng 7.65x121Y S275JR II</t>
  </si>
  <si>
    <t>7.65×1217×C</t>
  </si>
  <si>
    <t>1251121944431</t>
  </si>
  <si>
    <t>Thép cuộn cán nóng 7.65x121Y S275JR</t>
  </si>
  <si>
    <t>1251121944424</t>
  </si>
  <si>
    <t>Thép cuộn cán nóng 5.83x152X S275JR II</t>
  </si>
  <si>
    <t>5.83×1522×C</t>
  </si>
  <si>
    <t>1251121944417</t>
  </si>
  <si>
    <t>Thép cuộn cán nóng 5.83x152X S275JR</t>
  </si>
  <si>
    <t>1251121944400</t>
  </si>
  <si>
    <t>Thép cuộn cán nóng 2.83x152X S275JR II</t>
  </si>
  <si>
    <t>1251121944394</t>
  </si>
  <si>
    <t>Thép cuộn cán nóng 2.83x152X S275JR</t>
  </si>
  <si>
    <t>1251121944387</t>
  </si>
  <si>
    <t>Thép cuộn cán nóng 3.60x121X S275JR II</t>
  </si>
  <si>
    <t>1251121944370</t>
  </si>
  <si>
    <t>Thép cuộn cán nóng 3.60x121X S275JR</t>
  </si>
  <si>
    <t>1251121944363</t>
  </si>
  <si>
    <t>Thép cuộn cán nóng 4.50x141X SS 36 T1 II</t>
  </si>
  <si>
    <t>4.50×1412×C</t>
  </si>
  <si>
    <t>1251121944349</t>
  </si>
  <si>
    <t>Thép cuộn cán nóng 4.50x141X SS 36 T1</t>
  </si>
  <si>
    <t>1251121944332</t>
  </si>
  <si>
    <t>Thép cuộn cán nóng 2.20x133Y S275JR II</t>
  </si>
  <si>
    <t>2.20×1337×C</t>
  </si>
  <si>
    <t>1251121944325</t>
  </si>
  <si>
    <t>Thép cuộn cán nóng 2.20x133Y S275JR</t>
  </si>
  <si>
    <t>1251121944318</t>
  </si>
  <si>
    <t>Thép cuộn cán nóng 2.90x122X SPHT1 II</t>
  </si>
  <si>
    <t>2.90×1222×C</t>
  </si>
  <si>
    <t>1251121944295</t>
  </si>
  <si>
    <t>Thép cuộn cán nóng 2.90x122X SPHT1</t>
  </si>
  <si>
    <t>1251121944288</t>
  </si>
  <si>
    <t>Thép cuộn cán nóng 2.40x121Y SPHT1 II</t>
  </si>
  <si>
    <t>1251121944271</t>
  </si>
  <si>
    <t>Thép cuộn cán nóng 2.40x121Y SPHT1</t>
  </si>
  <si>
    <t>1251121944264</t>
  </si>
  <si>
    <t>Thép cuộn cán nóng 1.80x121Y SPHT1 II</t>
  </si>
  <si>
    <t>1251121944257</t>
  </si>
  <si>
    <t>Thép cuộn cán nóng 1.80x121Y SPHT1</t>
  </si>
  <si>
    <t>1251121944240</t>
  </si>
  <si>
    <t>Thép cuộn cán nóng 1.70x121Y SPHT1 II</t>
  </si>
  <si>
    <t>1251121944233</t>
  </si>
  <si>
    <t>Thép cuộn cán nóng 1.70x121Y SPHT1</t>
  </si>
  <si>
    <t>1251121944226</t>
  </si>
  <si>
    <t>Thép cuộn cán nóng 1.55x121Y SPHT1 II</t>
  </si>
  <si>
    <t>1251121944219</t>
  </si>
  <si>
    <t>Thép cuộn cán nóng 1.55x121Y SPHT1</t>
  </si>
  <si>
    <t>1251121944202</t>
  </si>
  <si>
    <t>Thép cuộn cán nóng 1.50x121X SPHC II</t>
  </si>
  <si>
    <t>1251121944196</t>
  </si>
  <si>
    <t>Thép cuộn cán nóng 1.50x121X SPHC</t>
  </si>
  <si>
    <t>1251121944189</t>
  </si>
  <si>
    <t>Thép cuộn cán nóng 4.70x121X SPHC II</t>
  </si>
  <si>
    <t>1251121944172</t>
  </si>
  <si>
    <t>Thép cuộn cán nóng 4.70x121X SPHC</t>
  </si>
  <si>
    <t>1251121944165</t>
  </si>
  <si>
    <t>Thép cuộn cán nóng 1.88x121X SPHC II</t>
  </si>
  <si>
    <t>1251121944158</t>
  </si>
  <si>
    <t>Thép cuộn cán nóng 1.88x121X SPHC</t>
  </si>
  <si>
    <t>1251121944141</t>
  </si>
  <si>
    <t>Thép cuộn cán nóng 1.78x121X SPHC II</t>
  </si>
  <si>
    <t>1251121944134</t>
  </si>
  <si>
    <t>Thép cuộn cán nóng 1.78x121X SPHC</t>
  </si>
  <si>
    <t>1251121944127</t>
  </si>
  <si>
    <t>Thép cuộn cán nóng 8.00x121Y SS400 II</t>
  </si>
  <si>
    <t>8.00×1217×C</t>
  </si>
  <si>
    <t>1251121944110</t>
  </si>
  <si>
    <t>Thép cuộn cán nóng 8.00x121Y SS400</t>
  </si>
  <si>
    <t>1251121944103</t>
  </si>
  <si>
    <t>Thép cuộn cán nóng 3.80x121Y SS400 II</t>
  </si>
  <si>
    <t>1251121944097</t>
  </si>
  <si>
    <t>Thép cuộn cán nóng 3.80x121Y SS400</t>
  </si>
  <si>
    <t>1251121944080</t>
  </si>
  <si>
    <t>Thép cuộn cán nóng 2.20x121Y S275JR II</t>
  </si>
  <si>
    <t>1251121944073</t>
  </si>
  <si>
    <t>Thép cuộn cán nóng 2.20x121Y S275JR</t>
  </si>
  <si>
    <t>1251121944066</t>
  </si>
  <si>
    <t>Thép cuộn cán nóng 2.70x134Y S275JR II</t>
  </si>
  <si>
    <t>2.70×1347×C</t>
  </si>
  <si>
    <t>1251121944059</t>
  </si>
  <si>
    <t>Thép cuộn cán nóng 2.70x134Y S275JR</t>
  </si>
  <si>
    <t>1251121944042</t>
  </si>
  <si>
    <t>Thép cuộn cán nóng 2.08x121Y S275JR II</t>
  </si>
  <si>
    <t>2.08×1217×C</t>
  </si>
  <si>
    <t>1251121944035</t>
  </si>
  <si>
    <t>Thép cuộn cán nóng 2.08x121Y S275JR</t>
  </si>
  <si>
    <t>1251121944028</t>
  </si>
  <si>
    <t>Thép cuộn cán nóng 9.75x121X S275JR II</t>
  </si>
  <si>
    <t>9.75×1212×C</t>
  </si>
  <si>
    <t>1251121944011</t>
  </si>
  <si>
    <t>Thép cuộn cán nóng 9.75x121X S275JR</t>
  </si>
  <si>
    <t>1251121944004</t>
  </si>
  <si>
    <t>Thép cuộn cán nóng 4.90x121X S275JR II</t>
  </si>
  <si>
    <t>1251121943991</t>
  </si>
  <si>
    <t>Thép cuộn cán nóng 4.90x121X S275JR</t>
  </si>
  <si>
    <t>1251121943984</t>
  </si>
  <si>
    <t>Thép cuộn cán nóng 2.25x121X S275JR II</t>
  </si>
  <si>
    <t>1251121943977</t>
  </si>
  <si>
    <t>Thép cuộn cán nóng 2.25x121X S275JR</t>
  </si>
  <si>
    <t>1251121943960</t>
  </si>
  <si>
    <t>Thép cuộn cán nóng 11.50x152X S275JR II</t>
  </si>
  <si>
    <t>11.50×1522×C</t>
  </si>
  <si>
    <t>1251121943953</t>
  </si>
  <si>
    <t>Thép cuộn cán nóng 11.50x152X S275JR</t>
  </si>
  <si>
    <t>1251121943946</t>
  </si>
  <si>
    <t>Thép cuộn cán nóng 8.75x151Y S275JR II</t>
  </si>
  <si>
    <t>8.75×1517×C</t>
  </si>
  <si>
    <t>1251121943939</t>
  </si>
  <si>
    <t>Thép cuộn cán nóng 8.75x151Y S275JR</t>
  </si>
  <si>
    <t>1251121943922</t>
  </si>
  <si>
    <t>Thép cuộn cán nóng 2.45x121Y S235JR II</t>
  </si>
  <si>
    <t>1251121943915</t>
  </si>
  <si>
    <t>Thép cuộn cán nóng 2.45x121Y S235JR</t>
  </si>
  <si>
    <t>1251121943908</t>
  </si>
  <si>
    <t>Thép cuộn cán nóng 2.28x121Y SAE1008 II</t>
  </si>
  <si>
    <t>1251121943892</t>
  </si>
  <si>
    <t>Thép cuộn cán nóng 2.28x121Y SAE1008</t>
  </si>
  <si>
    <t>1251121943885</t>
  </si>
  <si>
    <t>Thép cuộn cán nóng 2.00x121Y SAE1008 II</t>
  </si>
  <si>
    <t>1251121943878</t>
  </si>
  <si>
    <t>Thép cuộn cán nóng 2.00x121Y SAE1008</t>
  </si>
  <si>
    <t>1251121943861</t>
  </si>
  <si>
    <t>Thép cuộn cán nóng 6.35x121Y SAE1008 II</t>
  </si>
  <si>
    <t>1251121943854</t>
  </si>
  <si>
    <t>Thép cuộn cán nóng 6.35x121Y SAE1008</t>
  </si>
  <si>
    <t>1251121943847</t>
  </si>
  <si>
    <t>Thép cuộn cán nóng 4.75x121Y SAE1008 II</t>
  </si>
  <si>
    <t>1251121943830</t>
  </si>
  <si>
    <t>Thép cuộn cán nóng 4.75x121Y SAE1008</t>
  </si>
  <si>
    <t>1251121943823</t>
  </si>
  <si>
    <t>Thép cuộn cán nóng 3.40x121Y SAE1008 II</t>
  </si>
  <si>
    <t>1251121943816</t>
  </si>
  <si>
    <t>Thép cuộn cán nóng 3.40x121Y SAE1008</t>
  </si>
  <si>
    <t>1251121943809</t>
  </si>
  <si>
    <t>Thép cuộn cán nóng 3.05x121Y SAE1008 II</t>
  </si>
  <si>
    <t>1251121943793</t>
  </si>
  <si>
    <t>Thép cuộn cán nóng 3.05x121Y SAE1008</t>
  </si>
  <si>
    <t>1251121943786</t>
  </si>
  <si>
    <t>Thép cuộn cán nóng 2.50x201Y SAE1006 II</t>
  </si>
  <si>
    <t>2.50×2017×C</t>
  </si>
  <si>
    <t>1251121943779</t>
  </si>
  <si>
    <t>Thép cuộn cán nóng 2.50x201Y SAE1006</t>
  </si>
  <si>
    <t>1251121943762</t>
  </si>
  <si>
    <t>Thép cuộn cán nóng 2.68x152X E300 BR II</t>
  </si>
  <si>
    <t>IS 2062: 2011</t>
  </si>
  <si>
    <t>1251121943700</t>
  </si>
  <si>
    <t>Thép cuộn cán nóng 2.68x152X E300 BR</t>
  </si>
  <si>
    <t>1251121943694</t>
  </si>
  <si>
    <t>Thép cuộn cán nóng 2.90x152X Grade 6 II</t>
  </si>
  <si>
    <t>IS 10748: 2004</t>
  </si>
  <si>
    <t>1251121943687</t>
  </si>
  <si>
    <t>Thép cuộn cán nóng 2.90x152X Grade 6</t>
  </si>
  <si>
    <t>1251121943670</t>
  </si>
  <si>
    <t>Thép cuộn cán nóng 2.50x152X Grade 6 II</t>
  </si>
  <si>
    <t>1251121943663</t>
  </si>
  <si>
    <t>Thép cuộn cán nóng 2.50x152X Grade 6</t>
  </si>
  <si>
    <t>1251121943656</t>
  </si>
  <si>
    <t>Thép cuộn cán nóng 3.00x126Y ISH270CASII</t>
  </si>
  <si>
    <t>IS 1079: 2017</t>
  </si>
  <si>
    <t>1251121943649</t>
  </si>
  <si>
    <t>Thép cuộn cán nóng 3.00x126Y ISH270C AS</t>
  </si>
  <si>
    <t>1251121943632</t>
  </si>
  <si>
    <t>Thép cuộn cán nóng 3.00x126Y HR3 AS II</t>
  </si>
  <si>
    <t>1251121943625</t>
  </si>
  <si>
    <t>Thép cuộn cán nóng 3.00x126Y HR3 AS</t>
  </si>
  <si>
    <t>1251121943618</t>
  </si>
  <si>
    <t>Thép cuộn cán nóng 3.00x126Y Cr2 II</t>
  </si>
  <si>
    <t>IS 11513: 2017</t>
  </si>
  <si>
    <t>1251121943601</t>
  </si>
  <si>
    <t>Thép cuộn cán nóng 3.00x126Y Cr2</t>
  </si>
  <si>
    <t>1251121943595</t>
  </si>
  <si>
    <t>Thép cuộn cán nóng 2.75x126Y Grade 2 II</t>
  </si>
  <si>
    <t>1251121943588</t>
  </si>
  <si>
    <t>Thép cuộn cán nóng 2.75x126Y Grade 2</t>
  </si>
  <si>
    <t>1251121943571</t>
  </si>
  <si>
    <t>Thép cuộn cán nóng 2.50x121Y S235JR II</t>
  </si>
  <si>
    <t>1251121943458</t>
  </si>
  <si>
    <t>Thép cuộn cán nóng 2.50x121Y S235JR</t>
  </si>
  <si>
    <t>1251121943441</t>
  </si>
  <si>
    <t>Thép cuộn cán nóng 2.30x121Y S235JR II</t>
  </si>
  <si>
    <t>1251121943434</t>
  </si>
  <si>
    <t>Thép cuộn cán nóng 2.30x121Y S235JR</t>
  </si>
  <si>
    <t>1251121943427</t>
  </si>
  <si>
    <t>Thép cuộn cán nóng 2.45x125X SPHC II</t>
  </si>
  <si>
    <t>1251121943304</t>
  </si>
  <si>
    <t>Thép cuộn cán nóng 2.45x125X SPHC</t>
  </si>
  <si>
    <t>1251121943298</t>
  </si>
  <si>
    <t>Thép cuộn cán nóng 2.25x125X SPHC II</t>
  </si>
  <si>
    <t>1251121943281</t>
  </si>
  <si>
    <t>Thép cuộn cán nóng 2.25x125X SPHC</t>
  </si>
  <si>
    <t>1251121943274</t>
  </si>
  <si>
    <t>Thép cuộn cán nóng 1.75x125X SPHC II</t>
  </si>
  <si>
    <t>1.75×1252×C</t>
  </si>
  <si>
    <t>1251121943267</t>
  </si>
  <si>
    <t>Thép cuộn cán nóng 1.75x125X SPHC</t>
  </si>
  <si>
    <t>1251121943250</t>
  </si>
  <si>
    <t>Thép cuộn cán nóng 1.95x125X SPHC II</t>
  </si>
  <si>
    <t>1251121943243</t>
  </si>
  <si>
    <t>Thép cuộn cán nóng 1.95x125X SPHC</t>
  </si>
  <si>
    <t>1251121943236</t>
  </si>
  <si>
    <t>Thép cuộn cán nóng 2.40x125X SPHC II</t>
  </si>
  <si>
    <t>1251121943229</t>
  </si>
  <si>
    <t>Thép cuộn cán nóng 2.40x125X SPHC</t>
  </si>
  <si>
    <t>1251121943212</t>
  </si>
  <si>
    <t>Thép cuộn cán nóng 2.15x125X SPHC II</t>
  </si>
  <si>
    <t>1251121943205</t>
  </si>
  <si>
    <t>Thép cuộn cán nóng 2.15x125X SPHC</t>
  </si>
  <si>
    <t>1251121943199</t>
  </si>
  <si>
    <t>Thép cuộn cán nóng 3.50x132X SPHC II</t>
  </si>
  <si>
    <t>3.50×1322×C</t>
  </si>
  <si>
    <t>1251121943182</t>
  </si>
  <si>
    <t>Thép cuộn cán nóng 3.50x132X SPHC</t>
  </si>
  <si>
    <t>1251121943175</t>
  </si>
  <si>
    <t>Thép cuộn cán nóng 3.80x132X SPHC II</t>
  </si>
  <si>
    <t>3.80×1322×C</t>
  </si>
  <si>
    <t>1251121943168</t>
  </si>
  <si>
    <t>Thép cuộn cán nóng 3.80x132X SPHC</t>
  </si>
  <si>
    <t>1251121943151</t>
  </si>
  <si>
    <t>Thép cuộn cán nóng 3.00x132X SPHC II</t>
  </si>
  <si>
    <t>3.00×1322×C</t>
  </si>
  <si>
    <t>1251121943144</t>
  </si>
  <si>
    <t>Thép cuộn cán nóng 3.00x132X SPHC</t>
  </si>
  <si>
    <t>1251121943137</t>
  </si>
  <si>
    <t>Thép cuộn cán nóng 3.30x126Y SPHC II</t>
  </si>
  <si>
    <t>1251121943120</t>
  </si>
  <si>
    <t>Thép cuộn cán nóng 3.30x126Y SPHC</t>
  </si>
  <si>
    <t>1251121943113</t>
  </si>
  <si>
    <t>Thép cuộn cán nóng 3.20x126Y SPHC II</t>
  </si>
  <si>
    <t>1251121943106</t>
  </si>
  <si>
    <t>Thép cuộn cán nóng 3.20x126Y SPHC</t>
  </si>
  <si>
    <t>1251121943090</t>
  </si>
  <si>
    <t>Thép cuộn cán nóng 2.75x129X SS400 II</t>
  </si>
  <si>
    <t>2.75×1292×C</t>
  </si>
  <si>
    <t>1251121943083</t>
  </si>
  <si>
    <t>Thép cuộn cán nóng 2.75x129X SS400</t>
  </si>
  <si>
    <t>1251121943076</t>
  </si>
  <si>
    <t>Thép cuộn cán nóng 2.75x119X SS400 II</t>
  </si>
  <si>
    <t>2.75×1192×C</t>
  </si>
  <si>
    <t>1251121943069</t>
  </si>
  <si>
    <t>Thép cuộn cán nóng 2.75x119X SS400</t>
  </si>
  <si>
    <t>1251121943052</t>
  </si>
  <si>
    <t>Thép cuộn cán nóng 2.45x119X SS400 II</t>
  </si>
  <si>
    <t>1251121943045</t>
  </si>
  <si>
    <t>Thép cuộn cán nóng 2.45x119X SS400</t>
  </si>
  <si>
    <t>1251121943038</t>
  </si>
  <si>
    <t>Thép cuộn cán nóng 3.15x150X SS400 II</t>
  </si>
  <si>
    <t>3.15×1502×C</t>
  </si>
  <si>
    <t>1251121943021</t>
  </si>
  <si>
    <t>Thép cuộn cán nóng 3.15x150X SS400</t>
  </si>
  <si>
    <t>1251121943014</t>
  </si>
  <si>
    <t>Thép cuộn cán nóng 3.10x105X SS400 II</t>
  </si>
  <si>
    <t>3.10×1052×C</t>
  </si>
  <si>
    <t>1251121943007</t>
  </si>
  <si>
    <t>Thép cuộn cán nóng 3.10x105X SS400</t>
  </si>
  <si>
    <t>1251121942994</t>
  </si>
  <si>
    <t>Thép cuộn cán nóng 6.45x105X SS400 II</t>
  </si>
  <si>
    <t>6.45×1052×C</t>
  </si>
  <si>
    <t>1251121942987</t>
  </si>
  <si>
    <t>Thép cuộn cán nóng 6.45x105X SS400</t>
  </si>
  <si>
    <t>1251121942970</t>
  </si>
  <si>
    <t>Thép cuộn cán nóng 2.90x134Y SS400 II</t>
  </si>
  <si>
    <t>2.90×1347×C</t>
  </si>
  <si>
    <t>1251121942963</t>
  </si>
  <si>
    <t>Thép cuộn cán nóng 2.90x134Y SS400</t>
  </si>
  <si>
    <t>1251121942956</t>
  </si>
  <si>
    <t>Thép cuộn cán nóng 2.58x134Y SS400 II</t>
  </si>
  <si>
    <t>2.58×1347×C</t>
  </si>
  <si>
    <t>1251121942949</t>
  </si>
  <si>
    <t>Thép cuộn cán nóng 2.58x134Y SS400</t>
  </si>
  <si>
    <t>1251121942932</t>
  </si>
  <si>
    <t>Thép cuộn cán nóng 4.75x134Y SS400 II</t>
  </si>
  <si>
    <t>4.75×1347×C</t>
  </si>
  <si>
    <t>1251121942925</t>
  </si>
  <si>
    <t>Thép cuộn cán nóng 4.75x134Y SS400</t>
  </si>
  <si>
    <t>1251121942918</t>
  </si>
  <si>
    <t>Thép cuộn cán nóng 3.58x126Y SS400 II</t>
  </si>
  <si>
    <t>3.58×1267×C</t>
  </si>
  <si>
    <t>1251121942901</t>
  </si>
  <si>
    <t>Thép cuộn cán nóng 3.58x126Y SS400</t>
  </si>
  <si>
    <t>1251121942895</t>
  </si>
  <si>
    <t>Thép cuộn cán nóng 3.05x120X SS400 II</t>
  </si>
  <si>
    <t>3.05×1202×C</t>
  </si>
  <si>
    <t>1251121942888</t>
  </si>
  <si>
    <t>Thép cuộn cán nóng 3.05x120X SS400</t>
  </si>
  <si>
    <t>1251121942871</t>
  </si>
  <si>
    <t>Thép cuộn cán nóng 3.10x131X SS400 II</t>
  </si>
  <si>
    <t>3.10×1312×C</t>
  </si>
  <si>
    <t>1251121942864</t>
  </si>
  <si>
    <t>Thép cuộn cán nóng 3.10x131X SS400</t>
  </si>
  <si>
    <t>1251121942857</t>
  </si>
  <si>
    <t>Thép cuộn cán nóng 2.00x121Y SS400 II</t>
  </si>
  <si>
    <t>1251121942840</t>
  </si>
  <si>
    <t>Thép cuộn cán nóng 2.00x121Y SS400</t>
  </si>
  <si>
    <t>1251121942833</t>
  </si>
  <si>
    <t>Thép cuộn cán nóng 11.75x150X SS400 II</t>
  </si>
  <si>
    <t>11.75×1502×C</t>
  </si>
  <si>
    <t>1251121942826</t>
  </si>
  <si>
    <t>Thép cuộn cán nóng 11.75x150X SS400</t>
  </si>
  <si>
    <t>1251121942819</t>
  </si>
  <si>
    <t>Thép cuộn cán nóng 9.75x150X SS400 II</t>
  </si>
  <si>
    <t>9.75×1502×C</t>
  </si>
  <si>
    <t>1251121942802</t>
  </si>
  <si>
    <t>Thép cuộn cán nóng 9.75x150X SS400</t>
  </si>
  <si>
    <t>1251121942796</t>
  </si>
  <si>
    <t>Thép cuộn cán nóng 7.75x150X SS400 II</t>
  </si>
  <si>
    <t>7.75×1502×C</t>
  </si>
  <si>
    <t>1251121942789</t>
  </si>
  <si>
    <t>Thép cuộn cán nóng 7.75x150X SS400</t>
  </si>
  <si>
    <t>1251121942772</t>
  </si>
  <si>
    <t>Thép cuộn cán nóng 5.75x150X SS400 II</t>
  </si>
  <si>
    <t>5.75×1502×C</t>
  </si>
  <si>
    <t>1251121942765</t>
  </si>
  <si>
    <t>Thép cuộn cán nóng 5.75x150X SS400</t>
  </si>
  <si>
    <t>1251121942758</t>
  </si>
  <si>
    <t>Thép cuộn cán nóng 4.75x150X SS400 II</t>
  </si>
  <si>
    <t>4.75×1502×C</t>
  </si>
  <si>
    <t>1251121942741</t>
  </si>
  <si>
    <t>Thép cuộn cán nóng 4.75x150X SS400</t>
  </si>
  <si>
    <t>1251121942734</t>
  </si>
  <si>
    <t>Thép cuộn cán nóng 3.20x124X SAE1006 II</t>
  </si>
  <si>
    <t>3.20×1242×C</t>
  </si>
  <si>
    <t>1251121942727</t>
  </si>
  <si>
    <t>Thép cuộn cán nóng 3.20x124X SAE1006</t>
  </si>
  <si>
    <t>1251121942710</t>
  </si>
  <si>
    <t>Thép cuộn cán nóng 2.60x124X SAE1006 II</t>
  </si>
  <si>
    <t>2.60×1242×C</t>
  </si>
  <si>
    <t>1251121942703</t>
  </si>
  <si>
    <t>Thép cuộn cán nóng 2.60x124X SAE1006</t>
  </si>
  <si>
    <t>1251121942697</t>
  </si>
  <si>
    <t>Thép cuộn cán nóng 3.40x121Y SAE1006 II</t>
  </si>
  <si>
    <t>1251121942680</t>
  </si>
  <si>
    <t>Thép cuộn cán nóng 3.40x121Y SAE1006</t>
  </si>
  <si>
    <t>1251121942673</t>
  </si>
  <si>
    <t>Thép cuộn cán nóng 1.95x125X SAE1006 II</t>
  </si>
  <si>
    <t>1251121942666</t>
  </si>
  <si>
    <t>Thép cuộn cán nóng 1.95x125X SAE1006</t>
  </si>
  <si>
    <t>1251121942659</t>
  </si>
  <si>
    <t>Thép cuộn cán nóng 2.80x114X SAE1006 II</t>
  </si>
  <si>
    <t>2.80×1142×C</t>
  </si>
  <si>
    <t>1251121942642</t>
  </si>
  <si>
    <t>Thép cuộn cán nóng 2.80x114X SAE1006</t>
  </si>
  <si>
    <t>1251121942635</t>
  </si>
  <si>
    <t>Thép cuộn cán nóng 2.30x114X SAE1006 II</t>
  </si>
  <si>
    <t>2.30×1142×C</t>
  </si>
  <si>
    <t>1251121942628</t>
  </si>
  <si>
    <t>Thép cuộn cán nóng 2.30x114X SAE1006</t>
  </si>
  <si>
    <t>1251121942611</t>
  </si>
  <si>
    <t>Thép cuộn cán nóng 2.00x114X SAE1006 II</t>
  </si>
  <si>
    <t>2.00×1142×C</t>
  </si>
  <si>
    <t>1251121942604</t>
  </si>
  <si>
    <t>Thép cuộn cán nóng 2.00x114X SAE1006</t>
  </si>
  <si>
    <t>1251121942598</t>
  </si>
  <si>
    <t>Thép cuộn cán nóng 2.70x118Y SAE1006 II</t>
  </si>
  <si>
    <t>2.70×1187×C</t>
  </si>
  <si>
    <t>1251121942581</t>
  </si>
  <si>
    <t>Thép cuộn cán nóng 2.70x118Y SAE1006</t>
  </si>
  <si>
    <t>1251121942574</t>
  </si>
  <si>
    <t>Thép cuộn cán nóng 3.00x101X SAE1006 II</t>
  </si>
  <si>
    <t>1251121942567</t>
  </si>
  <si>
    <t>Thép cuộn cán nóng 3.00x101X SAE1006</t>
  </si>
  <si>
    <t>1251121942550</t>
  </si>
  <si>
    <t>Thép cuộn cán nóng 3.95x121X SAE1017 II</t>
  </si>
  <si>
    <t>1251121942543</t>
  </si>
  <si>
    <t>Thép cuộn cán nóng 3.95x121X SAE1017</t>
  </si>
  <si>
    <t>1251121942536</t>
  </si>
  <si>
    <t>Thép cuộn cán nóng 2.80x152X S275JR II</t>
  </si>
  <si>
    <t>1251121942512</t>
  </si>
  <si>
    <t>Thép cuộn cán nóng 2.80x152X S275JR</t>
  </si>
  <si>
    <t>1251121942505</t>
  </si>
  <si>
    <t>Thép cuộn cán nóng 2.50x130X SPHC II</t>
  </si>
  <si>
    <t>2.50×1302×C</t>
  </si>
  <si>
    <t>1251121942499</t>
  </si>
  <si>
    <t>Thép cuộn cán nóng 2.50x130X SPHC</t>
  </si>
  <si>
    <t>1251121942482</t>
  </si>
  <si>
    <t>Thép cuộn cán nóng 3.50x144X S275JR II</t>
  </si>
  <si>
    <t>3.50×1442×C</t>
  </si>
  <si>
    <t>1251121942475</t>
  </si>
  <si>
    <t>Thép cuộn cán nóng 3.50x144X S275JR</t>
  </si>
  <si>
    <t>1251121942468</t>
  </si>
  <si>
    <t>Thép cuộn cán nóng 2.25x116Y SAE1006 II</t>
  </si>
  <si>
    <t>2.25×1167×C</t>
  </si>
  <si>
    <t>1251121942451</t>
  </si>
  <si>
    <t>Thép cuộn cán nóng 2.25x116Y SAE1006</t>
  </si>
  <si>
    <t>1251121942444</t>
  </si>
  <si>
    <t>Thép cuộn cán nóng 4.75x1219 CS typeB II</t>
  </si>
  <si>
    <t>1251121494547</t>
  </si>
  <si>
    <t>Thép cuộn cán nóng 4.75x1219 CS type B</t>
  </si>
  <si>
    <t>1251121494530</t>
  </si>
  <si>
    <t>Thép cuộn cán nóng 3.42x1524 CS typeB II</t>
  </si>
  <si>
    <t>3.42×1524×C</t>
  </si>
  <si>
    <t>1251121494523</t>
  </si>
  <si>
    <t>Thép cuộn cán nóng 3.42x1524 CS type B</t>
  </si>
  <si>
    <t>1251121494516</t>
  </si>
  <si>
    <t>Thép cuộn cán nóng 3.42x1219 CS typeB II</t>
  </si>
  <si>
    <t>3.42×1219×C</t>
  </si>
  <si>
    <t>1251121494509</t>
  </si>
  <si>
    <t>Thép cuộn cán nóng 3.42x1219 CS type B</t>
  </si>
  <si>
    <t>1251121494493</t>
  </si>
  <si>
    <t>Thép cuộn cán nóng 3.04x1219 CS typeB II</t>
  </si>
  <si>
    <t>1251121494486</t>
  </si>
  <si>
    <t>Thép cuộn cán nóng 3.04x1219 CS type B</t>
  </si>
  <si>
    <t>1251121494479</t>
  </si>
  <si>
    <t>Thép cuộn cán nóng 2.66x1219 CS typeB II</t>
  </si>
  <si>
    <t>1251121494462</t>
  </si>
  <si>
    <t>Thép cuộn cán nóng 2.66x1219 CS type B</t>
  </si>
  <si>
    <t>1251121494455</t>
  </si>
  <si>
    <t>Thép cuộn cán nóng 2.00x1219 CS typeB II</t>
  </si>
  <si>
    <t>1251121494448</t>
  </si>
  <si>
    <t>Thép cuộn cán nóng 2.00x1219 CS type B</t>
  </si>
  <si>
    <t>1251121494431</t>
  </si>
  <si>
    <t>Thép cuộn cán nóng 7.93x1524 ASTM A36 II</t>
  </si>
  <si>
    <t>7.93×1524×C</t>
  </si>
  <si>
    <t>1251121494424</t>
  </si>
  <si>
    <t>Thép cuộn cán nóng 7.93x1524 ASTM A36</t>
  </si>
  <si>
    <t>1251121494417</t>
  </si>
  <si>
    <t>Thép cuộn cán nóng 5.59x1219 ASTM A36 II</t>
  </si>
  <si>
    <t>5.59×1219×C</t>
  </si>
  <si>
    <t>1251121494400</t>
  </si>
  <si>
    <t>Thép cuộn cán nóng 5.59x1219 ASTM A36</t>
  </si>
  <si>
    <t>1251121494394</t>
  </si>
  <si>
    <t>Thép cuộn cán nóng 4.88x1219 ASTM A36 II</t>
  </si>
  <si>
    <t>4.88×1219×C</t>
  </si>
  <si>
    <t>1251121494387</t>
  </si>
  <si>
    <t>Thép cuộn cán nóng 4.88x1219 ASTM A36</t>
  </si>
  <si>
    <t>1251121494370</t>
  </si>
  <si>
    <t>Thép cuộn cán nóng 4.37x1524 ASTM A36 II</t>
  </si>
  <si>
    <t>4.37×1524×C</t>
  </si>
  <si>
    <t>1251121494363</t>
  </si>
  <si>
    <t>Thép cuộn cán nóng 4.37x1524 ASTM A36</t>
  </si>
  <si>
    <t>1251121494356</t>
  </si>
  <si>
    <t>Thép cuộn cán nóng 4.01x1524 ASTM A36 II</t>
  </si>
  <si>
    <t>4.01×1524×C</t>
  </si>
  <si>
    <t>1251121494349</t>
  </si>
  <si>
    <t>Thép cuộn cán nóng 4.01x1524 ASTM A36</t>
  </si>
  <si>
    <t>1251121494332</t>
  </si>
  <si>
    <t>Thép cuộn cán nóng 3.68x1524 ASTM A36 II</t>
  </si>
  <si>
    <t>3.68×1524×C</t>
  </si>
  <si>
    <t>1251121494325</t>
  </si>
  <si>
    <t>Thép cuộn cán nóng 3.68x1524 ASTM A36</t>
  </si>
  <si>
    <t>1251121494318</t>
  </si>
  <si>
    <t>Thép cuộn cán nóng 3.51x1524 ASTM A36 II</t>
  </si>
  <si>
    <t>3.51×1524×C</t>
  </si>
  <si>
    <t>1251121494301</t>
  </si>
  <si>
    <t>Thép cuộn cán nóng 3.51x1524 ASTM A36</t>
  </si>
  <si>
    <t>1251121494295</t>
  </si>
  <si>
    <t>Thép cuộn cán nóng 3.30x1219 ASTM A36 II</t>
  </si>
  <si>
    <t>3.30×1219×C</t>
  </si>
  <si>
    <t>1251121494288</t>
  </si>
  <si>
    <t>Thép cuộn cán nóng 3.30x1219 ASTM A36</t>
  </si>
  <si>
    <t>1251121494271</t>
  </si>
  <si>
    <t>Thép cuộn cán nóng 2.87x1219 ASTM A36 II</t>
  </si>
  <si>
    <t>2.87×1219×C</t>
  </si>
  <si>
    <t>1251121494264</t>
  </si>
  <si>
    <t>Thép cuộn cán nóng 2.87x1219 ASTM A36</t>
  </si>
  <si>
    <t>1251121494257</t>
  </si>
  <si>
    <t>Thép cuộn cán nóng 2.54x1219 ASTM A36 II</t>
  </si>
  <si>
    <t>2.54×1219×C</t>
  </si>
  <si>
    <t>1251121494240</t>
  </si>
  <si>
    <t>Thép cuộn cán nóng 2.54x1219 ASTM A36</t>
  </si>
  <si>
    <t>1251121494233</t>
  </si>
  <si>
    <t>Thép cuộn cán nóng 2.21x1219 ASTM A36 II</t>
  </si>
  <si>
    <t>2.21×1219×C</t>
  </si>
  <si>
    <t>1251121494226</t>
  </si>
  <si>
    <t>Thép cuộn cán nóng 2.21x1219 ASTM A36</t>
  </si>
  <si>
    <t>1251121494219</t>
  </si>
  <si>
    <t>Thép cuộn cán nóng 3.40x1524 ASTM A36 II</t>
  </si>
  <si>
    <t>3.40×1524×C</t>
  </si>
  <si>
    <t>1251121494202</t>
  </si>
  <si>
    <t>Thép cuộn cán nóng 3.40x1524 ASTM A36</t>
  </si>
  <si>
    <t>1251121494196</t>
  </si>
  <si>
    <t>Thép cuộn cán nóng 4.75x1524 ASTM A36 II</t>
  </si>
  <si>
    <t>4.75×1524×C</t>
  </si>
  <si>
    <t>1251121494189</t>
  </si>
  <si>
    <t>Thép cuộn cán nóng 4.75x1524 ASTM A36</t>
  </si>
  <si>
    <t>1251121494172</t>
  </si>
  <si>
    <t>Thép cuộn cán nóng 12.70x1219 ASTM A36II</t>
  </si>
  <si>
    <t>12.70×1219×C</t>
  </si>
  <si>
    <t>1251121494165</t>
  </si>
  <si>
    <t>Thép cuộn cán nóng 12.70x1219 ASTM A36</t>
  </si>
  <si>
    <t>1251121494158</t>
  </si>
  <si>
    <t>Thép cuộn cán nóng 7.92x1219 ASTM A36 II</t>
  </si>
  <si>
    <t>7.92×1219×C</t>
  </si>
  <si>
    <t>1251121494141</t>
  </si>
  <si>
    <t>Thép cuộn cán nóng 7.92x1219 ASTM A36</t>
  </si>
  <si>
    <t>1251121494134</t>
  </si>
  <si>
    <t>Thép cuộn cán nóng 2.30x1270 DD11 II</t>
  </si>
  <si>
    <t>2.30×1270×C</t>
  </si>
  <si>
    <t>1251121494127</t>
  </si>
  <si>
    <t>Thép cuộn cán nóng 2.30x1270 DD11</t>
  </si>
  <si>
    <t>1251121494110</t>
  </si>
  <si>
    <t>Thép cuộn cán nóng 1.52x1219 SPHC II</t>
  </si>
  <si>
    <t>1.52×1219×C</t>
  </si>
  <si>
    <t>1251121494103</t>
  </si>
  <si>
    <t>Thép cuộn cán nóng 1.52x1219 SPHC</t>
  </si>
  <si>
    <t>1251121494097</t>
  </si>
  <si>
    <t>Thép cuộn cán nóng 2.26x1188 SPHC II</t>
  </si>
  <si>
    <t>2.26×1188×C</t>
  </si>
  <si>
    <t>1251121494080</t>
  </si>
  <si>
    <t>Thép cuộn cán nóng 2.26x1188 SPHC</t>
  </si>
  <si>
    <t>1251121494073</t>
  </si>
  <si>
    <t>Thép cuộn cán nóng 1.83x1219 SPHC II</t>
  </si>
  <si>
    <t>1.83×1219×C</t>
  </si>
  <si>
    <t>1251121494066</t>
  </si>
  <si>
    <t>Thép cuộn cán nóng 1.83x1219 SPHC</t>
  </si>
  <si>
    <t>1251121494059</t>
  </si>
  <si>
    <t>Thép cuộn cán nóng 2.75x1219 SPHT1 II</t>
  </si>
  <si>
    <t>2.75×1219×C</t>
  </si>
  <si>
    <t>1251121494042</t>
  </si>
  <si>
    <t>Thép cuộn cán nóng 2.75x1219 SPHT1</t>
  </si>
  <si>
    <t>1251121494035</t>
  </si>
  <si>
    <t>Thép cuộn cán nóng 3.90x1500 S275JR II</t>
  </si>
  <si>
    <t>3.90×1500×C</t>
  </si>
  <si>
    <t>1251121494028</t>
  </si>
  <si>
    <t>Thép cuộn cán nóng 3.90x1500 S275JR</t>
  </si>
  <si>
    <t>1251121494011</t>
  </si>
  <si>
    <t>Thép cuộn cán nóng 2.90x1500 S275JR II</t>
  </si>
  <si>
    <t>2.90×1500×C</t>
  </si>
  <si>
    <t>1251121494004</t>
  </si>
  <si>
    <t>Thép cuộn cán nóng 2.90x1500 S275JR</t>
  </si>
  <si>
    <t>1251121493991</t>
  </si>
  <si>
    <t>Thép cuộn cán nóng 11.90x1500 S275JR II</t>
  </si>
  <si>
    <t>11.90×1500×C</t>
  </si>
  <si>
    <t>1251121493984</t>
  </si>
  <si>
    <t>Thép cuộn cán nóng 11.90x1500 S275JR</t>
  </si>
  <si>
    <t>1251121493977</t>
  </si>
  <si>
    <t>Thép cuộn cán nóng 9.90x1500 S275JR II</t>
  </si>
  <si>
    <t>9.90×1500×C</t>
  </si>
  <si>
    <t>1251121493960</t>
  </si>
  <si>
    <t>Thép cuộn cán nóng 9.90x1500 S275JR</t>
  </si>
  <si>
    <t>1251121493953</t>
  </si>
  <si>
    <t>Thép cuộn cán nóng 9.90x1250 S275JR II</t>
  </si>
  <si>
    <t>9.90×1250×C</t>
  </si>
  <si>
    <t>1251121493946</t>
  </si>
  <si>
    <t>Thép cuộn cán nóng 9.90x1250 S275JR</t>
  </si>
  <si>
    <t>1251121493939</t>
  </si>
  <si>
    <t>Thép cuộn cán nóng 7.90x1500 S275JR II</t>
  </si>
  <si>
    <t>7.90×1500×C</t>
  </si>
  <si>
    <t>1251121493922</t>
  </si>
  <si>
    <t>Thép cuộn cán nóng 7.90x1500 S275JR</t>
  </si>
  <si>
    <t>1251121493915</t>
  </si>
  <si>
    <t>Thép cuộn cán nóng 5.90x1500 S275JR II</t>
  </si>
  <si>
    <t>5.90×1500×C</t>
  </si>
  <si>
    <t>1251121493908</t>
  </si>
  <si>
    <t>Thép cuộn cán nóng 5.90x1500 S275JR</t>
  </si>
  <si>
    <t>1251121493892</t>
  </si>
  <si>
    <t>Thép cuộn cán nóng 5.90x1250 S275JR II</t>
  </si>
  <si>
    <t>5.90×1250×C</t>
  </si>
  <si>
    <t>1251121493885</t>
  </si>
  <si>
    <t>Thép cuộn cán nóng 5.90x1250 S275JR</t>
  </si>
  <si>
    <t>1251121493878</t>
  </si>
  <si>
    <t>Thép cuộn cán nóng 4.90x1500 S275JR II</t>
  </si>
  <si>
    <t>4.90×1500×C</t>
  </si>
  <si>
    <t>1251121493861</t>
  </si>
  <si>
    <t>Thép cuộn cán nóng 4.90x1500 S275JR</t>
  </si>
  <si>
    <t>1251121493854</t>
  </si>
  <si>
    <t>Thép cuộn cán nóng 4.90x1250 S275JR II</t>
  </si>
  <si>
    <t>4.90×1250×C</t>
  </si>
  <si>
    <t>1251121493847</t>
  </si>
  <si>
    <t>Thép cuộn cán nóng 4.90x1250 S275JR</t>
  </si>
  <si>
    <t>1251121493830</t>
  </si>
  <si>
    <t>Thép cuộn cán nóng 3.90x1250 S275JR II</t>
  </si>
  <si>
    <t>3.90×1250×C</t>
  </si>
  <si>
    <t>1251121493823</t>
  </si>
  <si>
    <t>Thép cuộn cán nóng 3.90x1250 S275JR</t>
  </si>
  <si>
    <t>1251121493816</t>
  </si>
  <si>
    <t>Thép cuộn cán nóng 2.90x1250 S275JR II</t>
  </si>
  <si>
    <t>2.90×1250×C</t>
  </si>
  <si>
    <t>1251121493809</t>
  </si>
  <si>
    <t>Thép cuộn cán nóng 2.90x1250 S275JR</t>
  </si>
  <si>
    <t>1251121493793</t>
  </si>
  <si>
    <t>Thép cuộn cán nóng 8.50x1520 S275JR II</t>
  </si>
  <si>
    <t>8.50×1520×C</t>
  </si>
  <si>
    <t>1251121493786</t>
  </si>
  <si>
    <t>Thép cuộn cán nóng 8.50x1520 S275JR</t>
  </si>
  <si>
    <t>1251121493779</t>
  </si>
  <si>
    <t>Thép cuộn cán nóng 8.40x1219 S275JR II</t>
  </si>
  <si>
    <t>8.40×1219×C</t>
  </si>
  <si>
    <t>1251121493762</t>
  </si>
  <si>
    <t>Thép cuộn cán nóng 8.40x1219 S275JR</t>
  </si>
  <si>
    <t>1251121493755</t>
  </si>
  <si>
    <t>Thép cuộn cán nóng 7.50x1520 S275JR II</t>
  </si>
  <si>
    <t>7.50×1520×C</t>
  </si>
  <si>
    <t>1251121493748</t>
  </si>
  <si>
    <t>Thép cuộn cán nóng 7.50x1520 S275JR</t>
  </si>
  <si>
    <t>1251121493731</t>
  </si>
  <si>
    <t>[D]Thép cuộn cán nóng 10.00x1500 S235JR</t>
  </si>
  <si>
    <t>10.00×1500×C</t>
  </si>
  <si>
    <t>1251121493724</t>
  </si>
  <si>
    <t>1251121493717</t>
  </si>
  <si>
    <t>Thép cuộn cán nóng 8.00x1500 S235JR II</t>
  </si>
  <si>
    <t>8.00×1500×C</t>
  </si>
  <si>
    <t>1251121493700</t>
  </si>
  <si>
    <t>Thép cuộn cán nóng 8.00x1500 S235JR</t>
  </si>
  <si>
    <t>1251121493694</t>
  </si>
  <si>
    <t>Thép cuộn cán nóng 2.50x1250 S235JR II</t>
  </si>
  <si>
    <t>2.50×1250×C</t>
  </si>
  <si>
    <t>1251121493687</t>
  </si>
  <si>
    <t>Thép cuộn cán nóng 2.50x1250 S235JR</t>
  </si>
  <si>
    <t>1251121493670</t>
  </si>
  <si>
    <t>Thép cuộn cán nóng 2.00x1250 S235JR II</t>
  </si>
  <si>
    <t>2.00×1250×C</t>
  </si>
  <si>
    <t>1251121493663</t>
  </si>
  <si>
    <t>Thép cuộn cán nóng 2.00x1250 S235JR</t>
  </si>
  <si>
    <t>1251121493656</t>
  </si>
  <si>
    <t>Thép cuộn cán nóng 6.00x1500 S235JR II</t>
  </si>
  <si>
    <t>6.00×1500×C</t>
  </si>
  <si>
    <t>1251121493649</t>
  </si>
  <si>
    <t>Thép cuộn cán nóng 6.00x1500 S235JR</t>
  </si>
  <si>
    <t>1251121493632</t>
  </si>
  <si>
    <t>Thép cuộn cán nóng 5.00x1500 S235JR II</t>
  </si>
  <si>
    <t>5.00×1500×C</t>
  </si>
  <si>
    <t>1251121493625</t>
  </si>
  <si>
    <t>Thép cuộn cán nóng 5.00x1500 S235JR</t>
  </si>
  <si>
    <t>1251121493618</t>
  </si>
  <si>
    <t>Thép cuộn cán nóng 4.60x1500 S235JR II</t>
  </si>
  <si>
    <t>4.60×1500×C</t>
  </si>
  <si>
    <t>1251121493601</t>
  </si>
  <si>
    <t>Thép cuộn cán nóng 4.60x1500 S235JR</t>
  </si>
  <si>
    <t>1251121493595</t>
  </si>
  <si>
    <t>Thép cuộn cán nóng 4.00x1500 S235JR II</t>
  </si>
  <si>
    <t>4.00×1500×C</t>
  </si>
  <si>
    <t>1251121493588</t>
  </si>
  <si>
    <t>Thép cuộn cán nóng 4.00x1500 S235JR</t>
  </si>
  <si>
    <t>1251121493571</t>
  </si>
  <si>
    <t>Thép cuộn cán nóng 3.55x1500 S235JR II</t>
  </si>
  <si>
    <t>3.55×1500×C</t>
  </si>
  <si>
    <t>1251121493564</t>
  </si>
  <si>
    <t>Thép cuộn cán nóng 3.55x1500 S235JR</t>
  </si>
  <si>
    <t>1251121493557</t>
  </si>
  <si>
    <t>Thép cuộn cán nóng 3.00x1500 S235JR II</t>
  </si>
  <si>
    <t>3.00×1500×C</t>
  </si>
  <si>
    <t>1251121493540</t>
  </si>
  <si>
    <t>Thép cuộn cán nóng 3.00x1500 S235JR</t>
  </si>
  <si>
    <t>1251121493533</t>
  </si>
  <si>
    <t>Thép cuộn cán nóng 2.70x1500 S235JR II</t>
  </si>
  <si>
    <t>2.70×1500×C</t>
  </si>
  <si>
    <t>1251121493526</t>
  </si>
  <si>
    <t>Thép cuộn cán nóng 2.70x1500 S235JR</t>
  </si>
  <si>
    <t>1251121493519</t>
  </si>
  <si>
    <t>Thép cuộn cán nóng 6.00x1250 S235JR II</t>
  </si>
  <si>
    <t>6.00×1250×C</t>
  </si>
  <si>
    <t>1251121493502</t>
  </si>
  <si>
    <t>Thép cuộn cán nóng 6.00x1250 S235JR</t>
  </si>
  <si>
    <t>1251121493496</t>
  </si>
  <si>
    <t>Thép cuộn cán nóng 5.00x1250 S235JR II</t>
  </si>
  <si>
    <t>5.00×1250×C</t>
  </si>
  <si>
    <t>1251121493489</t>
  </si>
  <si>
    <t>Thép cuộn cán nóng 5.00x1250 S235JR</t>
  </si>
  <si>
    <t>1251121493472</t>
  </si>
  <si>
    <t>Thép cuộn cán nóng 4.00x1250 S235JR II</t>
  </si>
  <si>
    <t>4.00×1250×C</t>
  </si>
  <si>
    <t>1251121493465</t>
  </si>
  <si>
    <t>Thép cuộn cán nóng 4.00x1250 S235JR</t>
  </si>
  <si>
    <t>1251121493458</t>
  </si>
  <si>
    <t>Thép cuộn cán nóng 3.00x1250 S235JR II</t>
  </si>
  <si>
    <t>1251121493441</t>
  </si>
  <si>
    <t>Thép cuộn cán nóng 3.00x1250 S235JR</t>
  </si>
  <si>
    <t>1251121493434</t>
  </si>
  <si>
    <t>Thép cuộn cán nóng 2.35x1250 S235JR II</t>
  </si>
  <si>
    <t>2.35×1250×C</t>
  </si>
  <si>
    <t>1251121493427</t>
  </si>
  <si>
    <t>Thép cuộn cán nóng 2.35x1250 S235JR</t>
  </si>
  <si>
    <t>1251121493410</t>
  </si>
  <si>
    <t>Thép cuộn cán nóng 1.80x1250 S235JR II</t>
  </si>
  <si>
    <t>1.80×1250×C</t>
  </si>
  <si>
    <t>1251121493403</t>
  </si>
  <si>
    <t>Thép cuộn cán nóng 1.80x1250 S235JR</t>
  </si>
  <si>
    <t>1251121493397</t>
  </si>
  <si>
    <t>Thép cuộn cán nóng 2.85x1200 SAE1006 II</t>
  </si>
  <si>
    <t>2.85×1200×C</t>
  </si>
  <si>
    <t>1251121493380</t>
  </si>
  <si>
    <t>Thép cuộn cán nóng 2.85x1200 SAE1006</t>
  </si>
  <si>
    <t>1251121493373</t>
  </si>
  <si>
    <t>Thép cuộn cán nóng 6.00x1290 SS400 II</t>
  </si>
  <si>
    <t>6.00×1290×C</t>
  </si>
  <si>
    <t>1251121493342</t>
  </si>
  <si>
    <t>Thép cuộn cán nóng 6.00x1290 SS400</t>
  </si>
  <si>
    <t>1251121493335</t>
  </si>
  <si>
    <t>Thép cuộn cán nóng 6.00x1190 SS400 II</t>
  </si>
  <si>
    <t>6.00×1190×C</t>
  </si>
  <si>
    <t>1251121493328</t>
  </si>
  <si>
    <t>Thép cuộn cán nóng 6.00x1190 SS400</t>
  </si>
  <si>
    <t>1251121493311</t>
  </si>
  <si>
    <t>Thép cuộn cán nóng 5.00x1190 SS400 II</t>
  </si>
  <si>
    <t>5.00×1190×C</t>
  </si>
  <si>
    <t>1251121493304</t>
  </si>
  <si>
    <t>Thép cuộn cán nóng 5.00x1190 SS400</t>
  </si>
  <si>
    <t>1251121493298</t>
  </si>
  <si>
    <t>Thép cuộn cán nóng 4.50x1070 SS400 II</t>
  </si>
  <si>
    <t>4.50×1070×C</t>
  </si>
  <si>
    <t>1251121493281</t>
  </si>
  <si>
    <t>Thép cuộn cán nóng 4.50x1070 SS400</t>
  </si>
  <si>
    <t>1251121493274</t>
  </si>
  <si>
    <t>Thép cuộn cán nóng 4.00x1300 SS400 II</t>
  </si>
  <si>
    <t>4.00×1300×C</t>
  </si>
  <si>
    <t>1251121493267</t>
  </si>
  <si>
    <t>Thép cuộn cán nóng 4.00x1300 SS400</t>
  </si>
  <si>
    <t>1251121493250</t>
  </si>
  <si>
    <t>Thép cuộn cán nóng 2.64x1524 SAE1008 II</t>
  </si>
  <si>
    <t>2.64×1524×C</t>
  </si>
  <si>
    <t>1251121493243</t>
  </si>
  <si>
    <t>Thép cuộn cán nóng 2.64x1524 SAE1008</t>
  </si>
  <si>
    <t>1251121493236</t>
  </si>
  <si>
    <t>Thép cuộn cán nóng 3.40x1524 SAE1008 II</t>
  </si>
  <si>
    <t>1251121493229</t>
  </si>
  <si>
    <t>Thép cuộn cán nóng 3.40x1524 SAE1008</t>
  </si>
  <si>
    <t>1251121493212</t>
  </si>
  <si>
    <t>Thép cuộn cán nóng 3.02x1219 SAE1008 II</t>
  </si>
  <si>
    <t>3.02×1219×C</t>
  </si>
  <si>
    <t>1251121493205</t>
  </si>
  <si>
    <t>Thép cuộn cán nóng 3.02x1219 SAE1008</t>
  </si>
  <si>
    <t>1251121493199</t>
  </si>
  <si>
    <t>Thép cuộn cán nóng 2.64x1219 SAE1008 II</t>
  </si>
  <si>
    <t>2.64×1219×C</t>
  </si>
  <si>
    <t>1251121493182</t>
  </si>
  <si>
    <t>Thép cuộn cán nóng 2.64x1219 SAE1008</t>
  </si>
  <si>
    <t>1251121493175</t>
  </si>
  <si>
    <t>Thép cuộn cán nóng 1.90x1219 SAE1006 II</t>
  </si>
  <si>
    <t>1251121493168</t>
  </si>
  <si>
    <t>Thép cuộn cán nóng 1.90x1219 SAE1006</t>
  </si>
  <si>
    <t>1251121493151</t>
  </si>
  <si>
    <t>Thép cuộn cán nóng 4.75x1219 SAE1006 II</t>
  </si>
  <si>
    <t>1251121493144</t>
  </si>
  <si>
    <t>Thép cuộn cán nóng 4.75x1219 SAE1006</t>
  </si>
  <si>
    <t>1251121493137</t>
  </si>
  <si>
    <t>Thép cuộn cán nóng 2.50x1085 SAE1006 II</t>
  </si>
  <si>
    <t>2.50×1085×C</t>
  </si>
  <si>
    <t>1251121493120</t>
  </si>
  <si>
    <t>Thép cuộn cán nóng 2.50x1085 SAE1006</t>
  </si>
  <si>
    <t>1251121493113</t>
  </si>
  <si>
    <t>Thép cuộn cán nóng 2.30x1085 SAE1006 II</t>
  </si>
  <si>
    <t>2.30×1085×C</t>
  </si>
  <si>
    <t>1251121493106</t>
  </si>
  <si>
    <t>Thép cuộn cán nóng 2.30x1085 SAE1006</t>
  </si>
  <si>
    <t>1251121493090</t>
  </si>
  <si>
    <t>Thép cuộn cán nóng 2.00x1085 SAE1006 II</t>
  </si>
  <si>
    <t>2.00×1085×C</t>
  </si>
  <si>
    <t>1251121493083</t>
  </si>
  <si>
    <t>Thép cuộn cán nóng 2.00x1085 SAE1006</t>
  </si>
  <si>
    <t>1251121493076</t>
  </si>
  <si>
    <t>Thép cuộn cán nóng 1.85x1265 SAE1006 II</t>
  </si>
  <si>
    <t>1.85×1265×C</t>
  </si>
  <si>
    <t>1251121493069</t>
  </si>
  <si>
    <t>Thép cuộn cán nóng 1.85x1265 SAE1006</t>
  </si>
  <si>
    <t>1251121493052</t>
  </si>
  <si>
    <t>Thép cuộn cán nóng 1.50x1265 SAE1006 II</t>
  </si>
  <si>
    <t>1.50×1265×C</t>
  </si>
  <si>
    <t>1251121493045</t>
  </si>
  <si>
    <t>Thép cuộn cán nóng 1.50x1265 SAE1006</t>
  </si>
  <si>
    <t>1251121493038</t>
  </si>
  <si>
    <t>Thép cuộn cán nóng 2.10x1250 SAE1006 II</t>
  </si>
  <si>
    <t>2.10×1250×C</t>
  </si>
  <si>
    <t>1251121493021</t>
  </si>
  <si>
    <t>Thép cuộn cán nóng 2.10x1250 SAE1006</t>
  </si>
  <si>
    <t>1251121493014</t>
  </si>
  <si>
    <t>Thép cuộn cán nóng 3.95x1143 SAE1006 II</t>
  </si>
  <si>
    <t>3.95×1143×C</t>
  </si>
  <si>
    <t>1251121493007</t>
  </si>
  <si>
    <t>Thép cuộn cán nóng 3.95x1143 SAE1006</t>
  </si>
  <si>
    <t>1251121492994</t>
  </si>
  <si>
    <t>Thép cuộn cán nóng 4.75x1219 ASTM A36 II</t>
  </si>
  <si>
    <t>1251121492796</t>
  </si>
  <si>
    <t>Thép cuộn cán nóng 4.75x1219 ASTM A36</t>
  </si>
  <si>
    <t>1251121492789</t>
  </si>
  <si>
    <t>Thép cuộn cán nóng 2.64x1219 ASTM A36 II</t>
  </si>
  <si>
    <t>1251121492772</t>
  </si>
  <si>
    <t>Thép cuộn cán nóng 2.64x1219 ASTM A36</t>
  </si>
  <si>
    <t>1251121492765</t>
  </si>
  <si>
    <t>Thép cuộn cán nóng 4.35x1310 SS400 II</t>
  </si>
  <si>
    <t>4.35×1310×C</t>
  </si>
  <si>
    <t>1251121492680</t>
  </si>
  <si>
    <t>Thép cuộn cán nóng 4.35x1310 SS400</t>
  </si>
  <si>
    <t>1251121492673</t>
  </si>
  <si>
    <t>Thép cuộn cán nóng 4.40x1400 SS400 II</t>
  </si>
  <si>
    <t>4.40×1400×C</t>
  </si>
  <si>
    <t>1251121492666</t>
  </si>
  <si>
    <t>Thép cuộn cán nóng 4.40x1400 SS400</t>
  </si>
  <si>
    <t>1251121492659</t>
  </si>
  <si>
    <t>Thép cuộn cán nóng 3.30x1250 SS400 II</t>
  </si>
  <si>
    <t>1251121492642</t>
  </si>
  <si>
    <t>Thép cuộn cán nóng 3.30x1250 SS400</t>
  </si>
  <si>
    <t>1251121492635</t>
  </si>
  <si>
    <t>Thép cuộn cán nóng 3.95x1072 SAE1006 II</t>
  </si>
  <si>
    <t>1251121492413</t>
  </si>
  <si>
    <t>Thép cuộn cán nóng 9.80x1515 SAE1006 II</t>
  </si>
  <si>
    <t>9.80×1515×C</t>
  </si>
  <si>
    <t>1251121492406</t>
  </si>
  <si>
    <t>Thép cuộn cán nóng 9.80x1515 SAE1006</t>
  </si>
  <si>
    <t>1251121492390</t>
  </si>
  <si>
    <t>Thép cuộn cán nóng 3.95x1072 SAE1006</t>
  </si>
  <si>
    <t>1251121492376</t>
  </si>
  <si>
    <t>Thép cuộn cán nóng 12.00x1245 S235JR II</t>
  </si>
  <si>
    <t>12.00×1245×C</t>
  </si>
  <si>
    <t>1251121492352</t>
  </si>
  <si>
    <t>Thép cuộn cán nóng 12.00x1245 S235JR</t>
  </si>
  <si>
    <t>1251121492345</t>
  </si>
  <si>
    <t>Thép cuộn cán nóng 1.82x1219 ASTM A36 II</t>
  </si>
  <si>
    <t>1.82×1219×C</t>
  </si>
  <si>
    <t>1251121492239</t>
  </si>
  <si>
    <t>Thép cuộn cán nóng 1.82x1219 ASTM A36</t>
  </si>
  <si>
    <t>1251121492222</t>
  </si>
  <si>
    <t>Thép cuộn cán nóng 1.80x1219 SAE1006 II</t>
  </si>
  <si>
    <t>1251121492215</t>
  </si>
  <si>
    <t>Thép cuộn cán nóng 1.80x1219 SAE1006</t>
  </si>
  <si>
    <t>1251121492208</t>
  </si>
  <si>
    <t>Thép cuộn cán nóng 12.00x1230 S235JR II</t>
  </si>
  <si>
    <t>12.00×1230×C</t>
  </si>
  <si>
    <t>1251121492062</t>
  </si>
  <si>
    <t>Thép cuộn cán nóng 12.00x1230 S235JR</t>
  </si>
  <si>
    <t>1251121492055</t>
  </si>
  <si>
    <t>Thép cuộn cán nóng 12.00x1262 S235JR II</t>
  </si>
  <si>
    <t>12.00×1262×C</t>
  </si>
  <si>
    <t>1251121492000</t>
  </si>
  <si>
    <t>Thép cuộn cán nóng 12.00x1262 S235JR</t>
  </si>
  <si>
    <t>1251121491997</t>
  </si>
  <si>
    <t>[D]Thép cuộn cán nóng 1.20x1250 S235J0</t>
  </si>
  <si>
    <t>1.20×1250×C</t>
  </si>
  <si>
    <t>1251121978542</t>
  </si>
  <si>
    <t>[D]Thép cuộn cán nóng 1.20x1250 S235J0 I</t>
  </si>
  <si>
    <t>1251121978559</t>
  </si>
  <si>
    <t>[D]Thép cuộn cán nóng 6.00x1250 S235J0</t>
  </si>
  <si>
    <t>1251121978566</t>
  </si>
  <si>
    <t>[D]Thép cuộn cán nóng 6.00x1250 S235J0 I</t>
  </si>
  <si>
    <t>1251121978573</t>
  </si>
  <si>
    <t>[D]Thép cuộn cán nóng 1.20x1250 S235J2</t>
  </si>
  <si>
    <t>1251121978580</t>
  </si>
  <si>
    <t>[D]Thép cuộn cán nóng 1.20x1250 S235J2 I</t>
  </si>
  <si>
    <t>1251121978597</t>
  </si>
  <si>
    <t>[D]Thép cuộn cán nóng 6.00x1250 S235J2</t>
  </si>
  <si>
    <t>1251121978603</t>
  </si>
  <si>
    <t>[D]Thép cuộn cán nóng 6.00x1250 S235J2 I</t>
  </si>
  <si>
    <t>1251121978610</t>
  </si>
  <si>
    <t>[D]Thép cuộn cán nóng 2.00x1250 S275J0</t>
  </si>
  <si>
    <t>1251121978627</t>
  </si>
  <si>
    <t>[D]Thép cuộn cán nóng 2.00x1250 S275J0 I</t>
  </si>
  <si>
    <t>1251121978634</t>
  </si>
  <si>
    <t>[D]Thép cuộn cán nóng 25.40x1500 S275J0</t>
  </si>
  <si>
    <t>25.40×1500×C</t>
  </si>
  <si>
    <t>1251121978641</t>
  </si>
  <si>
    <t>1251121978658</t>
  </si>
  <si>
    <t>[D]Thép cuộn cán nóng 2.00x1250 S275J2</t>
  </si>
  <si>
    <t>1251121978665</t>
  </si>
  <si>
    <t>[D]Thép cuộn cán nóng 2.00x1250 S275J2 I</t>
  </si>
  <si>
    <t>1251121978672</t>
  </si>
  <si>
    <t>[D]Thép cuộn cán nóng 25.40x1500 S275J2</t>
  </si>
  <si>
    <t>1251121978689</t>
  </si>
  <si>
    <t>1251121978696</t>
  </si>
  <si>
    <t>[D]Thép cuộn cán nóng 3.00x1250 S355J0</t>
  </si>
  <si>
    <t>1251121978702</t>
  </si>
  <si>
    <t>[D]Thép cuộn cán nóng 3.00x1250 S355J0 I</t>
  </si>
  <si>
    <t>1251121978719</t>
  </si>
  <si>
    <t>[D]Thép cuộn cán nóng 12.00x1500 S355J0</t>
  </si>
  <si>
    <t>12.00×1500×C</t>
  </si>
  <si>
    <t>1251121978726</t>
  </si>
  <si>
    <t>1251121978733</t>
  </si>
  <si>
    <t>[D]Thép cuộn cán nóng 3.00x1250 S355J2</t>
  </si>
  <si>
    <t>1251121978740</t>
  </si>
  <si>
    <t>[D]Thép cuộn cán nóng 3.00x1250 S355J2 I</t>
  </si>
  <si>
    <t>1251121978757</t>
  </si>
  <si>
    <t>[D]Thép cuộn cán nóng 12.00x1500 S355J2</t>
  </si>
  <si>
    <t>1251121978764</t>
  </si>
  <si>
    <t>1251121978771</t>
  </si>
  <si>
    <t>[D]Thép cuộn cán nóng 12.00x1250 SPHT-2</t>
  </si>
  <si>
    <t>12.00×1250×C</t>
  </si>
  <si>
    <t>1251121978788</t>
  </si>
  <si>
    <t>1251121978795</t>
  </si>
  <si>
    <t>[D]Thép cuộn cán nóng 6.00x1250 SPHD</t>
  </si>
  <si>
    <t>1251121978801</t>
  </si>
  <si>
    <t>[D]Thép cuộn cán nóng 6.00x1250 SPHD II</t>
  </si>
  <si>
    <t>1251121978818</t>
  </si>
  <si>
    <t>[D]Thép cuộn cán nóng 6.00x1219 SAE1008</t>
  </si>
  <si>
    <t>6.00×1219×C</t>
  </si>
  <si>
    <t>SAE J403:2014</t>
  </si>
  <si>
    <t>1251121978825</t>
  </si>
  <si>
    <t>1251121978832</t>
  </si>
  <si>
    <t>[D]Thép cuộn cán nóng 17.80x1500 SS400</t>
  </si>
  <si>
    <t>17.80×1500×C</t>
  </si>
  <si>
    <t>1251121978849</t>
  </si>
  <si>
    <t>[D]Thép cuộn cán nóng 17.80x1500 SS400 I</t>
  </si>
  <si>
    <t>1251121978856</t>
  </si>
  <si>
    <t>[D]Thép cuộn cán nóng 2.90x1500 ASTM A36</t>
  </si>
  <si>
    <t>ASTM A36</t>
  </si>
  <si>
    <t>1251121978863</t>
  </si>
  <si>
    <t>1251121978870</t>
  </si>
  <si>
    <t>[D]Thép cuộn cán nóng 4.90x1500 ASTM A36</t>
  </si>
  <si>
    <t>1251121978887</t>
  </si>
  <si>
    <t>1251121978894</t>
  </si>
  <si>
    <t>1251121978931</t>
  </si>
  <si>
    <t>1251121978948</t>
  </si>
  <si>
    <t>1251121978955</t>
  </si>
  <si>
    <t>1251121978962</t>
  </si>
  <si>
    <t>1251121978979</t>
  </si>
  <si>
    <t>Thép cuộn cán nóng 2.42x121X SAE1006</t>
  </si>
  <si>
    <t>2.42×1212×C</t>
  </si>
  <si>
    <t>1251121979341</t>
  </si>
  <si>
    <t>Thép cuộn cán nóng 2.42x121X SAE1006 II</t>
  </si>
  <si>
    <t>1251121979358</t>
  </si>
  <si>
    <t>Thép cuộn cán nóng 3.45x121Y SAE1006</t>
  </si>
  <si>
    <t>3.45×1217×C</t>
  </si>
  <si>
    <t>1251121979365</t>
  </si>
  <si>
    <t>Thép cuộn cán nóng 3.45x121Y SAE1006 II</t>
  </si>
  <si>
    <t>1251121979372</t>
  </si>
  <si>
    <t>Thép cuộn cán nóng 2.50x136Y SAE1006</t>
  </si>
  <si>
    <t>2.50×1367×C</t>
  </si>
  <si>
    <t>1251121979389</t>
  </si>
  <si>
    <t>Thép cuộn cán nóng 2.50x136Y SAE1006 II</t>
  </si>
  <si>
    <t>1251121979396</t>
  </si>
  <si>
    <t>Thép cuộn cán nóng 3.00x136Y SAE1006</t>
  </si>
  <si>
    <t>3.00×1367×C</t>
  </si>
  <si>
    <t>1251121979402</t>
  </si>
  <si>
    <t>Thép cuộn cán nóng 3.00x136Y SAE1006 II</t>
  </si>
  <si>
    <t>1251121979419</t>
  </si>
  <si>
    <t>Thép cuộn cán nóng 2.30x132Y SAE1006</t>
  </si>
  <si>
    <t>2.30×1327×C</t>
  </si>
  <si>
    <t>1251121979426</t>
  </si>
  <si>
    <t>Thép cuộn cán nóng 2.30x132Y SAE1006 II</t>
  </si>
  <si>
    <t>1251121979433</t>
  </si>
  <si>
    <t>Thép cuộn cán nóng 2.75x136Y SAE1006</t>
  </si>
  <si>
    <t>2.75×1367×C</t>
  </si>
  <si>
    <t>1251121979440</t>
  </si>
  <si>
    <t>Thép cuộn cán nóng 2.75x136Y SAE1006 II</t>
  </si>
  <si>
    <t>1251121979457</t>
  </si>
  <si>
    <t>Thép HRC HSPM 2.42x121X SAE1006</t>
  </si>
  <si>
    <t>1251122114130</t>
  </si>
  <si>
    <t>Thép HRC HSPM 2.42x121X SAE1006  II</t>
  </si>
  <si>
    <t>1251122114147</t>
  </si>
  <si>
    <t>Thép HRC HSPM 2.42x126X SAE1006 II</t>
  </si>
  <si>
    <t>1251122114253</t>
  </si>
  <si>
    <t>Thép HRC HSPM 2.42x126X SAE1006</t>
  </si>
  <si>
    <t>1251122114246</t>
  </si>
  <si>
    <t>Thép cuộn cán nóng 1.65x125X S235JR II</t>
  </si>
  <si>
    <t>1.65×1252×C</t>
  </si>
  <si>
    <t>1251121980866</t>
  </si>
  <si>
    <t>Thép cuộn cán nóng 1.65x125X S235JR</t>
  </si>
  <si>
    <t>1251121980859</t>
  </si>
  <si>
    <t>Thép cuộn cán nóng 1.85x126X DD11 II</t>
  </si>
  <si>
    <t>1.85×1262×C</t>
  </si>
  <si>
    <t>1251121981153</t>
  </si>
  <si>
    <t>Thép cuộn cán nóng 1.85x126X DD11</t>
  </si>
  <si>
    <t>1251121981146</t>
  </si>
  <si>
    <t>Thép HRC HSPM 4.17x121X S275JR II</t>
  </si>
  <si>
    <t>4.17×1212×C</t>
  </si>
  <si>
    <t>1251122109631</t>
  </si>
  <si>
    <t>Thép HRC HSPM 2.43x151Y S275JR II</t>
  </si>
  <si>
    <t>2.43×1517×C</t>
  </si>
  <si>
    <t>1251122109655</t>
  </si>
  <si>
    <t>Thép HRC HSPM 2.23x152X S275JR II</t>
  </si>
  <si>
    <t>2.23×1522×C</t>
  </si>
  <si>
    <t>1251122109679</t>
  </si>
  <si>
    <t>Thép HRC HSPM 2.00x123Y SPHC II</t>
  </si>
  <si>
    <t>1251122109693</t>
  </si>
  <si>
    <t>Thép HRC HSPM 1.95x121X SPHC II</t>
  </si>
  <si>
    <t>1.95×1212×C</t>
  </si>
  <si>
    <t>1251122109716</t>
  </si>
  <si>
    <t>Thép HRC HSPM 2.00x123Y BJPC II</t>
  </si>
  <si>
    <t>1251122109730</t>
  </si>
  <si>
    <t>Thép HRC HSPM 2.50x123Y BJPC II</t>
  </si>
  <si>
    <t>1251122109754</t>
  </si>
  <si>
    <t>Thép HRC HSPM 3.00x123Y BJPC II</t>
  </si>
  <si>
    <t>1251122109778</t>
  </si>
  <si>
    <t>Thép HRC HSPM 3.20x123Y BJPC II</t>
  </si>
  <si>
    <t>1251122109792</t>
  </si>
  <si>
    <t>Thép HRC HSPM 5.62x121X S275JR II</t>
  </si>
  <si>
    <t>5.62×1212×C</t>
  </si>
  <si>
    <t>1251122109853</t>
  </si>
  <si>
    <t>Thép HRC HSPM 5.72x151Y S275JR II</t>
  </si>
  <si>
    <t>5.72×1517×C</t>
  </si>
  <si>
    <t>1251122109877</t>
  </si>
  <si>
    <t>Thép HRC HSPM 5.82x151Y S275JR II</t>
  </si>
  <si>
    <t>5.82×1517×C</t>
  </si>
  <si>
    <t>1251122109891</t>
  </si>
  <si>
    <t>Thép HRC HSPM 1.75x126X SPHC II</t>
  </si>
  <si>
    <t>1.75×1262×C</t>
  </si>
  <si>
    <t>1251122109914</t>
  </si>
  <si>
    <t>Thép HRC HSPM 1.80x126X SPHC II</t>
  </si>
  <si>
    <t>1251122109938</t>
  </si>
  <si>
    <t>Thép HRC HSPM 2.00x126X SPHC II</t>
  </si>
  <si>
    <t>1251122109952</t>
  </si>
  <si>
    <t>Thép HRC HSPM 2.00x108Y S235JR II</t>
  </si>
  <si>
    <t>1251122109976</t>
  </si>
  <si>
    <t>Thép HRC HSPM 1.75x126X SPHC</t>
  </si>
  <si>
    <t>1251122109907</t>
  </si>
  <si>
    <t>Thép HRC HSPM 1.80x126X SPHC</t>
  </si>
  <si>
    <t>1251122109921</t>
  </si>
  <si>
    <t>Thép HRC HSPM 2.00x126X SPHC</t>
  </si>
  <si>
    <t>1251122109945</t>
  </si>
  <si>
    <t>Thép HRC HSPM 2.00x108Y S235JR</t>
  </si>
  <si>
    <t>1251122109969</t>
  </si>
  <si>
    <t>Thép HRC HSPM 4.17x121X S275JR</t>
  </si>
  <si>
    <t>1251122109624</t>
  </si>
  <si>
    <t>Thép HRC HSPM 2.43x151Y S275JR</t>
  </si>
  <si>
    <t>1251122109648</t>
  </si>
  <si>
    <t>Thép HRC HSPM 2.23x152X S275JR</t>
  </si>
  <si>
    <t>1251122109662</t>
  </si>
  <si>
    <t>Thép HRC HSPM 5.62x121X S275JR</t>
  </si>
  <si>
    <t>1251122109846</t>
  </si>
  <si>
    <t>Thép HRC HSPM 5.72x151Y S275JR</t>
  </si>
  <si>
    <t>1251122109860</t>
  </si>
  <si>
    <t>Thép HRC HSPM 5.82x151Y S275JR</t>
  </si>
  <si>
    <t>1251122109884</t>
  </si>
  <si>
    <t>Thép HRC HSPM 2.00x123Y BJPC</t>
  </si>
  <si>
    <t>1251122109723</t>
  </si>
  <si>
    <t>Thép HRC HSPM 2.50x123Y BJPC</t>
  </si>
  <si>
    <t>1251122109747</t>
  </si>
  <si>
    <t>Thép HRC HSPM 3.00x123Y BJPC</t>
  </si>
  <si>
    <t>1251122109761</t>
  </si>
  <si>
    <t>Thép HRC HSPM 3.20x123Y BJPC</t>
  </si>
  <si>
    <t>1251122109785</t>
  </si>
  <si>
    <t>Thép HRC HSPM 2.00x123Y SPHC</t>
  </si>
  <si>
    <t>1251122109686</t>
  </si>
  <si>
    <t>Thép HRC HSPM 1.95x121X SPHC</t>
  </si>
  <si>
    <t>1251122109709</t>
  </si>
  <si>
    <t>Thép cuộn cán nóng 2.75x108Y S235JR II</t>
  </si>
  <si>
    <t>1251121962886</t>
  </si>
  <si>
    <t>Thép cuộn cán nóng 2.75x108Y S235JR</t>
  </si>
  <si>
    <t>1251121962879</t>
  </si>
  <si>
    <t>Thép cuộn cán nóng 2.25x108Y S235JR II</t>
  </si>
  <si>
    <t>2.25×1087×C</t>
  </si>
  <si>
    <t>1251121962862</t>
  </si>
  <si>
    <t>Thép cuộn cán nóng 2.25x108Y S235JR</t>
  </si>
  <si>
    <t>1251121962855</t>
  </si>
  <si>
    <t>Thép cuộn cán nóng 2.10x108Y S235JR II</t>
  </si>
  <si>
    <t>2.10×1087×C</t>
  </si>
  <si>
    <t>1251121962848</t>
  </si>
  <si>
    <t>Thép cuộn cán nóng 2.10x108Y S235JR</t>
  </si>
  <si>
    <t>1251121962831</t>
  </si>
  <si>
    <t>Thép cuộn cán nóng 2.03x108Y S235JR II</t>
  </si>
  <si>
    <t>2.03×1087×C</t>
  </si>
  <si>
    <t>1251121962824</t>
  </si>
  <si>
    <t>Thép cuộn cán nóng 2.03x108Y S235JR</t>
  </si>
  <si>
    <t>1251121962817</t>
  </si>
  <si>
    <t>Thép cuộn cán nóng 2.00x108Y S235JR II</t>
  </si>
  <si>
    <t>1251121962800</t>
  </si>
  <si>
    <t>Thép cuộn cán nóng 2.00x108Y S235JR</t>
  </si>
  <si>
    <t>1251121962794</t>
  </si>
  <si>
    <t>Thép cuộn cán nóng 2.48x125X SAE1006 II</t>
  </si>
  <si>
    <t>2.48×1252×C</t>
  </si>
  <si>
    <t>1251121962787</t>
  </si>
  <si>
    <t>Thép cuộn cán nóng 2.48x125X SAE1006</t>
  </si>
  <si>
    <t>1251121962770</t>
  </si>
  <si>
    <t>Thép cuộn cán nóng 2.78x121Y SAE1006 II</t>
  </si>
  <si>
    <t>1251121962763</t>
  </si>
  <si>
    <t>Thép cuộn cán nóng 2.78x121Y SAE1006</t>
  </si>
  <si>
    <t>1251121962756</t>
  </si>
  <si>
    <t>Thép cuộn cán nóng 2.28x121Y SAE1006 II</t>
  </si>
  <si>
    <t>1251121962749</t>
  </si>
  <si>
    <t>Thép cuộn cán nóng 2.28x121Y SAE1006</t>
  </si>
  <si>
    <t>1251121962732</t>
  </si>
  <si>
    <t>Thép cuộn cán nóng 3.00x140X SAE1006 II</t>
  </si>
  <si>
    <t>3.00×1402×C</t>
  </si>
  <si>
    <t>1251121962725</t>
  </si>
  <si>
    <t>Thép cuộn cán nóng 3.00x140X SAE1006</t>
  </si>
  <si>
    <t>1251121962718</t>
  </si>
  <si>
    <t>Thép cuộn cán nóng 5.05x126X SS400 II</t>
  </si>
  <si>
    <t>5.05×1262×C</t>
  </si>
  <si>
    <t>1251121962701</t>
  </si>
  <si>
    <t>Thép cuộn cán nóng 5.05x126X SS400</t>
  </si>
  <si>
    <t>1251121962695</t>
  </si>
  <si>
    <t>Thép cuộn cán nóng 4.10x142X SS400 II</t>
  </si>
  <si>
    <t>4.10×1422×C</t>
  </si>
  <si>
    <t>1251121962688</t>
  </si>
  <si>
    <t>Thép cuộn cán nóng 4.10x142X SS400</t>
  </si>
  <si>
    <t>1251121962671</t>
  </si>
  <si>
    <t>Thép cuộn cán nóng 4.00x142X SS400 II</t>
  </si>
  <si>
    <t>4.00×1422×C</t>
  </si>
  <si>
    <t>1251121962664</t>
  </si>
  <si>
    <t>Thép cuộn cán nóng 4.00x142X SS400</t>
  </si>
  <si>
    <t>1251121962657</t>
  </si>
  <si>
    <t>Thép cuộn cán nóng 3.12x142X SS400 II</t>
  </si>
  <si>
    <t>3.12×1422×C</t>
  </si>
  <si>
    <t>1251121962640</t>
  </si>
  <si>
    <t>Thép cuộn cán nóng 3.12x142X SS400</t>
  </si>
  <si>
    <t>1251121962633</t>
  </si>
  <si>
    <t>Thép cuộn cán nóng 3.05x142X SS400 II</t>
  </si>
  <si>
    <t>3.05×1422×C</t>
  </si>
  <si>
    <t>1251121962626</t>
  </si>
  <si>
    <t>Thép cuộn cán nóng 3.05x142X SS400</t>
  </si>
  <si>
    <t>1251121962619</t>
  </si>
  <si>
    <t>Thép cuộn cán nóng 2.80x142X SS400 II</t>
  </si>
  <si>
    <t>2.80×1422×C</t>
  </si>
  <si>
    <t>1251121962602</t>
  </si>
  <si>
    <t>Thép cuộn cán nóng 2.80x142X SS400</t>
  </si>
  <si>
    <t>1251121962596</t>
  </si>
  <si>
    <t>Thép cuộn cán nóng 4.40x120Y SS400 II</t>
  </si>
  <si>
    <t>4.40×1207×C</t>
  </si>
  <si>
    <t>1251121962589</t>
  </si>
  <si>
    <t>Thép cuộn cán nóng 4.40x120Y SS400</t>
  </si>
  <si>
    <t>1251121962572</t>
  </si>
  <si>
    <t>Thép cuộn cán nóng 3.60x120Y SS400 II</t>
  </si>
  <si>
    <t>3.60×1207×C</t>
  </si>
  <si>
    <t>1251121962565</t>
  </si>
  <si>
    <t>Thép cuộn cán nóng 3.60x120Y SS400</t>
  </si>
  <si>
    <t>1251121962558</t>
  </si>
  <si>
    <t>Thép cuộn cán nóng 3.55x120Y SS400 II</t>
  </si>
  <si>
    <t>3.55×1207×C</t>
  </si>
  <si>
    <t>1251121962541</t>
  </si>
  <si>
    <t>Thép cuộn cán nóng 3.55x120Y SS400</t>
  </si>
  <si>
    <t>1251121962534</t>
  </si>
  <si>
    <t>Thép cuộn cán nóng 2.80x120Y SS400 II</t>
  </si>
  <si>
    <t>2.80×1207×C</t>
  </si>
  <si>
    <t>1251121962527</t>
  </si>
  <si>
    <t>Thép cuộn cán nóng 2.80x120Y SS400</t>
  </si>
  <si>
    <t>1251121962510</t>
  </si>
  <si>
    <t>Thép cuộn cán nóng 3.53x138X SS400 II</t>
  </si>
  <si>
    <t>3.53×1382×C</t>
  </si>
  <si>
    <t>1251121962503</t>
  </si>
  <si>
    <t>Thép cuộn cán nóng 3.53x138X SS400</t>
  </si>
  <si>
    <t>1251121962497</t>
  </si>
  <si>
    <t>Thép cuộn cán nóng 2.83x138X SS400 II</t>
  </si>
  <si>
    <t>2.83×1382×C</t>
  </si>
  <si>
    <t>1251121962480</t>
  </si>
  <si>
    <t>Thép cuộn cán nóng 2.83x138X SS400</t>
  </si>
  <si>
    <t>1251121962473</t>
  </si>
  <si>
    <t>Thép cuộn cán nóng 2.62x138X SS400 II</t>
  </si>
  <si>
    <t>2.62×1382×C</t>
  </si>
  <si>
    <t>1251121962466</t>
  </si>
  <si>
    <t>Thép cuộn cán nóng 2.62x138X SS400</t>
  </si>
  <si>
    <t>1251121962459</t>
  </si>
  <si>
    <t>Thép cuộn cán nóng 2.50x138X SS400 II</t>
  </si>
  <si>
    <t>2.50×1382×C</t>
  </si>
  <si>
    <t>1251121962442</t>
  </si>
  <si>
    <t>Thép cuộn cán nóng 2.50x138X SS400</t>
  </si>
  <si>
    <t>1251121962435</t>
  </si>
  <si>
    <t>Thép cuộn cán nóng 5.90x131Y SS400 II</t>
  </si>
  <si>
    <t>5.90×1317×C</t>
  </si>
  <si>
    <t>1251121962428</t>
  </si>
  <si>
    <t>Thép cuộn cán nóng 5.90x131Y SS400</t>
  </si>
  <si>
    <t>1251121962411</t>
  </si>
  <si>
    <t>Thép cuộn cán nóng 2.80x131Y SS400 II</t>
  </si>
  <si>
    <t>2.80×1317×C</t>
  </si>
  <si>
    <t>1251121962404</t>
  </si>
  <si>
    <t>Thép cuộn cán nóng 2.80x131Y SS400</t>
  </si>
  <si>
    <t>1251121962398</t>
  </si>
  <si>
    <t>Thép cuộn cán nóng 2.50x131Y SS400 II</t>
  </si>
  <si>
    <t>1251121962381</t>
  </si>
  <si>
    <t>Thép cuộn cán nóng 2.50x131Y SS400</t>
  </si>
  <si>
    <t>1251121962374</t>
  </si>
  <si>
    <t>Thép cuộn cán nóng 4.40x130Y SS400 II</t>
  </si>
  <si>
    <t>4.40×1307×C</t>
  </si>
  <si>
    <t>1251121962367</t>
  </si>
  <si>
    <t>Thép cuộn cán nóng 4.40x130Y SS400</t>
  </si>
  <si>
    <t>1251121962350</t>
  </si>
  <si>
    <t>Thép cuộn cán nóng 3.53x130Y SS400 II</t>
  </si>
  <si>
    <t>3.53×1307×C</t>
  </si>
  <si>
    <t>1251121962343</t>
  </si>
  <si>
    <t>Thép cuộn cán nóng 3.53x130Y SS400</t>
  </si>
  <si>
    <t>1251121962336</t>
  </si>
  <si>
    <t>Thép cuộn cán nóng 3.00x130Y SS400 II</t>
  </si>
  <si>
    <t>3.00×1307×C</t>
  </si>
  <si>
    <t>1251121962329</t>
  </si>
  <si>
    <t>Thép cuộn cán nóng 3.00x130Y SS400</t>
  </si>
  <si>
    <t>1251121962312</t>
  </si>
  <si>
    <t>Thép cuộn cán nóng 4.55x112Y SS400 II</t>
  </si>
  <si>
    <t>4.55×1127×C</t>
  </si>
  <si>
    <t>1251121962305</t>
  </si>
  <si>
    <t>Thép cuộn cán nóng 4.55x112Y SS400</t>
  </si>
  <si>
    <t>1251121962299</t>
  </si>
  <si>
    <t>Thép cuộn cán nóng 3.50x112Y SS400 II</t>
  </si>
  <si>
    <t>3.50×1127×C</t>
  </si>
  <si>
    <t>1251121962282</t>
  </si>
  <si>
    <t>Thép cuộn cán nóng 3.50x112Y SS400</t>
  </si>
  <si>
    <t>1251121962275</t>
  </si>
  <si>
    <t>Thép cuộn cán nóng 3.20x112Y SS400 II</t>
  </si>
  <si>
    <t>3.20×1127×C</t>
  </si>
  <si>
    <t>1251121962268</t>
  </si>
  <si>
    <t>Thép cuộn cán nóng 3.20x112Y SS400</t>
  </si>
  <si>
    <t>1251121962251</t>
  </si>
  <si>
    <t>Thép cuộn cán nóng 3.00x104Y SS400 II</t>
  </si>
  <si>
    <t>3.00×1047×C</t>
  </si>
  <si>
    <t>1251121962244</t>
  </si>
  <si>
    <t>Thép cuộn cán nóng 3.00x104Y SS400</t>
  </si>
  <si>
    <t>1251121962237</t>
  </si>
  <si>
    <t>Thép cuộn cán nóng 2.75x104Y SS400 II</t>
  </si>
  <si>
    <t>2.75×1047×C</t>
  </si>
  <si>
    <t>1251121962220</t>
  </si>
  <si>
    <t>Thép cuộn cán nóng 2.75x104Y SS400</t>
  </si>
  <si>
    <t>1251121962213</t>
  </si>
  <si>
    <t>Thép cuộn cán nóng 2.85x150X SS400 II</t>
  </si>
  <si>
    <t>2.85×1502×C</t>
  </si>
  <si>
    <t>1251121962206</t>
  </si>
  <si>
    <t>Thép cuộn cán nóng 2.85x150X SS400</t>
  </si>
  <si>
    <t>1251121962190</t>
  </si>
  <si>
    <t>Thép cuộn cán nóng 4.00x126X SPHC II</t>
  </si>
  <si>
    <t>1251121962183</t>
  </si>
  <si>
    <t>Thép cuộn cán nóng 4.00x126X SPHC</t>
  </si>
  <si>
    <t>1251121962176</t>
  </si>
  <si>
    <t>Thép cuộn cán nóng 3.50x126X SPHC II</t>
  </si>
  <si>
    <t>1251121962169</t>
  </si>
  <si>
    <t>Thép cuộn cán nóng 3.50x126X SPHC</t>
  </si>
  <si>
    <t>1251121962152</t>
  </si>
  <si>
    <t>Thép cuộn cán nóng 3.30x126X SPHC II</t>
  </si>
  <si>
    <t>1251121962145</t>
  </si>
  <si>
    <t>Thép cuộn cán nóng 3.30x126X SPHC</t>
  </si>
  <si>
    <t>1251121962138</t>
  </si>
  <si>
    <t>Thép cuộn cán nóng 2.82x126X SPHC II</t>
  </si>
  <si>
    <t>2.82×1262×C</t>
  </si>
  <si>
    <t>1251121962121</t>
  </si>
  <si>
    <t>Thép cuộn cán nóng 2.82x126X SPHC</t>
  </si>
  <si>
    <t>1251121962114</t>
  </si>
  <si>
    <t>Thép cuộn cán nóng 2.50x126X SPHC II</t>
  </si>
  <si>
    <t>1251121962107</t>
  </si>
  <si>
    <t>Thép cuộn cán nóng 2.50x126X SPHC</t>
  </si>
  <si>
    <t>1251121962091</t>
  </si>
  <si>
    <t>Thép cuộn cán nóng 1.80x126X SPHC II</t>
  </si>
  <si>
    <t>1251121962084</t>
  </si>
  <si>
    <t>Thép cuộn cán nóng 1.80x126X SPHC</t>
  </si>
  <si>
    <t>1251121962077</t>
  </si>
  <si>
    <t>Thép cuộn cán nóng 1.75x126X SPHC II</t>
  </si>
  <si>
    <t>1251121962060</t>
  </si>
  <si>
    <t>Thép cuộn cán nóng 1.75x126X SPHC</t>
  </si>
  <si>
    <t>1251121962053</t>
  </si>
  <si>
    <t>Thép cuộn cán nóng 3.50x120X SPHC II</t>
  </si>
  <si>
    <t>1251121962046</t>
  </si>
  <si>
    <t>Thép cuộn cán nóng 3.50x120X SPHC</t>
  </si>
  <si>
    <t>1251121962039</t>
  </si>
  <si>
    <t>Thép cuộn cán nóng 3.50x140X SAE1006 II</t>
  </si>
  <si>
    <t>3.50×1402×C</t>
  </si>
  <si>
    <t>1251121961926</t>
  </si>
  <si>
    <t>Thép cuộn cán nóng 3.50x140X SAE1006</t>
  </si>
  <si>
    <t>1251121961919</t>
  </si>
  <si>
    <t>Thép cuộn cán nóng 3.20x123Y BJPC II</t>
  </si>
  <si>
    <t>1251121961902</t>
  </si>
  <si>
    <t>Thép cuộn cán nóng 3.20x123Y BJPC</t>
  </si>
  <si>
    <t>1251121961896</t>
  </si>
  <si>
    <t>Thép cuộn cán nóng 3.00x123Y BJPC II</t>
  </si>
  <si>
    <t>1251121961889</t>
  </si>
  <si>
    <t>Thép cuộn cán nóng 3.00x123Y BJPC</t>
  </si>
  <si>
    <t>1251121961872</t>
  </si>
  <si>
    <t>Thép cuộn cán nóng 2.50x123Y BJPC II</t>
  </si>
  <si>
    <t>1251121961865</t>
  </si>
  <si>
    <t>Thép cuộn cán nóng 2.50x123Y BJPC</t>
  </si>
  <si>
    <t>1251121961858</t>
  </si>
  <si>
    <t>Thép cuộn cán nóng 2.00x123Y BJPC II</t>
  </si>
  <si>
    <t>1251121961841</t>
  </si>
  <si>
    <t>Thép cuộn cán nóng 2.00x123Y BJPC</t>
  </si>
  <si>
    <t>1251121961834</t>
  </si>
  <si>
    <t>Thép cuộn cán nóng 2.80x119X BJPC II</t>
  </si>
  <si>
    <t>2.80×1192×C</t>
  </si>
  <si>
    <t>1251121961827</t>
  </si>
  <si>
    <t>Thép cuộn cán nóng 2.80x119X BJPC</t>
  </si>
  <si>
    <t>1251121961810</t>
  </si>
  <si>
    <t>Thép cuộn cán nóng 2.50x119X BJPC II</t>
  </si>
  <si>
    <t>2.50×1192×C</t>
  </si>
  <si>
    <t>1251121961803</t>
  </si>
  <si>
    <t>Thép cuộn cán nóng 2.50x119X BJPC</t>
  </si>
  <si>
    <t>1251121961797</t>
  </si>
  <si>
    <t>Thép cuộn cán nóng 2.00x119X BJPC II</t>
  </si>
  <si>
    <t>2.00×1192×C</t>
  </si>
  <si>
    <t>1251121961780</t>
  </si>
  <si>
    <t>Thép cuộn cán nóng 2.00x119X BJPC</t>
  </si>
  <si>
    <t>1251121961773</t>
  </si>
  <si>
    <t>Thép cuộn cán nóng 2.50x130X SAE1006 II</t>
  </si>
  <si>
    <t>1251121961766</t>
  </si>
  <si>
    <t>Thép cuộn cán nóng 2.50x130X SAE1006</t>
  </si>
  <si>
    <t>1251121961759</t>
  </si>
  <si>
    <t>Thép cuộn cán nóng 2.30x130X SAE1006 II</t>
  </si>
  <si>
    <t>1251121961742</t>
  </si>
  <si>
    <t>Thép cuộn cán nóng 2.30x130X SAE1006</t>
  </si>
  <si>
    <t>1251121961735</t>
  </si>
  <si>
    <t>Thép cuộn cán nóng 2.00x130X SAE1006 II</t>
  </si>
  <si>
    <t>1251121961728</t>
  </si>
  <si>
    <t>Thép cuộn cán nóng 2.00x130X SAE1006</t>
  </si>
  <si>
    <t>1251121961711</t>
  </si>
  <si>
    <t>Thép cuộn cán nóng 2.75x126Y SAE1006 II</t>
  </si>
  <si>
    <t>1251121961704</t>
  </si>
  <si>
    <t>Thép cuộn cán nóng 2.75x126Y SAE1006</t>
  </si>
  <si>
    <t>1251121961698</t>
  </si>
  <si>
    <t>Thép cuộn cán nóng 1.70x121X SPHT1 II</t>
  </si>
  <si>
    <t>1251121961681</t>
  </si>
  <si>
    <t>Thép cuộn cán nóng 1.70x121X SPHT1</t>
  </si>
  <si>
    <t>1251121961674</t>
  </si>
  <si>
    <t>Thép cuộn cán nóng 1.95x121X SPHC II</t>
  </si>
  <si>
    <t>1251121961667</t>
  </si>
  <si>
    <t>Thép cuộn cán nóng 1.95x121X SPHC</t>
  </si>
  <si>
    <t>1251121961650</t>
  </si>
  <si>
    <t>Thép cuộn cán nóng 2.00x123Y SPHC II</t>
  </si>
  <si>
    <t>1251121961643</t>
  </si>
  <si>
    <t>Thép cuộn cán nóng 2.00x123Y SPHC</t>
  </si>
  <si>
    <t>1251121961636</t>
  </si>
  <si>
    <t>Thép cuộn cán nóng 5.83x151Y S275JR II</t>
  </si>
  <si>
    <t>5.83×1517×C</t>
  </si>
  <si>
    <t>1251121961629</t>
  </si>
  <si>
    <t>Thép cuộn cán nóng 5.83x151Y S275JR</t>
  </si>
  <si>
    <t>1251121961612</t>
  </si>
  <si>
    <t>Thép cuộn cán nóng 5.63x151Y S275JR II</t>
  </si>
  <si>
    <t>5.63×1517×C</t>
  </si>
  <si>
    <t>1251121961605</t>
  </si>
  <si>
    <t>Thép cuộn cán nóng 5.63x151Y S275JR</t>
  </si>
  <si>
    <t>1251121961599</t>
  </si>
  <si>
    <t>Thép cuộn cán nóng 2.23x152X S275JR II</t>
  </si>
  <si>
    <t>1251121961582</t>
  </si>
  <si>
    <t>Thép cuộn cán nóng 2.23x152X S275JR</t>
  </si>
  <si>
    <t>1251121961575</t>
  </si>
  <si>
    <t>Thép cuộn cán nóng 4.60x151Y S275JR II</t>
  </si>
  <si>
    <t>4.60×1517×C</t>
  </si>
  <si>
    <t>1251121961568</t>
  </si>
  <si>
    <t>Thép cuộn cán nóng 4.60x151Y S275JR</t>
  </si>
  <si>
    <t>1251121961551</t>
  </si>
  <si>
    <t>Thép cuộn cán nóng 2.43x151Y S275JR II</t>
  </si>
  <si>
    <t>1251121961544</t>
  </si>
  <si>
    <t>Thép cuộn cán nóng 2.43x151Y S275JR</t>
  </si>
  <si>
    <t>1251121961537</t>
  </si>
  <si>
    <t>Thép cuộn cán nóng 4.17x121X S275JR II</t>
  </si>
  <si>
    <t>1251121961520</t>
  </si>
  <si>
    <t>Thép cuộn cán nóng 4.17x121X S275JR</t>
  </si>
  <si>
    <t>1251121961513</t>
  </si>
  <si>
    <t>Thép cuộn cán nóng 1.60x126X SAE1006 II</t>
  </si>
  <si>
    <t>1.60×1262×C</t>
  </si>
  <si>
    <t>1251121961414</t>
  </si>
  <si>
    <t>Thép cuộn cán nóng 1.60x126X SAE1006</t>
  </si>
  <si>
    <t>1251121961407</t>
  </si>
  <si>
    <t>Thép cuộn cán nóng 2.80x123X BjPC II</t>
  </si>
  <si>
    <t>1251121961353</t>
  </si>
  <si>
    <t>Thép cuộn cán nóng 2.80x123X BjPC</t>
  </si>
  <si>
    <t>1251121961346</t>
  </si>
  <si>
    <t>Thép cuộn cán nóng 4.00x122Y BjPC II</t>
  </si>
  <si>
    <t>1251121961339</t>
  </si>
  <si>
    <t>Thép cuộn cán nóng 4.00x122Y BjPC</t>
  </si>
  <si>
    <t>1251121961322</t>
  </si>
  <si>
    <t>Thép cuộn cán nóng 3.00x122Y BjPC II</t>
  </si>
  <si>
    <t>1251121961315</t>
  </si>
  <si>
    <t>Thép cuộn cán nóng 3.00x122Y BjPC</t>
  </si>
  <si>
    <t>1251121961308</t>
  </si>
  <si>
    <t>Thép cuộn cán nóng 2.50x122Y BjPC II</t>
  </si>
  <si>
    <t>1251121961292</t>
  </si>
  <si>
    <t>Thép cuộn cán nóng 2.50x122Y BjPC</t>
  </si>
  <si>
    <t>1251121961285</t>
  </si>
  <si>
    <t>Thép cuộn cán nóng 2.25x122Y BjPC II</t>
  </si>
  <si>
    <t>1251121961278</t>
  </si>
  <si>
    <t>Thép cuộn cán nóng 2.25x122Y BjPC</t>
  </si>
  <si>
    <t>1251121961261</t>
  </si>
  <si>
    <t>Thép cuộn cán nóng 2.00x122Y BjPC II</t>
  </si>
  <si>
    <t>1251121961254</t>
  </si>
  <si>
    <t>Thép cuộn cán nóng 2.00x122Y BjPC</t>
  </si>
  <si>
    <t>1251121961247</t>
  </si>
  <si>
    <t>Thép cuộn cán nóng 4.60x123X SAE1006 II</t>
  </si>
  <si>
    <t>4.60×1232×C</t>
  </si>
  <si>
    <t>1251121961230</t>
  </si>
  <si>
    <t>Thép cuộn cán nóng 4.60x123X SAE1006</t>
  </si>
  <si>
    <t>1251121961223</t>
  </si>
  <si>
    <t>Thép cuộn cán nóng 1.90x123X SAE1006 II</t>
  </si>
  <si>
    <t>1.90×1232×C</t>
  </si>
  <si>
    <t>1251121961216</t>
  </si>
  <si>
    <t>Thép cuộn cán nóng 1.90x123X SAE1006</t>
  </si>
  <si>
    <t>1251121961209</t>
  </si>
  <si>
    <t>Thép cuộn cán nóng 3.60x125X SS400 II</t>
  </si>
  <si>
    <t>1251121961193</t>
  </si>
  <si>
    <t>Thép cuộn cán nóng 3.60x125X SS400</t>
  </si>
  <si>
    <t>1251121961186</t>
  </si>
  <si>
    <t>Thép cuộn cán nóng 3.80x129X SS400 II</t>
  </si>
  <si>
    <t>3.80×1292×C</t>
  </si>
  <si>
    <t>1251121960523</t>
  </si>
  <si>
    <t>Thép cuộn cán nóng 3.80x129X SS400</t>
  </si>
  <si>
    <t>1251121960516</t>
  </si>
  <si>
    <t>Thép cuộn cán nóng 3.80x128Y SS400 II</t>
  </si>
  <si>
    <t>3.80×1287×C</t>
  </si>
  <si>
    <t>1251121960509</t>
  </si>
  <si>
    <t>Thép cuộn cán nóng 3.80x128Y SS400</t>
  </si>
  <si>
    <t>1251121960493</t>
  </si>
  <si>
    <t>Thép cuộn cán nóng 3.80x128X SS400 II</t>
  </si>
  <si>
    <t>3.80×1282×C</t>
  </si>
  <si>
    <t>1251121960486</t>
  </si>
  <si>
    <t>Thép cuộn cán nóng 3.80x128X SS400</t>
  </si>
  <si>
    <t>1251121960479</t>
  </si>
  <si>
    <t>Thép cuộn cán nóng 3.80x127Y SS400 II</t>
  </si>
  <si>
    <t>3.80×1277×C</t>
  </si>
  <si>
    <t>1251121960462</t>
  </si>
  <si>
    <t>Thép cuộn cán nóng 3.80x127Y SS400</t>
  </si>
  <si>
    <t>1251121960455</t>
  </si>
  <si>
    <t>Thép cuộn cán nóng 3.80x127X SS400 II</t>
  </si>
  <si>
    <t>3.80×1272×C</t>
  </si>
  <si>
    <t>1251121960448</t>
  </si>
  <si>
    <t>Thép cuộn cán nóng 3.80x127X SS400</t>
  </si>
  <si>
    <t>1251121960431</t>
  </si>
  <si>
    <t>Thép cuộn cán nóng 3.80x125Y SS400 II</t>
  </si>
  <si>
    <t>3.80×1257×C</t>
  </si>
  <si>
    <t>1251121960387</t>
  </si>
  <si>
    <t>Thép cuộn cán nóng 3.80x125Y SS400</t>
  </si>
  <si>
    <t>1251121960370</t>
  </si>
  <si>
    <t>Thép cuộn cán nóng 3.80x124Y SS400 II</t>
  </si>
  <si>
    <t>3.80×1247×C</t>
  </si>
  <si>
    <t>1251121960349</t>
  </si>
  <si>
    <t>Thép cuộn cán nóng 3.80x124Y SS400</t>
  </si>
  <si>
    <t>1251121960332</t>
  </si>
  <si>
    <t>Thép cuộn cán nóng 3.80x124X SS400 II</t>
  </si>
  <si>
    <t>3.80×1242×C</t>
  </si>
  <si>
    <t>1251121960325</t>
  </si>
  <si>
    <t>Thép cuộn cán nóng 3.80x124X SS400</t>
  </si>
  <si>
    <t>1251121960318</t>
  </si>
  <si>
    <t>Thép cuộn cán nóng 3.80x123Y SS400 II</t>
  </si>
  <si>
    <t>1251121960301</t>
  </si>
  <si>
    <t>Thép cuộn cán nóng 3.80x123Y SS400</t>
  </si>
  <si>
    <t>1251121960295</t>
  </si>
  <si>
    <t>Thép cuộn cán nóng 3.80x123X SS400 II</t>
  </si>
  <si>
    <t>1251121960288</t>
  </si>
  <si>
    <t>Thép cuộn cán nóng 3.80x123X SS400</t>
  </si>
  <si>
    <t>1251121960271</t>
  </si>
  <si>
    <t>Thép cuộn cán nóng 3.45x129Y SS400 II</t>
  </si>
  <si>
    <t>3.45×1297×C</t>
  </si>
  <si>
    <t>1251121960264</t>
  </si>
  <si>
    <t>Thép cuộn cán nóng 3.45x129Y SS400</t>
  </si>
  <si>
    <t>1251121960257</t>
  </si>
  <si>
    <t>Thép cuộn cán nóng 3.45x128Y SS400 II</t>
  </si>
  <si>
    <t>3.45×1287×C</t>
  </si>
  <si>
    <t>1251121960240</t>
  </si>
  <si>
    <t>Thép cuộn cán nóng 3.45x128Y SS400</t>
  </si>
  <si>
    <t>1251121960233</t>
  </si>
  <si>
    <t>Thép cuộn cán nóng 3.45x128X SS400 II</t>
  </si>
  <si>
    <t>3.45×1282×C</t>
  </si>
  <si>
    <t>1251121960226</t>
  </si>
  <si>
    <t>Thép cuộn cán nóng 3.45x128X SS400</t>
  </si>
  <si>
    <t>1251121960219</t>
  </si>
  <si>
    <t>Thép cuộn cán nóng 3.45x127Y SS400 II</t>
  </si>
  <si>
    <t>3.45×1277×C</t>
  </si>
  <si>
    <t>1251121960202</t>
  </si>
  <si>
    <t>Thép cuộn cán nóng 3.45x127Y SS400</t>
  </si>
  <si>
    <t>1251121960196</t>
  </si>
  <si>
    <t>Thép cuộn cán nóng 3.45x127X SS400 II</t>
  </si>
  <si>
    <t>3.45×1272×C</t>
  </si>
  <si>
    <t>1251121960189</t>
  </si>
  <si>
    <t>Thép cuộn cán nóng 3.45x127X SS400</t>
  </si>
  <si>
    <t>1251121960172</t>
  </si>
  <si>
    <t>Thép cuộn cán nóng 3.45x126Y SS400 II</t>
  </si>
  <si>
    <t>3.45×1267×C</t>
  </si>
  <si>
    <t>1251121960165</t>
  </si>
  <si>
    <t>Thép cuộn cán nóng 3.45x126Y SS400</t>
  </si>
  <si>
    <t>1251121960158</t>
  </si>
  <si>
    <t>Thép cuộn cán nóng 3.45x125Y SS400 II</t>
  </si>
  <si>
    <t>3.45×1257×C</t>
  </si>
  <si>
    <t>1251121960141</t>
  </si>
  <si>
    <t>Thép cuộn cán nóng 3.45x125Y SS400</t>
  </si>
  <si>
    <t>1251121960134</t>
  </si>
  <si>
    <t>Thép cuộn cán nóng 3.45x124Y SS400 II</t>
  </si>
  <si>
    <t>3.45×1247×C</t>
  </si>
  <si>
    <t>1251121960127</t>
  </si>
  <si>
    <t>Thép cuộn cán nóng 3.45x124Y SS400</t>
  </si>
  <si>
    <t>1251121960110</t>
  </si>
  <si>
    <t>Thép cuộn cán nóng 3.45x124X SS400 II</t>
  </si>
  <si>
    <t>3.45×1242×C</t>
  </si>
  <si>
    <t>1251121960103</t>
  </si>
  <si>
    <t>Thép cuộn cán nóng 3.45x124X SS400</t>
  </si>
  <si>
    <t>1251121960097</t>
  </si>
  <si>
    <t>Thép cuộn cán nóng 3.45x123Y SS400 II</t>
  </si>
  <si>
    <t>3.45×1237×C</t>
  </si>
  <si>
    <t>1251121960080</t>
  </si>
  <si>
    <t>Thép cuộn cán nóng 3.45x123Y SS400</t>
  </si>
  <si>
    <t>1251121960073</t>
  </si>
  <si>
    <t>Thép cuộn cán nóng 3.45x123X SS400 II</t>
  </si>
  <si>
    <t>3.45×1232×C</t>
  </si>
  <si>
    <t>1251121960066</t>
  </si>
  <si>
    <t>Thép cuộn cán nóng 3.45x123X SS400</t>
  </si>
  <si>
    <t>1251121960059</t>
  </si>
  <si>
    <t>Thép cuộn cán nóng 3.15x129Y SS400 II</t>
  </si>
  <si>
    <t>3.15×1297×C</t>
  </si>
  <si>
    <t>1251121960042</t>
  </si>
  <si>
    <t>Thép cuộn cán nóng 3.15x129Y SS400</t>
  </si>
  <si>
    <t>1251121960035</t>
  </si>
  <si>
    <t>Thép cuộn cán nóng 3.15x129X SS400 II</t>
  </si>
  <si>
    <t>3.15×1292×C</t>
  </si>
  <si>
    <t>1251121960028</t>
  </si>
  <si>
    <t>Thép cuộn cán nóng 3.15x129X SS400</t>
  </si>
  <si>
    <t>1251121960011</t>
  </si>
  <si>
    <t>Thép cuộn cán nóng 3.15x128Y SS400 II</t>
  </si>
  <si>
    <t>3.15×1287×C</t>
  </si>
  <si>
    <t>1251121960004</t>
  </si>
  <si>
    <t>Thép cuộn cán nóng 3.15x128Y SS400</t>
  </si>
  <si>
    <t>1251121959992</t>
  </si>
  <si>
    <t>Thép cuộn cán nóng 3.15x128X SS400 II</t>
  </si>
  <si>
    <t>3.15×1282×C</t>
  </si>
  <si>
    <t>1251121959985</t>
  </si>
  <si>
    <t>Thép cuộn cán nóng 3.15x128X SS400</t>
  </si>
  <si>
    <t>1251121959978</t>
  </si>
  <si>
    <t>Thép cuộn cán nóng 3.15x127Y SS400 II</t>
  </si>
  <si>
    <t>3.15×1277×C</t>
  </si>
  <si>
    <t>1251121959961</t>
  </si>
  <si>
    <t>Thép cuộn cán nóng 3.15x127Y SS400</t>
  </si>
  <si>
    <t>1251121959954</t>
  </si>
  <si>
    <t>Thép cuộn cán nóng 3.15x127X SS400 II</t>
  </si>
  <si>
    <t>3.15×1272×C</t>
  </si>
  <si>
    <t>1251121959947</t>
  </si>
  <si>
    <t>Thép cuộn cán nóng 3.15x127X SS400</t>
  </si>
  <si>
    <t>1251121959930</t>
  </si>
  <si>
    <t>Thép cuộn cán nóng 3.15x126Y SS400 II</t>
  </si>
  <si>
    <t>3.15×1267×C</t>
  </si>
  <si>
    <t>1251121959923</t>
  </si>
  <si>
    <t>Thép cuộn cán nóng 3.15x126Y SS400</t>
  </si>
  <si>
    <t>1251121959916</t>
  </si>
  <si>
    <t>Thép cuộn cán nóng 3.15x125Y SS400 II</t>
  </si>
  <si>
    <t>3.15×1257×C</t>
  </si>
  <si>
    <t>1251121959909</t>
  </si>
  <si>
    <t>Thép cuộn cán nóng 3.15x125Y SS400</t>
  </si>
  <si>
    <t>1251121959893</t>
  </si>
  <si>
    <t>Thép cuộn cán nóng 3.15x124Y SS400 II</t>
  </si>
  <si>
    <t>3.15×1247×C</t>
  </si>
  <si>
    <t>1251121959886</t>
  </si>
  <si>
    <t>Thép cuộn cán nóng 3.15x124Y SS400</t>
  </si>
  <si>
    <t>1251121959879</t>
  </si>
  <si>
    <t>Thép cuộn cán nóng 3.15x124X SS400 II</t>
  </si>
  <si>
    <t>3.15×1242×C</t>
  </si>
  <si>
    <t>1251121959862</t>
  </si>
  <si>
    <t>Thép cuộn cán nóng 3.15x124X SS400</t>
  </si>
  <si>
    <t>1251121959855</t>
  </si>
  <si>
    <t>Thép cuộn cán nóng 3.15x123Y SS400 II</t>
  </si>
  <si>
    <t>3.15×1237×C</t>
  </si>
  <si>
    <t>1251121959848</t>
  </si>
  <si>
    <t>Thép cuộn cán nóng 3.15x123Y SS400</t>
  </si>
  <si>
    <t>1251121959831</t>
  </si>
  <si>
    <t>Thép cuộn cán nóng 3.15x123X SS400 II</t>
  </si>
  <si>
    <t>3.15×1232×C</t>
  </si>
  <si>
    <t>1251121959824</t>
  </si>
  <si>
    <t>Thép cuộn cán nóng 3.15x123X SS400</t>
  </si>
  <si>
    <t>1251121959817</t>
  </si>
  <si>
    <t>Thép cuộn cán nóng 2.50x129Y SS400 II</t>
  </si>
  <si>
    <t>2.50×1297×C</t>
  </si>
  <si>
    <t>1251121959800</t>
  </si>
  <si>
    <t>Thép cuộn cán nóng 2.50x129Y SS400</t>
  </si>
  <si>
    <t>1251121959794</t>
  </si>
  <si>
    <t>Thép cuộn cán nóng 2.50x129X SS400 II</t>
  </si>
  <si>
    <t>2.50×1292×C</t>
  </si>
  <si>
    <t>1251121959787</t>
  </si>
  <si>
    <t>Thép cuộn cán nóng 2.50x129X SS400</t>
  </si>
  <si>
    <t>1251121959770</t>
  </si>
  <si>
    <t>Thép cuộn cán nóng 2.50x128Y SS400 II</t>
  </si>
  <si>
    <t>2.50×1287×C</t>
  </si>
  <si>
    <t>1251121959763</t>
  </si>
  <si>
    <t>Thép cuộn cán nóng 2.50x128Y SS400</t>
  </si>
  <si>
    <t>1251121959756</t>
  </si>
  <si>
    <t>Thép cuộn cán nóng 2.50x128X SS400 II</t>
  </si>
  <si>
    <t>1251121959749</t>
  </si>
  <si>
    <t>Thép cuộn cán nóng 2.50x128X SS400</t>
  </si>
  <si>
    <t>1251121959732</t>
  </si>
  <si>
    <t>Thép cuộn cán nóng 2.50x127Y SS400 II</t>
  </si>
  <si>
    <t>2.50×1277×C</t>
  </si>
  <si>
    <t>1251121959725</t>
  </si>
  <si>
    <t>Thép cuộn cán nóng 2.50x127Y SS400</t>
  </si>
  <si>
    <t>1251121959718</t>
  </si>
  <si>
    <t>Thép cuộn cán nóng 2.50x127X SS400 II</t>
  </si>
  <si>
    <t>1251121959701</t>
  </si>
  <si>
    <t>Thép cuộn cán nóng 2.50x127X SS400</t>
  </si>
  <si>
    <t>1251121959695</t>
  </si>
  <si>
    <t>Thép cuộn cán nóng 2.50x125Y SS400 II</t>
  </si>
  <si>
    <t>1251121959640</t>
  </si>
  <si>
    <t>Thép cuộn cán nóng 2.50x125Y SS400</t>
  </si>
  <si>
    <t>1251121959633</t>
  </si>
  <si>
    <t>Thép cuộn cán nóng 2.50x124Y SS400 II</t>
  </si>
  <si>
    <t>2.50×1247×C</t>
  </si>
  <si>
    <t>1251121959602</t>
  </si>
  <si>
    <t>Thép cuộn cán nóng 2.50x124Y SS400</t>
  </si>
  <si>
    <t>1251121959596</t>
  </si>
  <si>
    <t>Thép cuộn cán nóng 2.50x123Y SS400 II</t>
  </si>
  <si>
    <t>1251121959565</t>
  </si>
  <si>
    <t>Thép cuộn cán nóng 2.50x123Y SS400</t>
  </si>
  <si>
    <t>1251121959558</t>
  </si>
  <si>
    <t>Thép cuộn cán nóng 3.45x129Y SAE1006 II</t>
  </si>
  <si>
    <t>1251121959527</t>
  </si>
  <si>
    <t>Thép cuộn cán nóng 3.45x129Y SAE1006</t>
  </si>
  <si>
    <t>1251121959510</t>
  </si>
  <si>
    <t>Thép cuộn cán nóng 3.45x129X SAE1006 II</t>
  </si>
  <si>
    <t>1251121959503</t>
  </si>
  <si>
    <t>Thép cuộn cán nóng 3.45x129X SAE1006</t>
  </si>
  <si>
    <t>1251121959497</t>
  </si>
  <si>
    <t>Thép cuộn cán nóng 3.45x128Y SAE1006 II</t>
  </si>
  <si>
    <t>1251121959480</t>
  </si>
  <si>
    <t>Thép cuộn cán nóng 3.45x128Y SAE1006</t>
  </si>
  <si>
    <t>1251121959473</t>
  </si>
  <si>
    <t>Thép cuộn cán nóng 3.45x128X SAE1006 II</t>
  </si>
  <si>
    <t>1251121959466</t>
  </si>
  <si>
    <t>Thép cuộn cán nóng 3.45x128X SAE1006</t>
  </si>
  <si>
    <t>1251121959459</t>
  </si>
  <si>
    <t>Thép cuộn cán nóng 3.45x127Y SAE1006 II</t>
  </si>
  <si>
    <t>1251121959442</t>
  </si>
  <si>
    <t>Thép cuộn cán nóng 3.45x127Y SAE1006</t>
  </si>
  <si>
    <t>1251121959435</t>
  </si>
  <si>
    <t>Thép cuộn cán nóng 3.45x126Y SAE1006 II</t>
  </si>
  <si>
    <t>1251121959428</t>
  </si>
  <si>
    <t>Thép cuộn cán nóng 3.45x126Y SAE1006</t>
  </si>
  <si>
    <t>1251121959411</t>
  </si>
  <si>
    <t>Thép cuộn cán nóng 3.45x125Y SAE1006 II</t>
  </si>
  <si>
    <t>1251121959404</t>
  </si>
  <si>
    <t>Thép cuộn cán nóng 3.45x125Y SAE1006</t>
  </si>
  <si>
    <t>1251121959398</t>
  </si>
  <si>
    <t>Thép cuộn cán nóng 3.45x124Y SAE1006 II</t>
  </si>
  <si>
    <t>1251121959381</t>
  </si>
  <si>
    <t>Thép cuộn cán nóng 3.45x124Y SAE1006</t>
  </si>
  <si>
    <t>1251121959374</t>
  </si>
  <si>
    <t>Thép cuộn cán nóng 3.45x124X SAE1006 II</t>
  </si>
  <si>
    <t>1251121959367</t>
  </si>
  <si>
    <t>Thép cuộn cán nóng 3.45x124X SAE1006</t>
  </si>
  <si>
    <t>1251121959350</t>
  </si>
  <si>
    <t>Thép cuộn cán nóng 3.45x123Y SAE1006 II</t>
  </si>
  <si>
    <t>1251121959343</t>
  </si>
  <si>
    <t>Thép cuộn cán nóng 3.45x123Y SAE1006</t>
  </si>
  <si>
    <t>1251121959336</t>
  </si>
  <si>
    <t>Thép cuộn cán nóng 3.45x123X SAE1006 II</t>
  </si>
  <si>
    <t>1251121959329</t>
  </si>
  <si>
    <t>Thép cuộn cán nóng 3.45x123X SAE1006</t>
  </si>
  <si>
    <t>1251121959312</t>
  </si>
  <si>
    <t>Thép cuộn cán nóng 3.15x129Y SAE1006 II</t>
  </si>
  <si>
    <t>1251121959305</t>
  </si>
  <si>
    <t>Thép cuộn cán nóng 3.15x129Y SAE1006</t>
  </si>
  <si>
    <t>1251121959299</t>
  </si>
  <si>
    <t>Thép cuộn cán nóng 3.15x129X SAE1006 II</t>
  </si>
  <si>
    <t>1251121959282</t>
  </si>
  <si>
    <t>Thép cuộn cán nóng 3.15x129X SAE1006</t>
  </si>
  <si>
    <t>1251121959275</t>
  </si>
  <si>
    <t>Thép cuộn cán nóng 3.15x128Y SAE1006 II</t>
  </si>
  <si>
    <t>1251121959268</t>
  </si>
  <si>
    <t>Thép cuộn cán nóng 3.15x128Y SAE1006</t>
  </si>
  <si>
    <t>1251121959251</t>
  </si>
  <si>
    <t>Thép cuộn cán nóng 3.15x128X SAE1006 II</t>
  </si>
  <si>
    <t>1251121959244</t>
  </si>
  <si>
    <t>Thép cuộn cán nóng 3.15x128X SAE1006</t>
  </si>
  <si>
    <t>1251121959237</t>
  </si>
  <si>
    <t>Thép cuộn cán nóng 3.15x127Y SAE1006 II</t>
  </si>
  <si>
    <t>1251121959220</t>
  </si>
  <si>
    <t>Thép cuộn cán nóng 3.15x127Y SAE1006</t>
  </si>
  <si>
    <t>1251121959213</t>
  </si>
  <si>
    <t>Thép cuộn cán nóng 3.15x127X SAE1006 II</t>
  </si>
  <si>
    <t>1251121959206</t>
  </si>
  <si>
    <t>Thép cuộn cán nóng 3.15x127X SAE1006</t>
  </si>
  <si>
    <t>1251121959190</t>
  </si>
  <si>
    <t>Thép cuộn cán nóng 3.80x129Y SS400 II</t>
  </si>
  <si>
    <t>3.80×1297×C</t>
  </si>
  <si>
    <t>1251121959183</t>
  </si>
  <si>
    <t>Thép cuộn cán nóng 3.80x129Y SS400</t>
  </si>
  <si>
    <t>1251121959176</t>
  </si>
  <si>
    <t>Thép cuộn cán nóng 3.15x125Y SAE1006 II</t>
  </si>
  <si>
    <t>1251121959169</t>
  </si>
  <si>
    <t>Thép cuộn cán nóng 3.15x125Y SAE1006</t>
  </si>
  <si>
    <t>1251121959152</t>
  </si>
  <si>
    <t>Thép cuộn cán nóng 3.15x125X SAE1006 II</t>
  </si>
  <si>
    <t>3.15×1252×C</t>
  </si>
  <si>
    <t>1251121959145</t>
  </si>
  <si>
    <t>Thép cuộn cán nóng 3.15x125X SAE1006</t>
  </si>
  <si>
    <t>1251121959138</t>
  </si>
  <si>
    <t>Thép cuộn cán nóng 3.15x124Y SAE1006 II</t>
  </si>
  <si>
    <t>1251121959121</t>
  </si>
  <si>
    <t>Thép cuộn cán nóng 3.15x124Y SAE1006</t>
  </si>
  <si>
    <t>1251121959114</t>
  </si>
  <si>
    <t>Thép cuộn cán nóng 3.15x124X SAE1006 II</t>
  </si>
  <si>
    <t>1251121959107</t>
  </si>
  <si>
    <t>Thép cuộn cán nóng 3.15x124X SAE1006</t>
  </si>
  <si>
    <t>1251121959091</t>
  </si>
  <si>
    <t>Thép cuộn cán nóng 3.15x123Y SAE1006 II</t>
  </si>
  <si>
    <t>1251121959084</t>
  </si>
  <si>
    <t>Thép cuộn cán nóng 3.15x123Y SAE1006</t>
  </si>
  <si>
    <t>1251121959077</t>
  </si>
  <si>
    <t>Thép cuộn cán nóng 3.15x123X SAE1006 II</t>
  </si>
  <si>
    <t>1251121959060</t>
  </si>
  <si>
    <t>Thép cuộn cán nóng 3.15x123X SAE1006</t>
  </si>
  <si>
    <t>1251121959053</t>
  </si>
  <si>
    <t>Thép cuộn cán nóng 2.95x129Y SAE1006 II</t>
  </si>
  <si>
    <t>2.95×1297×C</t>
  </si>
  <si>
    <t>1251121959046</t>
  </si>
  <si>
    <t>Thép cuộn cán nóng 2.95x129Y SAE1006</t>
  </si>
  <si>
    <t>1251121959039</t>
  </si>
  <si>
    <t>Thép cuộn cán nóng 2.95x129X SAE1006 II</t>
  </si>
  <si>
    <t>2.95×1292×C</t>
  </si>
  <si>
    <t>1251121959022</t>
  </si>
  <si>
    <t>Thép cuộn cán nóng 2.95x129X SAE1006</t>
  </si>
  <si>
    <t>1251121959015</t>
  </si>
  <si>
    <t>Thép cuộn cán nóng 2.95x128Y SAE1006 II</t>
  </si>
  <si>
    <t>2.95×1287×C</t>
  </si>
  <si>
    <t>1251121959008</t>
  </si>
  <si>
    <t>Thép cuộn cán nóng 2.95x128Y SAE1006</t>
  </si>
  <si>
    <t>1251121958995</t>
  </si>
  <si>
    <t>Thép cuộn cán nóng 2.95x128X SAE1006 II</t>
  </si>
  <si>
    <t>2.95×1282×C</t>
  </si>
  <si>
    <t>1251121958988</t>
  </si>
  <si>
    <t>Thép cuộn cán nóng 2.95x128X SAE1006</t>
  </si>
  <si>
    <t>1251121958971</t>
  </si>
  <si>
    <t>Thép cuộn cán nóng 2.95x127Y SAE1006 II</t>
  </si>
  <si>
    <t>2.95×1277×C</t>
  </si>
  <si>
    <t>1251121958964</t>
  </si>
  <si>
    <t>Thép cuộn cán nóng 2.95x127Y SAE1006</t>
  </si>
  <si>
    <t>1251121958957</t>
  </si>
  <si>
    <t>Thép cuộn cán nóng 2.95x127X SAE1006 II</t>
  </si>
  <si>
    <t>1251121958940</t>
  </si>
  <si>
    <t>Thép cuộn cán nóng 2.95x127X SAE1006</t>
  </si>
  <si>
    <t>1251121958933</t>
  </si>
  <si>
    <t>Thép cuộn cán nóng 2.95x126Y SAE1006 II</t>
  </si>
  <si>
    <t>1251121958926</t>
  </si>
  <si>
    <t>Thép cuộn cán nóng 2.95x126Y SAE1006</t>
  </si>
  <si>
    <t>1251121958919</t>
  </si>
  <si>
    <t>Thép cuộn cán nóng 2.95x125Y SAE1006 II</t>
  </si>
  <si>
    <t>2.95×1257×C</t>
  </si>
  <si>
    <t>1251121958902</t>
  </si>
  <si>
    <t>Thép cuộn cán nóng 2.95x125Y SAE1006</t>
  </si>
  <si>
    <t>1251121958896</t>
  </si>
  <si>
    <t>Thép cuộn cán nóng 2.95x125X SAE1006 II</t>
  </si>
  <si>
    <t>1251121958889</t>
  </si>
  <si>
    <t>Thép cuộn cán nóng 2.95x125X SAE1006</t>
  </si>
  <si>
    <t>1251121958872</t>
  </si>
  <si>
    <t>Thép cuộn cán nóng 2.95x124Y SAE1006 II</t>
  </si>
  <si>
    <t>2.95×1247×C</t>
  </si>
  <si>
    <t>1251121958865</t>
  </si>
  <si>
    <t>Thép cuộn cán nóng 2.95x124Y SAE1006</t>
  </si>
  <si>
    <t>1251121958858</t>
  </si>
  <si>
    <t>Thép cuộn cán nóng 2.95x124X SAE1006 II</t>
  </si>
  <si>
    <t>2.95×1242×C</t>
  </si>
  <si>
    <t>1251121958841</t>
  </si>
  <si>
    <t>Thép cuộn cán nóng 2.95x124X SAE1006</t>
  </si>
  <si>
    <t>1251121958834</t>
  </si>
  <si>
    <t>Thép cuộn cán nóng 2.95x123Y SAE1006 II</t>
  </si>
  <si>
    <t>2.95×1237×C</t>
  </si>
  <si>
    <t>1251121958827</t>
  </si>
  <si>
    <t>Thép cuộn cán nóng 2.95x123Y SAE1006</t>
  </si>
  <si>
    <t>1251121958810</t>
  </si>
  <si>
    <t>Thép cuộn cán nóng 2.95x123X SAE1006 II</t>
  </si>
  <si>
    <t>2.95×1232×C</t>
  </si>
  <si>
    <t>1251121958803</t>
  </si>
  <si>
    <t>Thép cuộn cán nóng 2.95x123X SAE1006</t>
  </si>
  <si>
    <t>1251121958797</t>
  </si>
  <si>
    <t>Thép cuộn cán nóng 2.25x129Y SAE1006 II</t>
  </si>
  <si>
    <t>2.25×1297×C</t>
  </si>
  <si>
    <t>1251121958780</t>
  </si>
  <si>
    <t>Thép cuộn cán nóng 2.25x129Y SAE1006</t>
  </si>
  <si>
    <t>1251121958773</t>
  </si>
  <si>
    <t>Thép cuộn cán nóng 2.25x129X SAE1006 II</t>
  </si>
  <si>
    <t>1251121958766</t>
  </si>
  <si>
    <t>Thép cuộn cán nóng 2.25x129X SAE1006</t>
  </si>
  <si>
    <t>1251121958759</t>
  </si>
  <si>
    <t>Thép cuộn cán nóng 2.25x128Y SAE1006 II</t>
  </si>
  <si>
    <t>2.25×1287×C</t>
  </si>
  <si>
    <t>1251121958742</t>
  </si>
  <si>
    <t>Thép cuộn cán nóng 2.25x128Y SAE1006</t>
  </si>
  <si>
    <t>1251121958735</t>
  </si>
  <si>
    <t>Thép cuộn cán nóng 2.25x128X SAE1006 II</t>
  </si>
  <si>
    <t>2.25×1282×C</t>
  </si>
  <si>
    <t>1251121958728</t>
  </si>
  <si>
    <t>Thép cuộn cán nóng 2.25x128X SAE1006</t>
  </si>
  <si>
    <t>1251121958711</t>
  </si>
  <si>
    <t>Thép cuộn cán nóng 2.25x127Y SAE1006 II</t>
  </si>
  <si>
    <t>1251121958704</t>
  </si>
  <si>
    <t>Thép cuộn cán nóng 2.25x127Y SAE1006</t>
  </si>
  <si>
    <t>1251121958698</t>
  </si>
  <si>
    <t>Thép cuộn cán nóng 2.25x127X SAE1006 II</t>
  </si>
  <si>
    <t>2.25×1272×C</t>
  </si>
  <si>
    <t>1251121958681</t>
  </si>
  <si>
    <t>Thép cuộn cán nóng 2.25x127X SAE1006</t>
  </si>
  <si>
    <t>1251121958674</t>
  </si>
  <si>
    <t>Thép cuộn cán nóng 2.25x126Y SAE1006 II</t>
  </si>
  <si>
    <t>2.25×1267×C</t>
  </si>
  <si>
    <t>1251121958667</t>
  </si>
  <si>
    <t>Thép cuộn cán nóng 2.25x126Y SAE1006</t>
  </si>
  <si>
    <t>1251121958650</t>
  </si>
  <si>
    <t>Thép cuộn cán nóng 2.25x125Y SAE1006 II</t>
  </si>
  <si>
    <t>2.25×1257×C</t>
  </si>
  <si>
    <t>1251121958643</t>
  </si>
  <si>
    <t>Thép cuộn cán nóng 2.25x125Y SAE1006</t>
  </si>
  <si>
    <t>1251121958636</t>
  </si>
  <si>
    <t>Thép cuộn cán nóng 2.25x124X SAE1006 II</t>
  </si>
  <si>
    <t>2.25×1242×C</t>
  </si>
  <si>
    <t>1251121958629</t>
  </si>
  <si>
    <t>Thép cuộn cán nóng 2.25x124X SAE1006</t>
  </si>
  <si>
    <t>1251121958612</t>
  </si>
  <si>
    <t>Thép cuộn cán nóng 2.25x123Y SAE1006 II</t>
  </si>
  <si>
    <t>1251121958605</t>
  </si>
  <si>
    <t>Thép cuộn cán nóng 2.25x123Y SAE1006</t>
  </si>
  <si>
    <t>1251121958599</t>
  </si>
  <si>
    <t>Thép cuộn cán nóng 2.45x129Y SAE1006 II</t>
  </si>
  <si>
    <t>2.45×1297×C</t>
  </si>
  <si>
    <t>1251121958582</t>
  </si>
  <si>
    <t>Thép cuộn cán nóng 2.45x129Y SAE1006</t>
  </si>
  <si>
    <t>1251121958575</t>
  </si>
  <si>
    <t>Thép cuộn cán nóng 2.45x129X SAE1006 II</t>
  </si>
  <si>
    <t>2.45×1292×C</t>
  </si>
  <si>
    <t>1251121958568</t>
  </si>
  <si>
    <t>Thép cuộn cán nóng 2.45x129X SAE1006</t>
  </si>
  <si>
    <t>1251121958551</t>
  </si>
  <si>
    <t>Thép cuộn cán nóng 2.45x128Y SAE1006 II</t>
  </si>
  <si>
    <t>2.45×1287×C</t>
  </si>
  <si>
    <t>1251121958544</t>
  </si>
  <si>
    <t>Thép cuộn cán nóng 2.45x128Y SAE1006</t>
  </si>
  <si>
    <t>1251121958537</t>
  </si>
  <si>
    <t>Thép cuộn cán nóng 2.45x128X SAE1006 II</t>
  </si>
  <si>
    <t>2.45×1282×C</t>
  </si>
  <si>
    <t>1251121958520</t>
  </si>
  <si>
    <t>Thép cuộn cán nóng 2.45x128X SAE1006</t>
  </si>
  <si>
    <t>1251121958513</t>
  </si>
  <si>
    <t>Thép cuộn cán nóng 2.45x127Y SAE1006 II</t>
  </si>
  <si>
    <t>1251121958506</t>
  </si>
  <si>
    <t>Thép cuộn cán nóng 2.45x127Y SAE1006</t>
  </si>
  <si>
    <t>1251121958490</t>
  </si>
  <si>
    <t>Thép cuộn cán nóng 2.45x127X SAE1006 II</t>
  </si>
  <si>
    <t>2.45×1272×C</t>
  </si>
  <si>
    <t>1251121958483</t>
  </si>
  <si>
    <t>Thép cuộn cán nóng 2.45x127X SAE1006</t>
  </si>
  <si>
    <t>1251121958476</t>
  </si>
  <si>
    <t>Thép cuộn cán nóng 2.45x125Y SAE1006 II</t>
  </si>
  <si>
    <t>2.45×1257×C</t>
  </si>
  <si>
    <t>1251121958469</t>
  </si>
  <si>
    <t>Thép cuộn cán nóng 2.45x125Y SAE1006</t>
  </si>
  <si>
    <t>1251121958452</t>
  </si>
  <si>
    <t>Thép cuộn cán nóng 2.45x124Y SAE1006 II</t>
  </si>
  <si>
    <t>2.45×1247×C</t>
  </si>
  <si>
    <t>1251121958445</t>
  </si>
  <si>
    <t>Thép cuộn cán nóng 2.45x124Y SAE1006</t>
  </si>
  <si>
    <t>1251121958438</t>
  </si>
  <si>
    <t>Thép cuộn cán nóng 2.45x124X SAE1006 II</t>
  </si>
  <si>
    <t>2.45×1242×C</t>
  </si>
  <si>
    <t>1251121958421</t>
  </si>
  <si>
    <t>Thép cuộn cán nóng 2.45x124X SAE1006</t>
  </si>
  <si>
    <t>1251121958414</t>
  </si>
  <si>
    <t>Thép cuộn cán nóng 2.00x129Y SAE1006 II</t>
  </si>
  <si>
    <t>2.00×1297×C</t>
  </si>
  <si>
    <t>1251121958407</t>
  </si>
  <si>
    <t>Thép cuộn cán nóng 2.00x129Y SAE1006</t>
  </si>
  <si>
    <t>1251121958391</t>
  </si>
  <si>
    <t>Thép cuộn cán nóng 2.00x129X SAE1006 II</t>
  </si>
  <si>
    <t>2.00×1292×C</t>
  </si>
  <si>
    <t>1251121958384</t>
  </si>
  <si>
    <t>Thép cuộn cán nóng 2.00x129X SAE1006</t>
  </si>
  <si>
    <t>1251121958377</t>
  </si>
  <si>
    <t>Thép cuộn cán nóng 2.00x128Y SAE1006 II</t>
  </si>
  <si>
    <t>2.00×1287×C</t>
  </si>
  <si>
    <t>1251121958360</t>
  </si>
  <si>
    <t>Thép cuộn cán nóng 2.00x128Y SAE1006</t>
  </si>
  <si>
    <t>1251121958353</t>
  </si>
  <si>
    <t>Thép cuộn cán nóng 2.00x127Y SAE1006 II</t>
  </si>
  <si>
    <t>1251121958322</t>
  </si>
  <si>
    <t>Thép cuộn cán nóng 2.00x127Y SAE1006</t>
  </si>
  <si>
    <t>1251121958315</t>
  </si>
  <si>
    <t>Thép cuộn cán nóng 2.00x125Y SAE1006 II</t>
  </si>
  <si>
    <t>1251121958247</t>
  </si>
  <si>
    <t>Thép cuộn cán nóng 2.00x125Y SAE1006</t>
  </si>
  <si>
    <t>1251121958230</t>
  </si>
  <si>
    <t>Thép cuộn cán nóng 2.00x124Y SAE1006 II</t>
  </si>
  <si>
    <t>2.00×1247×C</t>
  </si>
  <si>
    <t>1251121958209</t>
  </si>
  <si>
    <t>Thép cuộn cán nóng 2.00x124Y SAE1006</t>
  </si>
  <si>
    <t>1251121958193</t>
  </si>
  <si>
    <t>Thép cuộn cán nóng 1.78x129Y SAE1006 II</t>
  </si>
  <si>
    <t>1.78×1297×C</t>
  </si>
  <si>
    <t>1251121958124</t>
  </si>
  <si>
    <t>Thép cuộn cán nóng 1.78x129Y SAE1006</t>
  </si>
  <si>
    <t>1251121958117</t>
  </si>
  <si>
    <t>Thép cuộn cán nóng 1.78x129X SAE1006 II</t>
  </si>
  <si>
    <t>1.78×1292×C</t>
  </si>
  <si>
    <t>1251121958100</t>
  </si>
  <si>
    <t>Thép cuộn cán nóng 1.78x129X SAE1006</t>
  </si>
  <si>
    <t>1251121958094</t>
  </si>
  <si>
    <t>Thép cuộn cán nóng 1.78x128Y SAE1006 II</t>
  </si>
  <si>
    <t>1.78×1287×C</t>
  </si>
  <si>
    <t>1251121958087</t>
  </si>
  <si>
    <t>Thép cuộn cán nóng 1.78x128Y SAE1006</t>
  </si>
  <si>
    <t>1251121958070</t>
  </si>
  <si>
    <t>Thép cuộn cán nóng 1.78x128X SAE1006 II</t>
  </si>
  <si>
    <t>1.78×1282×C</t>
  </si>
  <si>
    <t>1251121958063</t>
  </si>
  <si>
    <t>Thép cuộn cán nóng 1.78x128X SAE1006</t>
  </si>
  <si>
    <t>1251121958056</t>
  </si>
  <si>
    <t>Thép cuộn cán nóng 1.78x127Y SAE1006 II</t>
  </si>
  <si>
    <t>1.78×1277×C</t>
  </si>
  <si>
    <t>1251121958049</t>
  </si>
  <si>
    <t>Thép cuộn cán nóng 1.78x127Y SAE1006</t>
  </si>
  <si>
    <t>1251121958032</t>
  </si>
  <si>
    <t>Thép cuộn cán nóng 1.78x127X SAE1006 II</t>
  </si>
  <si>
    <t>1.78×1272×C</t>
  </si>
  <si>
    <t>1251121958025</t>
  </si>
  <si>
    <t>Thép cuộn cán nóng 1.78x127X SAE1006</t>
  </si>
  <si>
    <t>1251121958018</t>
  </si>
  <si>
    <t>Thép cuộn cán nóng 1.78x126Y SAE1006 II</t>
  </si>
  <si>
    <t>1.78×1267×C</t>
  </si>
  <si>
    <t>1251121958001</t>
  </si>
  <si>
    <t>Thép cuộn cán nóng 1.78x126Y SAE1006</t>
  </si>
  <si>
    <t>1251121957998</t>
  </si>
  <si>
    <t>Thép cuộn cán nóng 1.78x125Y SAE1006 II</t>
  </si>
  <si>
    <t>1.78×1257×C</t>
  </si>
  <si>
    <t>1251121957981</t>
  </si>
  <si>
    <t>Thép cuộn cán nóng 1.78x125Y SAE1006</t>
  </si>
  <si>
    <t>1251121957974</t>
  </si>
  <si>
    <t>Thép cuộn cán nóng 1.78x125X SAE1006 II</t>
  </si>
  <si>
    <t>1.78×1252×C</t>
  </si>
  <si>
    <t>1251121957967</t>
  </si>
  <si>
    <t>Thép cuộn cán nóng 1.78x125X SAE1006</t>
  </si>
  <si>
    <t>1251121957950</t>
  </si>
  <si>
    <t>Thép cuộn cán nóng 1.78x124Y SAE1006 II</t>
  </si>
  <si>
    <t>1.78×1247×C</t>
  </si>
  <si>
    <t>1251121957943</t>
  </si>
  <si>
    <t>Thép cuộn cán nóng 1.78x124Y SAE1006</t>
  </si>
  <si>
    <t>1251121957936</t>
  </si>
  <si>
    <t>Thép cuộn cán nóng 1.78x124X SAE1006 II</t>
  </si>
  <si>
    <t>1.78×1242×C</t>
  </si>
  <si>
    <t>1251121957929</t>
  </si>
  <si>
    <t>Thép cuộn cán nóng 1.78x124X SAE1006</t>
  </si>
  <si>
    <t>1251121957912</t>
  </si>
  <si>
    <t>Thép cuộn cán nóng 1.78x123Y SAE1006 II</t>
  </si>
  <si>
    <t>1.78×1237×C</t>
  </si>
  <si>
    <t>1251121957905</t>
  </si>
  <si>
    <t>Thép cuộn cán nóng 1.78x123Y SAE1006</t>
  </si>
  <si>
    <t>1251121957899</t>
  </si>
  <si>
    <t>Thép cuộn cán nóng 1.78x123X SAE1006 II</t>
  </si>
  <si>
    <t>1.78×1232×C</t>
  </si>
  <si>
    <t>1251121957882</t>
  </si>
  <si>
    <t>Thép cuộn cán nóng 1.78x123X SAE1006</t>
  </si>
  <si>
    <t>1251121957875</t>
  </si>
  <si>
    <t>Thép cuộn cán nóng 1.75x129Y SAE1006 II</t>
  </si>
  <si>
    <t>1.75×1297×C</t>
  </si>
  <si>
    <t>1251121957868</t>
  </si>
  <si>
    <t>Thép cuộn cán nóng 1.75x129Y SAE1006</t>
  </si>
  <si>
    <t>1251121957851</t>
  </si>
  <si>
    <t>Thép cuộn cán nóng 1.75x129X SAE1006 II</t>
  </si>
  <si>
    <t>1.75×1292×C</t>
  </si>
  <si>
    <t>1251121957844</t>
  </si>
  <si>
    <t>Thép cuộn cán nóng 1.75x129X SAE1006</t>
  </si>
  <si>
    <t>1251121957837</t>
  </si>
  <si>
    <t>Thép cuộn cán nóng 1.75x128Y SAE1006 II</t>
  </si>
  <si>
    <t>1.75×1287×C</t>
  </si>
  <si>
    <t>1251121957820</t>
  </si>
  <si>
    <t>Thép cuộn cán nóng 1.75x128Y SAE1006</t>
  </si>
  <si>
    <t>1251121957813</t>
  </si>
  <si>
    <t>Thép cuộn cán nóng 1.75x128X SAE1006 II</t>
  </si>
  <si>
    <t>1.75×1282×C</t>
  </si>
  <si>
    <t>1251121957806</t>
  </si>
  <si>
    <t>Thép cuộn cán nóng 1.75x128X SAE1006</t>
  </si>
  <si>
    <t>1251121957790</t>
  </si>
  <si>
    <t>Thép cuộn cán nóng 1.75x127Y SAE1006 II</t>
  </si>
  <si>
    <t>1.75×1277×C</t>
  </si>
  <si>
    <t>1251121957783</t>
  </si>
  <si>
    <t>Thép cuộn cán nóng 1.75x127Y SAE1006</t>
  </si>
  <si>
    <t>1251121957776</t>
  </si>
  <si>
    <t>Thép cuộn cán nóng 1.75x127X SAE1006 II</t>
  </si>
  <si>
    <t>1.75×1272×C</t>
  </si>
  <si>
    <t>1251121957769</t>
  </si>
  <si>
    <t>Thép cuộn cán nóng 1.75x127X SAE1006</t>
  </si>
  <si>
    <t>1251121957752</t>
  </si>
  <si>
    <t>Thép cuộn cán nóng 1.75x126Y SAE1006 II</t>
  </si>
  <si>
    <t>1.75×1267×C</t>
  </si>
  <si>
    <t>1251121957745</t>
  </si>
  <si>
    <t>Thép cuộn cán nóng 1.75x126Y SAE1006</t>
  </si>
  <si>
    <t>1251121957738</t>
  </si>
  <si>
    <t>Thép cuộn cán nóng 1.75x126X SAE1006 II</t>
  </si>
  <si>
    <t>1251121957721</t>
  </si>
  <si>
    <t>Thép cuộn cán nóng 1.75x126X SAE1006</t>
  </si>
  <si>
    <t>1251121957714</t>
  </si>
  <si>
    <t>Thép cuộn cán nóng 1.75x125Y SAE1006 II</t>
  </si>
  <si>
    <t>1.75×1257×C</t>
  </si>
  <si>
    <t>1251121957707</t>
  </si>
  <si>
    <t>Thép cuộn cán nóng 1.75x125Y SAE1006</t>
  </si>
  <si>
    <t>1251121957691</t>
  </si>
  <si>
    <t>Thép cuộn cán nóng 1.75x125X SAE1006 II</t>
  </si>
  <si>
    <t>1251121957684</t>
  </si>
  <si>
    <t>Thép cuộn cán nóng 1.75x125X SAE1006</t>
  </si>
  <si>
    <t>1251121957677</t>
  </si>
  <si>
    <t>Thép cuộn cán nóng 1.75x124Y SAE1006 II</t>
  </si>
  <si>
    <t>1.75×1247×C</t>
  </si>
  <si>
    <t>1251121957660</t>
  </si>
  <si>
    <t>Thép cuộn cán nóng 1.75x124Y SAE1006</t>
  </si>
  <si>
    <t>1251121957653</t>
  </si>
  <si>
    <t>Thép cuộn cán nóng 1.75x124X SAE1006 II</t>
  </si>
  <si>
    <t>1.75×1242×C</t>
  </si>
  <si>
    <t>1251121957646</t>
  </si>
  <si>
    <t>Thép cuộn cán nóng 1.75x124X SAE1006</t>
  </si>
  <si>
    <t>1251121957639</t>
  </si>
  <si>
    <t>Thép cuộn cán nóng 1.75x123Y SAE1006 II</t>
  </si>
  <si>
    <t>1.75×1237×C</t>
  </si>
  <si>
    <t>1251121957622</t>
  </si>
  <si>
    <t>Thép cuộn cán nóng 1.75x123Y SAE1006</t>
  </si>
  <si>
    <t>1251121957615</t>
  </si>
  <si>
    <t>Thép cuộn cán nóng 1.75x123X SAE1006 II</t>
  </si>
  <si>
    <t>1.75×1232×C</t>
  </si>
  <si>
    <t>1251121957608</t>
  </si>
  <si>
    <t>Thép cuộn cán nóng 1.75x123X SAE1006</t>
  </si>
  <si>
    <t>1251121957592</t>
  </si>
  <si>
    <t>Thép cuộn cán nóng 1.48x129Y SAE1006 II</t>
  </si>
  <si>
    <t>1.48×1297×C</t>
  </si>
  <si>
    <t>1251121957585</t>
  </si>
  <si>
    <t>Thép cuộn cán nóng 1.48x129Y SAE1006</t>
  </si>
  <si>
    <t>1251121957578</t>
  </si>
  <si>
    <t>Thép cuộn cán nóng 1.48x129X SAE1006 II</t>
  </si>
  <si>
    <t>1.48×1292×C</t>
  </si>
  <si>
    <t>1251121957561</t>
  </si>
  <si>
    <t>Thép cuộn cán nóng 1.48x129X SAE1006</t>
  </si>
  <si>
    <t>1251121957554</t>
  </si>
  <si>
    <t>Thép cuộn cán nóng 1.48x128Y SAE1006 II</t>
  </si>
  <si>
    <t>1.48×1287×C</t>
  </si>
  <si>
    <t>1251121957547</t>
  </si>
  <si>
    <t>Thép cuộn cán nóng 1.48x128Y SAE1006</t>
  </si>
  <si>
    <t>1251121957530</t>
  </si>
  <si>
    <t>Thép cuộn cán nóng 1.48x128X SAE1006 II</t>
  </si>
  <si>
    <t>1.48×1282×C</t>
  </si>
  <si>
    <t>1251121957523</t>
  </si>
  <si>
    <t>Thép cuộn cán nóng 1.48x128X SAE1006</t>
  </si>
  <si>
    <t>1251121957516</t>
  </si>
  <si>
    <t>Thép cuộn cán nóng 1.48x127Y SAE1006 II</t>
  </si>
  <si>
    <t>1.48×1277×C</t>
  </si>
  <si>
    <t>1251121957509</t>
  </si>
  <si>
    <t>Thép cuộn cán nóng 1.48x127Y SAE1006</t>
  </si>
  <si>
    <t>1251121957493</t>
  </si>
  <si>
    <t>Thép cuộn cán nóng 1.48x127X SAE1006 II</t>
  </si>
  <si>
    <t>1.48×1272×C</t>
  </si>
  <si>
    <t>1251121957486</t>
  </si>
  <si>
    <t>Thép cuộn cán nóng 1.48x127X SAE1006</t>
  </si>
  <si>
    <t>1251121957479</t>
  </si>
  <si>
    <t>Thép cuộn cán nóng 1.48x126Y SAE1006 II</t>
  </si>
  <si>
    <t>1.48×1267×C</t>
  </si>
  <si>
    <t>1251121957462</t>
  </si>
  <si>
    <t>Thép cuộn cán nóng 1.48x126Y SAE1006</t>
  </si>
  <si>
    <t>1251121957455</t>
  </si>
  <si>
    <t>Thép cuộn cán nóng 1.48x125Y SAE1006 II</t>
  </si>
  <si>
    <t>1.48×1257×C</t>
  </si>
  <si>
    <t>1251121957448</t>
  </si>
  <si>
    <t>Thép cuộn cán nóng 1.48x125Y SAE1006</t>
  </si>
  <si>
    <t>1251121957431</t>
  </si>
  <si>
    <t>Thép cuộn cán nóng 1.48x125X SAE1006 II</t>
  </si>
  <si>
    <t>1.48×1252×C</t>
  </si>
  <si>
    <t>1251121957424</t>
  </si>
  <si>
    <t>Thép cuộn cán nóng 1.48x125X SAE1006</t>
  </si>
  <si>
    <t>1251121957417</t>
  </si>
  <si>
    <t>Thép cuộn cán nóng 1.48x124Y SAE1006 II</t>
  </si>
  <si>
    <t>1251121957400</t>
  </si>
  <si>
    <t>Thép cuộn cán nóng 1.45x124X SAE1006 II</t>
  </si>
  <si>
    <t>1.45×1242×C</t>
  </si>
  <si>
    <t>1251121957103</t>
  </si>
  <si>
    <t>Thép cuộn cán nóng 1.45x124X SAE1006</t>
  </si>
  <si>
    <t>1251121957097</t>
  </si>
  <si>
    <t>Thép cuộn cán nóng 1.45x123Y SAE1006 II</t>
  </si>
  <si>
    <t>1.45×1237×C</t>
  </si>
  <si>
    <t>1251121957080</t>
  </si>
  <si>
    <t>Thép cuộn cán nóng 1.45x123Y SAE1006</t>
  </si>
  <si>
    <t>1251121957073</t>
  </si>
  <si>
    <t>Thép cuộn cán nóng 1.45x123X SAE1006 II</t>
  </si>
  <si>
    <t>1251121957066</t>
  </si>
  <si>
    <t>Thép cuộn cán nóng 3.20x120X BjPC II</t>
  </si>
  <si>
    <t>1251121933831</t>
  </si>
  <si>
    <t>Thép cuộn cán nóng 3.20x120X BjPC</t>
  </si>
  <si>
    <t>1251121933824</t>
  </si>
  <si>
    <t>Thép cuộn cán nóng 2.75x151Y SAE1006 II</t>
  </si>
  <si>
    <t>1251121933817</t>
  </si>
  <si>
    <t>Thép cuộn cán nóng 2.75x151Y SAE1006</t>
  </si>
  <si>
    <t>1251121933800</t>
  </si>
  <si>
    <t>Thép cuộn cán nóng 1.85x125X S235JR II</t>
  </si>
  <si>
    <t>1.85×1252×C</t>
  </si>
  <si>
    <t>1251121933794</t>
  </si>
  <si>
    <t>Thép cuộn cán nóng 1.85x125X S235JR</t>
  </si>
  <si>
    <t>1251121933787</t>
  </si>
  <si>
    <t>Thép cuộn cán nóng 3.00x120X BjPC II</t>
  </si>
  <si>
    <t>1251121933770</t>
  </si>
  <si>
    <t>Thép cuộn cán nóng 3.00x120X BjPC</t>
  </si>
  <si>
    <t>1251121933763</t>
  </si>
  <si>
    <t>Thép cuộn cán nóng 11.75x151Y S275JR II</t>
  </si>
  <si>
    <t>11.75×1517×C</t>
  </si>
  <si>
    <t>1251121933756</t>
  </si>
  <si>
    <t>Thép cuộn cán nóng 11.75x151Y S275JR</t>
  </si>
  <si>
    <t>1251121933749</t>
  </si>
  <si>
    <t>Thép cuộn cán nóng 9.75x151Y S275JR II</t>
  </si>
  <si>
    <t>9.75×1517×C</t>
  </si>
  <si>
    <t>1251121933732</t>
  </si>
  <si>
    <t>Thép cuộn cán nóng 9.75x151Y S275JR</t>
  </si>
  <si>
    <t>1251121933725</t>
  </si>
  <si>
    <t>Thép cuộn cán nóng 8.80x151Y S275JR II</t>
  </si>
  <si>
    <t>8.80×1517×C</t>
  </si>
  <si>
    <t>1251121933718</t>
  </si>
  <si>
    <t>Thép cuộn cán nóng 8.80x151Y S275JR</t>
  </si>
  <si>
    <t>1251121933701</t>
  </si>
  <si>
    <t>Thép cuộn cán nóng 7.60x151Y S275JR II</t>
  </si>
  <si>
    <t>7.60×1517×C</t>
  </si>
  <si>
    <t>1251121933695</t>
  </si>
  <si>
    <t>Thép cuộn cán nóng 7.60x151Y S275JR</t>
  </si>
  <si>
    <t>1251121933688</t>
  </si>
  <si>
    <t>Thép cuộn cán nóng 5.75x151Y S275JR II</t>
  </si>
  <si>
    <t>5.75×1517×C</t>
  </si>
  <si>
    <t>1251121933671</t>
  </si>
  <si>
    <t>Thép cuộn cán nóng 5.75x151Y S275JR</t>
  </si>
  <si>
    <t>1251121933664</t>
  </si>
  <si>
    <t>Thép cuộn cán nóng 4.90x151Y S275JR II</t>
  </si>
  <si>
    <t>1251121933657</t>
  </si>
  <si>
    <t>Thép cuộn cán nóng 4.90x151Y S275JR</t>
  </si>
  <si>
    <t>1251121933640</t>
  </si>
  <si>
    <t>Thép cuộn cán nóng 2.85x151Y S275JR II</t>
  </si>
  <si>
    <t>1251121933633</t>
  </si>
  <si>
    <t>Thép cuộn cán nóng 2.85x151Y S275JR</t>
  </si>
  <si>
    <t>1251121933626</t>
  </si>
  <si>
    <t>Thép cuộn cán nóng 11.75x121Y S275JR II</t>
  </si>
  <si>
    <t>11.75×1217×C</t>
  </si>
  <si>
    <t>1251121933619</t>
  </si>
  <si>
    <t>Thép cuộn cán nóng 11.75x121Y S275JR</t>
  </si>
  <si>
    <t>1251121933602</t>
  </si>
  <si>
    <t>Thép cuộn cán nóng 3.60x121Y S275JR II</t>
  </si>
  <si>
    <t>1251121933596</t>
  </si>
  <si>
    <t>Thép cuộn cán nóng 3.60x121Y S275JR</t>
  </si>
  <si>
    <t>1251121933589</t>
  </si>
  <si>
    <t>Thép cuộn cán nóng 2.52x146X S275JR II</t>
  </si>
  <si>
    <t>2.52×1462×C</t>
  </si>
  <si>
    <t>1251121933572</t>
  </si>
  <si>
    <t>Thép cuộn cán nóng 2.52x146X S275JR</t>
  </si>
  <si>
    <t>1251121933565</t>
  </si>
  <si>
    <t>Thép cuộn cán nóng 7.90x151Y S275JR II</t>
  </si>
  <si>
    <t>7.90×1517×C</t>
  </si>
  <si>
    <t>1251121933558</t>
  </si>
  <si>
    <t>Thép cuộn cán nóng 7.90x151Y S275JR</t>
  </si>
  <si>
    <t>1251121933541</t>
  </si>
  <si>
    <t>Thép cuộn cán nóng 6.00x151Y S275JR II</t>
  </si>
  <si>
    <t>6.00×1517×C</t>
  </si>
  <si>
    <t>1251121933534</t>
  </si>
  <si>
    <t>Thép cuộn cán nóng 6.00x151Y S275JR</t>
  </si>
  <si>
    <t>1251121933527</t>
  </si>
  <si>
    <t>Thép cuộn cán nóng 5.00x151Y S275JR II</t>
  </si>
  <si>
    <t>5.00×1517×C</t>
  </si>
  <si>
    <t>1251121933510</t>
  </si>
  <si>
    <t>Thép cuộn cán nóng 5.00x151Y S275JR</t>
  </si>
  <si>
    <t>1251121933503</t>
  </si>
  <si>
    <t>Thép cuộn cán nóng 2.70x133Y S275JR II</t>
  </si>
  <si>
    <t>1251121933497</t>
  </si>
  <si>
    <t>Thép cuộn cán nóng 2.70x133Y S275JR</t>
  </si>
  <si>
    <t>1251121933480</t>
  </si>
  <si>
    <t>Thép cuộn cán nóng 2.48x133Y S275JR II</t>
  </si>
  <si>
    <t>2.48×1337×C</t>
  </si>
  <si>
    <t>1251121933473</t>
  </si>
  <si>
    <t>Thép cuộn cán nóng 2.48x133Y S275JR</t>
  </si>
  <si>
    <t>1251121933466</t>
  </si>
  <si>
    <t>Thép cuộn cán nóng 2.95x151Y S275JR II</t>
  </si>
  <si>
    <t>1251121933459</t>
  </si>
  <si>
    <t>Thép cuộn cán nóng 2.95x151Y S275JR</t>
  </si>
  <si>
    <t>1251121933442</t>
  </si>
  <si>
    <t>Thép cuộn cán nóng 2.93x152X S275JR II</t>
  </si>
  <si>
    <t>1251121933435</t>
  </si>
  <si>
    <t>Thép cuộn cán nóng 2.93x152X S275JR</t>
  </si>
  <si>
    <t>1251121933428</t>
  </si>
  <si>
    <t>Thép cuộn cán nóng 2.65x152X S275JR II</t>
  </si>
  <si>
    <t>1251121933411</t>
  </si>
  <si>
    <t>Thép cuộn cán nóng 2.65x152X S275JR</t>
  </si>
  <si>
    <t>1251121933404</t>
  </si>
  <si>
    <t>Thép cuộn cán nóng 3.90x151Y S275JR II</t>
  </si>
  <si>
    <t>1251121933398</t>
  </si>
  <si>
    <t>Thép cuộn cán nóng 3.90x151Y S275JR</t>
  </si>
  <si>
    <t>1251121933381</t>
  </si>
  <si>
    <t>Thép cuộn cán nóng 2.90x151Y S275JR II</t>
  </si>
  <si>
    <t>1251121933374</t>
  </si>
  <si>
    <t>Thép cuộn cán nóng 2.90x151Y S275JR</t>
  </si>
  <si>
    <t>1251121933367</t>
  </si>
  <si>
    <t>Thép cuộn cán nóng 2.70x151Y S275JR II</t>
  </si>
  <si>
    <t>1251121933350</t>
  </si>
  <si>
    <t>Thép cuộn cán nóng 2.70x151Y S275JR</t>
  </si>
  <si>
    <t>1251121933343</t>
  </si>
  <si>
    <t>Thép cuộn cán nóng 2.45x151Y S275JR II</t>
  </si>
  <si>
    <t>1251121933336</t>
  </si>
  <si>
    <t>Thép cuộn cán nóng 2.45x151Y S275JR</t>
  </si>
  <si>
    <t>1251121933329</t>
  </si>
  <si>
    <t>Thép cuộn cán nóng 3.00x121Y SS400 II</t>
  </si>
  <si>
    <t>1251121933312</t>
  </si>
  <si>
    <t>Thép cuộn cán nóng 3.00x121Y SS400</t>
  </si>
  <si>
    <t>1251121933305</t>
  </si>
  <si>
    <t>Thép cuộn cán nóng 2.25x151Y SPHC II</t>
  </si>
  <si>
    <t>1251121933299</t>
  </si>
  <si>
    <t>Thép cuộn cán nóng 2.25x151Y SPHC</t>
  </si>
  <si>
    <t>1251121933282</t>
  </si>
  <si>
    <t>Thép cuộn cán nóng 2.00x151Y SPHC II</t>
  </si>
  <si>
    <t>1251121933275</t>
  </si>
  <si>
    <t>Thép cuộn cán nóng 2.00x151Y SPHC</t>
  </si>
  <si>
    <t>1251121933268</t>
  </si>
  <si>
    <t>Thép cuộn cán nóng 1.50x121Y SAE1008 II</t>
  </si>
  <si>
    <t>1251121933251</t>
  </si>
  <si>
    <t>Thép cuộn cán nóng 1.50x121Y SAE1008</t>
  </si>
  <si>
    <t>1251121933244</t>
  </si>
  <si>
    <t>Thép cuộn cán nóng 3.30x121Y CS typeB II</t>
  </si>
  <si>
    <t>1251121933237</t>
  </si>
  <si>
    <t>Thép cuộn cán nóng 3.30x121Y CS type B</t>
  </si>
  <si>
    <t>1251121933220</t>
  </si>
  <si>
    <t>Thép cuộn cán nóng 2.55x121Y ASTM A36 II</t>
  </si>
  <si>
    <t>1251121933213</t>
  </si>
  <si>
    <t>Thép cuộn cán nóng 2.55x121Y ASTM A36</t>
  </si>
  <si>
    <t>1251121933206</t>
  </si>
  <si>
    <t>Thép cuộn cán nóng 2.55x152X ASTM A36 II</t>
  </si>
  <si>
    <t>2.55×1522×C</t>
  </si>
  <si>
    <t>1251121933190</t>
  </si>
  <si>
    <t>Thép cuộn cán nóng 2.55x152X ASTM A36</t>
  </si>
  <si>
    <t>1251121933183</t>
  </si>
  <si>
    <t>Thép cuộn cán nóng 3.45x123X SAE1017 II</t>
  </si>
  <si>
    <t>1251121933121</t>
  </si>
  <si>
    <t>Thép cuộn cán nóng 3.45x123X SAE1017</t>
  </si>
  <si>
    <t>1251121933114</t>
  </si>
  <si>
    <t>Thép cuộn cán nóng 2.45x121Y SPHC II</t>
  </si>
  <si>
    <t>1251121933107</t>
  </si>
  <si>
    <t>Thép cuộn cán nóng 2.45x121Y SPHC</t>
  </si>
  <si>
    <t>1251121933091</t>
  </si>
  <si>
    <t>Thép cuộn cán nóng 2.25x121Y SPHC II</t>
  </si>
  <si>
    <t>1251121933084</t>
  </si>
  <si>
    <t>Thép cuộn cán nóng 2.25x121Y SPHC</t>
  </si>
  <si>
    <t>1251121933077</t>
  </si>
  <si>
    <t>Thép cuộn cán nóng 2.45x129X SS400 II</t>
  </si>
  <si>
    <t>1251121933060</t>
  </si>
  <si>
    <t>Thép cuộn cán nóng 2.45x129X SS400</t>
  </si>
  <si>
    <t>1251121933053</t>
  </si>
  <si>
    <t>Thép cuộn cán nóng 2.25x125X SS400 II</t>
  </si>
  <si>
    <t>1251121933046</t>
  </si>
  <si>
    <t>Thép cuộn cán nóng 2.25x125X SS400</t>
  </si>
  <si>
    <t>1251121933039</t>
  </si>
  <si>
    <t>Thép cuộn cán nóng 3.45x127X SAE1006 II</t>
  </si>
  <si>
    <t>1251121933022</t>
  </si>
  <si>
    <t>Thép cuộn cán nóng 3.45x127X SAE1006</t>
  </si>
  <si>
    <t>1251121933015</t>
  </si>
  <si>
    <t>Thép cuộn cán nóng 3.95x120X SAE1006 II</t>
  </si>
  <si>
    <t>1251121933008</t>
  </si>
  <si>
    <t>Thép cuộn cán nóng 3.95x120X SAE1006</t>
  </si>
  <si>
    <t>1251121932995</t>
  </si>
  <si>
    <t>Thép cuộn cán nóng 3.95x101Y SAE1006 II</t>
  </si>
  <si>
    <t>3.95×1017×C</t>
  </si>
  <si>
    <t>1251121932988</t>
  </si>
  <si>
    <t>Thép cuộn cán nóng 3.95x101Y SAE1006</t>
  </si>
  <si>
    <t>1251121932971</t>
  </si>
  <si>
    <t>Thép cuộn cán nóng 3.70x152X SAE1006 II</t>
  </si>
  <si>
    <t>1251121932964</t>
  </si>
  <si>
    <t>Thép cuộn cán nóng 3.70x152X SAE1006</t>
  </si>
  <si>
    <t>1251121932957</t>
  </si>
  <si>
    <t>Thép cuộn cán nóng 2.60x121Y SAE1006 II</t>
  </si>
  <si>
    <t>1251121932940</t>
  </si>
  <si>
    <t>Thép cuộn cán nóng 2.60x121Y SAE1006</t>
  </si>
  <si>
    <t>1251121932933</t>
  </si>
  <si>
    <t>Thép cuộn cán nóng 1.82x121Y SAE1008 II</t>
  </si>
  <si>
    <t>1251121932926</t>
  </si>
  <si>
    <t>Thép cuộn cán nóng 1.82x121Y SAE1008</t>
  </si>
  <si>
    <t>1251121932919</t>
  </si>
  <si>
    <t>Thép cuộn cán nóng 3.51x121Y SAE1008 II</t>
  </si>
  <si>
    <t>3.51×1217×C</t>
  </si>
  <si>
    <t>1251121932902</t>
  </si>
  <si>
    <t>Thép cuộn cán nóng 3.51x121Y SAE1008</t>
  </si>
  <si>
    <t>1251121932896</t>
  </si>
  <si>
    <t>Thép cuộn cán nóng 3.00x111X BjPS II</t>
  </si>
  <si>
    <t>3.00×1112×C</t>
  </si>
  <si>
    <t>1251121932841</t>
  </si>
  <si>
    <t>Thép cuộn cán nóng 3.00x111X BjPS</t>
  </si>
  <si>
    <t>1251121932834</t>
  </si>
  <si>
    <t>Thép cuộn cán nóng 4.85x143X DD11 II</t>
  </si>
  <si>
    <t>4.85×1432×C</t>
  </si>
  <si>
    <t>1251121932827</t>
  </si>
  <si>
    <t>Thép cuộn cán nóng 4.85x143X DD11</t>
  </si>
  <si>
    <t>1251121932810</t>
  </si>
  <si>
    <t>Thép cuộn cán nóng 2.90x140X SPHT1 II</t>
  </si>
  <si>
    <t>2.90×1402×C</t>
  </si>
  <si>
    <t>1251121932803</t>
  </si>
  <si>
    <t>Thép cuộn cán nóng 2.90x140X SPHT1</t>
  </si>
  <si>
    <t>1251121932797</t>
  </si>
  <si>
    <t>Thép cuộn cán nóng 5.80x120X S275JR II</t>
  </si>
  <si>
    <t>5.80×1202×C</t>
  </si>
  <si>
    <t>1251121932780</t>
  </si>
  <si>
    <t>Thép cuộn cán nóng 5.80x120X S275JR</t>
  </si>
  <si>
    <t>1251121932773</t>
  </si>
  <si>
    <t>Thép cuộn cán nóng 3.65x138Y S275JR II</t>
  </si>
  <si>
    <t>3.65×1387×C</t>
  </si>
  <si>
    <t>1251121932766</t>
  </si>
  <si>
    <t>Thép cuộn cán nóng 3.65x138Y S275JR</t>
  </si>
  <si>
    <t>1251121932759</t>
  </si>
  <si>
    <t>Thép cuộn cán nóng 4.10x145Y S275JR II</t>
  </si>
  <si>
    <t>4.10×1457×C</t>
  </si>
  <si>
    <t>1251121932742</t>
  </si>
  <si>
    <t>Thép cuộn cán nóng 4.10x145Y S275JR</t>
  </si>
  <si>
    <t>1251121932735</t>
  </si>
  <si>
    <t>Thép cuộn cán nóng 4.10x126X S275JR II</t>
  </si>
  <si>
    <t>1251121932728</t>
  </si>
  <si>
    <t>Thép cuộn cán nóng 4.10x126X S275JR</t>
  </si>
  <si>
    <t>1251121932711</t>
  </si>
  <si>
    <t>Thép cuộn cán nóng 4.10x133Y S275JR II</t>
  </si>
  <si>
    <t>4.10×1337×C</t>
  </si>
  <si>
    <t>1251121932704</t>
  </si>
  <si>
    <t>Thép cuộn cán nóng 4.10x133Y S275JR</t>
  </si>
  <si>
    <t>1251121932698</t>
  </si>
  <si>
    <t>Thép cuộn cán nóng 3.00x118Y SAE1006 II</t>
  </si>
  <si>
    <t>3.00×1187×C</t>
  </si>
  <si>
    <t>1251121932681</t>
  </si>
  <si>
    <t>Thép cuộn cán nóng 3.00x118Y SAE1006</t>
  </si>
  <si>
    <t>1251121932674</t>
  </si>
  <si>
    <t>Thép cuộn cán nóng 3.20x120Y SAE1006 II</t>
  </si>
  <si>
    <t>3.20×1207×C</t>
  </si>
  <si>
    <t>1251121932667</t>
  </si>
  <si>
    <t>Thép cuộn cán nóng 3.20x120Y SAE1006</t>
  </si>
  <si>
    <t>1251121932650</t>
  </si>
  <si>
    <t>Thép cuộn cán nóng 3.20x127X SAE1006 II</t>
  </si>
  <si>
    <t>3.20×1272×C</t>
  </si>
  <si>
    <t>1251121932643</t>
  </si>
  <si>
    <t>Thép cuộn cán nóng 3.20x127X SAE1006</t>
  </si>
  <si>
    <t>1251121932636</t>
  </si>
  <si>
    <t>Thép cuộn cán nóng 3.20x122X SAE1006 II</t>
  </si>
  <si>
    <t>3.20×1222×C</t>
  </si>
  <si>
    <t>1251121932629</t>
  </si>
  <si>
    <t>Thép cuộn cán nóng 3.20x122X SAE1006</t>
  </si>
  <si>
    <t>1251121932612</t>
  </si>
  <si>
    <t>Thép cuộn cán nóng 2.50x111X SAE1006 II</t>
  </si>
  <si>
    <t>2.50×1112×C</t>
  </si>
  <si>
    <t>1251121932605</t>
  </si>
  <si>
    <t>Thép cuộn cán nóng 2.50x111X SAE1006</t>
  </si>
  <si>
    <t>1251121932599</t>
  </si>
  <si>
    <t>Thép cuộn cán nóng 2.80x115Y SAE1006 II</t>
  </si>
  <si>
    <t>2.80×1157×C</t>
  </si>
  <si>
    <t>1251121932582</t>
  </si>
  <si>
    <t>Thép cuộn cán nóng 2.80x115Y SAE1006</t>
  </si>
  <si>
    <t>1251121932575</t>
  </si>
  <si>
    <t>Thép cuộn cán nóng 3.80x126X SS400 II</t>
  </si>
  <si>
    <t>1251121932568</t>
  </si>
  <si>
    <t>Thép cuộn cán nóng 3.80x126X SS400</t>
  </si>
  <si>
    <t>1251121932551</t>
  </si>
  <si>
    <t>Thép cuộn cán nóng 9.00x152X SS400 II</t>
  </si>
  <si>
    <t>9.00×1522×C</t>
  </si>
  <si>
    <t>1251121932285</t>
  </si>
  <si>
    <t>Thép cuộn cán nóng 9.00x152X SS400</t>
  </si>
  <si>
    <t>1251121932278</t>
  </si>
  <si>
    <t>Thép cuộn cán nóng 6.00x151Y SAE1006 II</t>
  </si>
  <si>
    <t>1251121932254</t>
  </si>
  <si>
    <t>Thép cuộn cán nóng 6.00x151Y SAE1006</t>
  </si>
  <si>
    <t>1251121932247</t>
  </si>
  <si>
    <t>Thép cuộn cán nóng 9.80x151Y SAE1006 II</t>
  </si>
  <si>
    <t>9.80×1517×C</t>
  </si>
  <si>
    <t>1251121932230</t>
  </si>
  <si>
    <t>Thép cuộn cán nóng 9.80x151Y SAE1006</t>
  </si>
  <si>
    <t>1251121932223</t>
  </si>
  <si>
    <t>Thép cuộn cán nóng 1.50x125X SAE1006 II</t>
  </si>
  <si>
    <t>1251121932216</t>
  </si>
  <si>
    <t>Thép cuộn cán nóng 1.50x125X SAE1006</t>
  </si>
  <si>
    <t>1251121932209</t>
  </si>
  <si>
    <t>Thép cuộn cán nóng 1.85x125X SAE1006 II</t>
  </si>
  <si>
    <t>1251121932193</t>
  </si>
  <si>
    <t>Thép cuộn cán nóng 1.85x125X SAE1006</t>
  </si>
  <si>
    <t>1251121932186</t>
  </si>
  <si>
    <t>Thép cuộn cán nóng 4.70x121Y SAE1006 II</t>
  </si>
  <si>
    <t>1251121932179</t>
  </si>
  <si>
    <t>Thép cuộn cán nóng 4.70x121Y SAE1006</t>
  </si>
  <si>
    <t>1251121932162</t>
  </si>
  <si>
    <t>Thép cuộn cán nóng 4.20x121Y SAE1006 II</t>
  </si>
  <si>
    <t>1251121932155</t>
  </si>
  <si>
    <t>Thép cuộn cán nóng 4.20x121Y SAE1006</t>
  </si>
  <si>
    <t>1251121932148</t>
  </si>
  <si>
    <t>Thép cuộn cán nóng 3.70x121Y SAE1006 II</t>
  </si>
  <si>
    <t>1251121932131</t>
  </si>
  <si>
    <t>Thép cuộn cán nóng 3.70x121Y SAE1006</t>
  </si>
  <si>
    <t>1251121932124</t>
  </si>
  <si>
    <t>Thép cuộn cán nóng 2.65x121Y SAE1006 II</t>
  </si>
  <si>
    <t>1251121932117</t>
  </si>
  <si>
    <t>Thép cuộn cán nóng 2.65x121Y SAE1006</t>
  </si>
  <si>
    <t>1251121932100</t>
  </si>
  <si>
    <t>Thép cuộn cán nóng 8.50x1245 S275JR</t>
  </si>
  <si>
    <t>8.50×1245×C</t>
  </si>
  <si>
    <t>1251121904916</t>
  </si>
  <si>
    <t>Thép cuộn cán nóng 11.70x1210 S275JR II</t>
  </si>
  <si>
    <t>11.70×1210×C</t>
  </si>
  <si>
    <t>1251121904909</t>
  </si>
  <si>
    <t>Thép cuộn cán nóng 11.70x1210 S275JR</t>
  </si>
  <si>
    <t>1251121904893</t>
  </si>
  <si>
    <t>Thép cuộn cán nóng 7.80x1210 S275JR II</t>
  </si>
  <si>
    <t>7.80×1210×C</t>
  </si>
  <si>
    <t>1251121904886</t>
  </si>
  <si>
    <t>Thép cuộn cán nóng 7.80x1210 S275JR</t>
  </si>
  <si>
    <t>1251121904879</t>
  </si>
  <si>
    <t>Thép cuộn cán nóng 5.85x1210 S275JR II</t>
  </si>
  <si>
    <t>5.85×1210×C</t>
  </si>
  <si>
    <t>1251121904862</t>
  </si>
  <si>
    <t>Thép cuộn cán nóng 5.85x1210 S275JR</t>
  </si>
  <si>
    <t>1251121904855</t>
  </si>
  <si>
    <t>Thép cuộn cán nóng 5.70x1210 S275JR II</t>
  </si>
  <si>
    <t>5.70×1210×C</t>
  </si>
  <si>
    <t>1251121904848</t>
  </si>
  <si>
    <t>Thép cuộn cán nóng 5.70x1210 S275JR</t>
  </si>
  <si>
    <t>1251121904831</t>
  </si>
  <si>
    <t>Thép cuộn cán nóng 5.50x1210 S275JR II</t>
  </si>
  <si>
    <t>5.50×1210×C</t>
  </si>
  <si>
    <t>1251121904824</t>
  </si>
  <si>
    <t>Thép cuộn cán nóng 5.50x1210 S275JR</t>
  </si>
  <si>
    <t>1251121904817</t>
  </si>
  <si>
    <t>Thép cuộn cán nóng 4.80x1210 S275JR II</t>
  </si>
  <si>
    <t>4.80×1210×C</t>
  </si>
  <si>
    <t>1251121904800</t>
  </si>
  <si>
    <t>Thép cuộn cán nóng 4.80x1210 S275JR</t>
  </si>
  <si>
    <t>1251121904794</t>
  </si>
  <si>
    <t>Thép cuộn cán nóng 4.40x1210 S275JR II</t>
  </si>
  <si>
    <t>1251121904787</t>
  </si>
  <si>
    <t>Thép cuộn cán nóng 4.40x1210 S275JR</t>
  </si>
  <si>
    <t>1251121904770</t>
  </si>
  <si>
    <t>Thép cuộn cán nóng 3.90x1210 S275JR II</t>
  </si>
  <si>
    <t>3.90×1210×C</t>
  </si>
  <si>
    <t>1251121904763</t>
  </si>
  <si>
    <t>Thép cuộn cán nóng 3.90x1210 S275JR</t>
  </si>
  <si>
    <t>1251121904756</t>
  </si>
  <si>
    <t>Thép cuộn cán nóng 2.90x1210 S275JR II</t>
  </si>
  <si>
    <t>2.90×1210×C</t>
  </si>
  <si>
    <t>1251121904749</t>
  </si>
  <si>
    <t>Thép cuộn cán nóng 2.90x1210 S275JR</t>
  </si>
  <si>
    <t>1251121904732</t>
  </si>
  <si>
    <t>Thép cuộn cán nóng 2.70x1210 S275JR II</t>
  </si>
  <si>
    <t>2.70×1210×C</t>
  </si>
  <si>
    <t>1251121904725</t>
  </si>
  <si>
    <t>Thép cuộn cán nóng 2.70x1210 S275JR</t>
  </si>
  <si>
    <t>1251121904718</t>
  </si>
  <si>
    <t>Thép cuộn cán nóng 2.45x1210 S275JR II</t>
  </si>
  <si>
    <t>2.45×1210×C</t>
  </si>
  <si>
    <t>1251121904701</t>
  </si>
  <si>
    <t>Thép cuộn cán nóng 2.45x1210 S275JR</t>
  </si>
  <si>
    <t>1251121904695</t>
  </si>
  <si>
    <t>Thép cuộn cán nóng 9.80x1520 S275JR II</t>
  </si>
  <si>
    <t>9.80×1520×C</t>
  </si>
  <si>
    <t>1251121904688</t>
  </si>
  <si>
    <t>Thép cuộn cán nóng 5.50x1390 S275JR II</t>
  </si>
  <si>
    <t>5.50×1390×C</t>
  </si>
  <si>
    <t>1251121904589</t>
  </si>
  <si>
    <t>Thép cuộn cán nóng 5.50x1390 S275JR</t>
  </si>
  <si>
    <t>1251121904572</t>
  </si>
  <si>
    <t>Thép cuộn cán nóng 5.50x1460 S275JR II</t>
  </si>
  <si>
    <t>5.50×1460×C</t>
  </si>
  <si>
    <t>1251121904565</t>
  </si>
  <si>
    <t>Thép cuộn cán nóng 5.50x1460 S275JR</t>
  </si>
  <si>
    <t>1251121904558</t>
  </si>
  <si>
    <t>Thép cuộn cán nóng 4.10x1390 S275JR II</t>
  </si>
  <si>
    <t>4.10×1390×C</t>
  </si>
  <si>
    <t>1251121904541</t>
  </si>
  <si>
    <t>Thép cuộn cán nóng 4.10x1390 S275JR</t>
  </si>
  <si>
    <t>1251121904534</t>
  </si>
  <si>
    <t>Thép cuộn cán nóng 2.70x1360 S275JR II</t>
  </si>
  <si>
    <t>2.70×1360×C</t>
  </si>
  <si>
    <t>1251121904527</t>
  </si>
  <si>
    <t>Thép cuộn cán nóng 2.70x1360 S275JR</t>
  </si>
  <si>
    <t>1251121904510</t>
  </si>
  <si>
    <t>Thép cuộn cán nóng 2.80x1240 SAE1006</t>
  </si>
  <si>
    <t>2.80×1240×C</t>
  </si>
  <si>
    <t>1251121903162</t>
  </si>
  <si>
    <t>Thép cuộn cán nóng 2.00x1240 SAE1006 II</t>
  </si>
  <si>
    <t>1251121903155</t>
  </si>
  <si>
    <t>Thép cuộn cán nóng 2.00x1240 SAE1006</t>
  </si>
  <si>
    <t>1251121903148</t>
  </si>
  <si>
    <t>Thép cuộn cán nóng 2.50x1180 SAE1006 II</t>
  </si>
  <si>
    <t>2.50×1180×C</t>
  </si>
  <si>
    <t>1251121903131</t>
  </si>
  <si>
    <t>Thép cuộn cán nóng 2.50x1180 SAE1006</t>
  </si>
  <si>
    <t>1251121903124</t>
  </si>
  <si>
    <t>Thép cuộn cán nóng 2.30x1180 SAE1006 II</t>
  </si>
  <si>
    <t>2.30×1180×C</t>
  </si>
  <si>
    <t>1251121903117</t>
  </si>
  <si>
    <t>Thép cuộn cán nóng 2.30x1180 SAE1006</t>
  </si>
  <si>
    <t>1251121903100</t>
  </si>
  <si>
    <t>Thép cuộn cán nóng 2.30x930 SAE1006 II</t>
  </si>
  <si>
    <t>2.30×930×C</t>
  </si>
  <si>
    <t>1251121903094</t>
  </si>
  <si>
    <t>Thép cuộn cán nóng 2.30x930 SAE1006</t>
  </si>
  <si>
    <t>1251121903087</t>
  </si>
  <si>
    <t>Thép cuộn cán nóng 2.29x1219 SAE1008 II</t>
  </si>
  <si>
    <t>2.29×1219×C</t>
  </si>
  <si>
    <t>1251121903070</t>
  </si>
  <si>
    <t>Thép cuộn cán nóng 2.29x1219 SAE1008</t>
  </si>
  <si>
    <t>1251121903063</t>
  </si>
  <si>
    <t>Thép cuộn cán nóng 3.51x1219 SAE1008 II</t>
  </si>
  <si>
    <t>1251121903056</t>
  </si>
  <si>
    <t>Thép cuộn cán nóng 3.51x1219 SAE1008</t>
  </si>
  <si>
    <t>1251121903049</t>
  </si>
  <si>
    <t>Thép cuộn cán nóng 3.79x1219 SAE1008 II</t>
  </si>
  <si>
    <t>3.79×1219×C</t>
  </si>
  <si>
    <t>1251121903032</t>
  </si>
  <si>
    <t>Thép cuộn cán nóng 3.79x1219 SAE1008</t>
  </si>
  <si>
    <t>1251121903025</t>
  </si>
  <si>
    <t>Thép cuộn cán nóng 5.00x1110 SAE1008 II</t>
  </si>
  <si>
    <t>5.00×1110×C</t>
  </si>
  <si>
    <t>1251121903018</t>
  </si>
  <si>
    <t>Thép cuộn cán nóng 5.00x1110 SAE1008</t>
  </si>
  <si>
    <t>1251121903001</t>
  </si>
  <si>
    <t>Thép cuộn cán nóng 5.59x1073 SAE1008 II</t>
  </si>
  <si>
    <t>5.59×1073×C</t>
  </si>
  <si>
    <t>1251121902998</t>
  </si>
  <si>
    <t>Thép cuộn cán nóng 5.59x1073 SAE1008</t>
  </si>
  <si>
    <t>1251121902981</t>
  </si>
  <si>
    <t>Thép cuộn cán nóng 2.60x1219 SAE1008 II</t>
  </si>
  <si>
    <t>1251121902974</t>
  </si>
  <si>
    <t>Thép cuộn cán nóng 2.60x1219 SAE1008</t>
  </si>
  <si>
    <t>1251121902967</t>
  </si>
  <si>
    <t>Thép cuộn cán nóng 1.83x1219 SAE1008 II</t>
  </si>
  <si>
    <t>1251121902950</t>
  </si>
  <si>
    <t>Thép cuộn cán nóng 1.83x1219 SAE1008</t>
  </si>
  <si>
    <t>1251121902943</t>
  </si>
  <si>
    <t>Thép cuộn cán nóng 1.52x1219 SAE1008 II</t>
  </si>
  <si>
    <t>1251121902936</t>
  </si>
  <si>
    <t>Thép cuộn cán nóng 1.52x1219 SAE1008</t>
  </si>
  <si>
    <t>1251121902929</t>
  </si>
  <si>
    <t>Thép cuộn cán nóng 1.50x1219 CS typeB II</t>
  </si>
  <si>
    <t>1251121902912</t>
  </si>
  <si>
    <t>Thép cuộn cán nóng 1.50x1219 CS type B</t>
  </si>
  <si>
    <t>1251121902905</t>
  </si>
  <si>
    <t>Thép cuộn cán nóng 1.87x1219 CS typeB II</t>
  </si>
  <si>
    <t>1.87×1219×C</t>
  </si>
  <si>
    <t>1251121902899</t>
  </si>
  <si>
    <t>Thép cuộn cán nóng 1.87x1219 CS type B</t>
  </si>
  <si>
    <t>1251121902882</t>
  </si>
  <si>
    <t>Thép cuộn cán nóng 1.87x914 CS typeB II</t>
  </si>
  <si>
    <t>1.87×914×C</t>
  </si>
  <si>
    <t>1251121902875</t>
  </si>
  <si>
    <t>Thép cuộn cán nóng 1.87x914 CS type B</t>
  </si>
  <si>
    <t>1251121902868</t>
  </si>
  <si>
    <t>Thép cuộn cán nóng 2.63x1524 CS typeB II</t>
  </si>
  <si>
    <t>2.63×1524×C</t>
  </si>
  <si>
    <t>1251121902851</t>
  </si>
  <si>
    <t>Thép cuộn cán nóng 2.63x1524 CS type B</t>
  </si>
  <si>
    <t>1251121902844</t>
  </si>
  <si>
    <t>Thép cuộn cán nóng 2.63x1219 CS typeB II</t>
  </si>
  <si>
    <t>2.63×1219×C</t>
  </si>
  <si>
    <t>1251121902837</t>
  </si>
  <si>
    <t>Thép cuộn cán nóng 2.63x1219 CS type B</t>
  </si>
  <si>
    <t>1251121902820</t>
  </si>
  <si>
    <t>Thép cuộn cán nóng 3.60x1500 S235JR II</t>
  </si>
  <si>
    <t>3.60×1500×C</t>
  </si>
  <si>
    <t>1251121902813</t>
  </si>
  <si>
    <t>Thép cuộn cán nóng 3.60x1500 S235JR</t>
  </si>
  <si>
    <t>1251121902806</t>
  </si>
  <si>
    <t>Thép cuộn cán nóng 2.68x1500 S235JR II</t>
  </si>
  <si>
    <t>2.68×1500×C</t>
  </si>
  <si>
    <t>1251121902790</t>
  </si>
  <si>
    <t>Thép cuộn cán nóng 2.68x1500 S235JR</t>
  </si>
  <si>
    <t>1251121902783</t>
  </si>
  <si>
    <t>Thép cuộn cán nóng 2.60x1500 S235JR II</t>
  </si>
  <si>
    <t>2.60×1500×C</t>
  </si>
  <si>
    <t>1251121902776</t>
  </si>
  <si>
    <t>Thép cuộn cán nóng 2.60x1500 S235JR</t>
  </si>
  <si>
    <t>1251121902769</t>
  </si>
  <si>
    <t>Thép cuộn cán nóng 2.65x1500 S235JR II</t>
  </si>
  <si>
    <t>2.65×1500×C</t>
  </si>
  <si>
    <t>1251121902752</t>
  </si>
  <si>
    <t>Thép cuộn cán nóng 2.65x1500 S235JR</t>
  </si>
  <si>
    <t>1251121902745</t>
  </si>
  <si>
    <t>Thép cuộn cán nóng 1.75x1250 S235JR II</t>
  </si>
  <si>
    <t>1251121902738</t>
  </si>
  <si>
    <t>Thép cuộn cán nóng 1.75x1250 S235JR</t>
  </si>
  <si>
    <t>1251121902721</t>
  </si>
  <si>
    <t>Thép cuộn cán nóng 6.00x1500 S355JR II</t>
  </si>
  <si>
    <t>1251121902714</t>
  </si>
  <si>
    <t>Thép cuộn cán nóng 6.00x1500 S355JR</t>
  </si>
  <si>
    <t>1251121902707</t>
  </si>
  <si>
    <t>Thép cuộn cán nóng 5.00x1500 S355JR II</t>
  </si>
  <si>
    <t>1251121902691</t>
  </si>
  <si>
    <t>Thép cuộn cán nóng 5.00x1500 S355JR</t>
  </si>
  <si>
    <t>1251121902684</t>
  </si>
  <si>
    <t>Thép cuộn cán nóng 3.65x1500 S355JR II</t>
  </si>
  <si>
    <t>3.65×1500×C</t>
  </si>
  <si>
    <t>1251121902677</t>
  </si>
  <si>
    <t>Thép cuộn cán nóng 3.65x1500 S355JR</t>
  </si>
  <si>
    <t>1251121902660</t>
  </si>
  <si>
    <t>Thép cuộn cán nóng 2.75x1500 S355JR II</t>
  </si>
  <si>
    <t>2.75×1500×C</t>
  </si>
  <si>
    <t>1251121902653</t>
  </si>
  <si>
    <t>Thép cuộn cán nóng 2.75x1500 S355JR</t>
  </si>
  <si>
    <t>1251121902646</t>
  </si>
  <si>
    <t>Thép cuộn cán nóng 1.75x1000 S235JR II</t>
  </si>
  <si>
    <t>1.75×1000×C</t>
  </si>
  <si>
    <t>1251121902639</t>
  </si>
  <si>
    <t>Thép cuộn cán nóng 1.75x1000 S235JR</t>
  </si>
  <si>
    <t>1251121902622</t>
  </si>
  <si>
    <t>Thép cuộn cán nóng 2.20x1000 S235JR II</t>
  </si>
  <si>
    <t>2.20×1000×C</t>
  </si>
  <si>
    <t>1251121902615</t>
  </si>
  <si>
    <t>Thép cuộn cán nóng 2.20x1000 S235JR</t>
  </si>
  <si>
    <t>1251121902608</t>
  </si>
  <si>
    <t>Thép cuộn cán nóng 2.20x1500 S235JR II</t>
  </si>
  <si>
    <t>2.20×1500×C</t>
  </si>
  <si>
    <t>1251121902592</t>
  </si>
  <si>
    <t>Thép cuộn cán nóng 2.20x1500 S235JR</t>
  </si>
  <si>
    <t>1251121902585</t>
  </si>
  <si>
    <t>Thép cuộn cán nóng 2.20x1250 S235JR II</t>
  </si>
  <si>
    <t>2.20×1250×C</t>
  </si>
  <si>
    <t>1251121902578</t>
  </si>
  <si>
    <t>Thép cuộn cán nóng 2.20x1250 S235JR</t>
  </si>
  <si>
    <t>1251121902561</t>
  </si>
  <si>
    <t>Thép cuộn cán nóng 2.45x1450 SAE1006 II</t>
  </si>
  <si>
    <t>2.45×1450×C</t>
  </si>
  <si>
    <t>1251121902356</t>
  </si>
  <si>
    <t>Thép cuộn cán nóng 2.45x1450 SAE1006</t>
  </si>
  <si>
    <t>1251121902349</t>
  </si>
  <si>
    <t>Thép cuộn cán nóng 3.65x1250 S275JR II</t>
  </si>
  <si>
    <t>1251121902301</t>
  </si>
  <si>
    <t>Thép cuộn cán nóng 3.65x1250 S275JR</t>
  </si>
  <si>
    <t>1251121902295</t>
  </si>
  <si>
    <t>Thép cuộn cán nóng 2.80x1250 S275JR II</t>
  </si>
  <si>
    <t>2.80×1250×C</t>
  </si>
  <si>
    <t>1251121902288</t>
  </si>
  <si>
    <t>Thép cuộn cán nóng 2.80x1250 S275JR</t>
  </si>
  <si>
    <t>1251121902271</t>
  </si>
  <si>
    <t>Thép cuộn cán nóng 3.65x1000 S275JR II</t>
  </si>
  <si>
    <t>3.65×1000×C</t>
  </si>
  <si>
    <t>1251121902264</t>
  </si>
  <si>
    <t>Thép cuộn cán nóng 3.65x1000 S275JR</t>
  </si>
  <si>
    <t>1251121902257</t>
  </si>
  <si>
    <t>Thép cuộn cán nóng 2.80x1000 S275JR II</t>
  </si>
  <si>
    <t>2.80×1000×C</t>
  </si>
  <si>
    <t>1251121902240</t>
  </si>
  <si>
    <t>Thép cuộn cán nóng 2.80x1000 S275JR</t>
  </si>
  <si>
    <t>1251121902233</t>
  </si>
  <si>
    <t>Thép cuộn cán nóng 3.65x1500 S275JR II</t>
  </si>
  <si>
    <t>1251121902226</t>
  </si>
  <si>
    <t>Thép cuộn cán nóng 3.65x1500 S275JR</t>
  </si>
  <si>
    <t>1251121902219</t>
  </si>
  <si>
    <t>Thép cuộn cán nóng 2.00x1500 S275JR II</t>
  </si>
  <si>
    <t>2.00×1500×C</t>
  </si>
  <si>
    <t>1251121902202</t>
  </si>
  <si>
    <t>Thép cuộn cán nóng 2.00x1500 S275JR</t>
  </si>
  <si>
    <t>1251121902196</t>
  </si>
  <si>
    <t>Thép cuộn cán nóng 3.30x1500 S275JR II</t>
  </si>
  <si>
    <t>3.30×1500×C</t>
  </si>
  <si>
    <t>1251121902189</t>
  </si>
  <si>
    <t>Thép cuộn cán nóng 3.30x1500 S275JR</t>
  </si>
  <si>
    <t>1251121902172</t>
  </si>
  <si>
    <t>Thép cuộn cán nóng 5.50x1500 S275JR II</t>
  </si>
  <si>
    <t>5.50×1500×C</t>
  </si>
  <si>
    <t>1251121902165</t>
  </si>
  <si>
    <t>Thép cuộn cán nóng 5.50x1500 S275JR</t>
  </si>
  <si>
    <t>1251121902158</t>
  </si>
  <si>
    <t>Thép cuộn cán nóng 4.60x1504 S275JR II</t>
  </si>
  <si>
    <t>4.60×1504×C</t>
  </si>
  <si>
    <t>1251121902141</t>
  </si>
  <si>
    <t>Thép cuộn cán nóng 4.60x1504 S275JR</t>
  </si>
  <si>
    <t>1251121902134</t>
  </si>
  <si>
    <t>Thép cuộn cán nóng 3.65x1409 S275JR II</t>
  </si>
  <si>
    <t>3.65×1409×C</t>
  </si>
  <si>
    <t>1251121902127</t>
  </si>
  <si>
    <t>Thép cuộn cán nóng 3.65x1409 S275JR</t>
  </si>
  <si>
    <t>1251121902110</t>
  </si>
  <si>
    <t>Thép cuộn cán nóng 2.90x1395 SS400 II</t>
  </si>
  <si>
    <t>2.90×1395×C</t>
  </si>
  <si>
    <t>1251121902066</t>
  </si>
  <si>
    <t>Thép cuộn cán nóng 2.90x1395 SS400</t>
  </si>
  <si>
    <t>1251121902059</t>
  </si>
  <si>
    <t>Thép cuộn cán nóng 3.20x1520 SS400 II</t>
  </si>
  <si>
    <t>3.20×1520×C</t>
  </si>
  <si>
    <t>1251121902042</t>
  </si>
  <si>
    <t>Thép cuộn cán nóng 3.20x1520 SS400</t>
  </si>
  <si>
    <t>1251121902035</t>
  </si>
  <si>
    <t>Thép cuộn cán nóng 3.00x1520 SS400 II</t>
  </si>
  <si>
    <t>1251121902028</t>
  </si>
  <si>
    <t>Thép cuộn cán nóng 3.00x1520 SS400</t>
  </si>
  <si>
    <t>1251121902011</t>
  </si>
  <si>
    <t>Thép cuộn cán nóng 3.90x1395 SS400 II</t>
  </si>
  <si>
    <t>3.90×1395×C</t>
  </si>
  <si>
    <t>1251121902004</t>
  </si>
  <si>
    <t>Thép cuộn cán nóng 3.90x1395 SS400</t>
  </si>
  <si>
    <t>1251121901991</t>
  </si>
  <si>
    <t>Thép cuộn cán nóng 2.85x1395 SS400 II</t>
  </si>
  <si>
    <t>2.85×1395×C</t>
  </si>
  <si>
    <t>1251121901984</t>
  </si>
  <si>
    <t>Thép cuộn cán nóng 2.85x1395 SS400</t>
  </si>
  <si>
    <t>1251121901977</t>
  </si>
  <si>
    <t>Thép cuộn cán nóng 4.40x1410 SS400 II</t>
  </si>
  <si>
    <t>4.40×1410×C</t>
  </si>
  <si>
    <t>1251121901960</t>
  </si>
  <si>
    <t>Thép cuộn cán nóng 4.40x1410 SS400</t>
  </si>
  <si>
    <t>1251121901953</t>
  </si>
  <si>
    <t>Thép cuộn cán nóng 4.80x1340 S275JR II</t>
  </si>
  <si>
    <t>4.80×1340×C</t>
  </si>
  <si>
    <t>1251121901946</t>
  </si>
  <si>
    <t>Thép cuộn cán nóng 4.80x1340 S275JR</t>
  </si>
  <si>
    <t>1251121901939</t>
  </si>
  <si>
    <t>Thép cuộn cán nóng 4.30x1340 S275JR II</t>
  </si>
  <si>
    <t>4.30×1340×C</t>
  </si>
  <si>
    <t>1251121901922</t>
  </si>
  <si>
    <t>Thép cuộn cán nóng 4.30x1340 S275JR</t>
  </si>
  <si>
    <t>1251121901915</t>
  </si>
  <si>
    <t>Thép cuộn cán nóng 2.45x1445 S275JR II</t>
  </si>
  <si>
    <t>2.45×1445×C</t>
  </si>
  <si>
    <t>1251121901908</t>
  </si>
  <si>
    <t>Thép cuộn cán nóng 2.45x1445 S275JR</t>
  </si>
  <si>
    <t>1251121901892</t>
  </si>
  <si>
    <t>Thép cuộn cán nóng 3.55x1520 S275JR II</t>
  </si>
  <si>
    <t>3.55×1520×C</t>
  </si>
  <si>
    <t>1251121901885</t>
  </si>
  <si>
    <t>Thép cuộn cán nóng 3.55x1520 S275JR</t>
  </si>
  <si>
    <t>1251121901878</t>
  </si>
  <si>
    <t>Thép cuộn cán nóng 4.00x1520 S275JR II</t>
  </si>
  <si>
    <t>1251121901861</t>
  </si>
  <si>
    <t>Thép cuộn cán nóng 4.00x1520 S275JR</t>
  </si>
  <si>
    <t>1251121901854</t>
  </si>
  <si>
    <t>Thép cuộn cán nóng 3.20x1520 S275JR II</t>
  </si>
  <si>
    <t>1251121901847</t>
  </si>
  <si>
    <t>Thép cuộn cán nóng 3.20x1520 S275JR</t>
  </si>
  <si>
    <t>1251121901830</t>
  </si>
  <si>
    <t>Thép cuộn cán nóng 4.90x1520 S275JR II</t>
  </si>
  <si>
    <t>4.90×1520×C</t>
  </si>
  <si>
    <t>1251121901823</t>
  </si>
  <si>
    <t>Thép cuộn cán nóng 4.90x1520 S275JR</t>
  </si>
  <si>
    <t>1251121901816</t>
  </si>
  <si>
    <t>Thép cuộn cán nóng 4.90x1340 S275JR II</t>
  </si>
  <si>
    <t>4.90×1340×C</t>
  </si>
  <si>
    <t>1251121901809</t>
  </si>
  <si>
    <t>Thép cuộn cán nóng 4.90x1340 S275JR</t>
  </si>
  <si>
    <t>1251121901793</t>
  </si>
  <si>
    <t>Thép cuộn cán nóng 4.60x1340 S275JR II</t>
  </si>
  <si>
    <t>4.60×1340×C</t>
  </si>
  <si>
    <t>1251121901786</t>
  </si>
  <si>
    <t>Thép cuộn cán nóng 4.60x1340 S275JR</t>
  </si>
  <si>
    <t>1251121901779</t>
  </si>
  <si>
    <t>Thép cuộn cán nóng 4.40x1340 S275JR II</t>
  </si>
  <si>
    <t>4.40×1340×C</t>
  </si>
  <si>
    <t>1251121901762</t>
  </si>
  <si>
    <t>Thép cuộn cán nóng 4.40x1340 S275JR</t>
  </si>
  <si>
    <t>1251121901755</t>
  </si>
  <si>
    <t>Thép cuộn cán nóng 2.75x1000 S235JR II</t>
  </si>
  <si>
    <t>2.75×1000×C</t>
  </si>
  <si>
    <t>1251121901748</t>
  </si>
  <si>
    <t>Thép cuộn cán nóng 2.75x1000 S235JR</t>
  </si>
  <si>
    <t>1251121901731</t>
  </si>
  <si>
    <t>Thép cuộn cán nóng 3.80x1000 S235JR II</t>
  </si>
  <si>
    <t>3.80×1000×C</t>
  </si>
  <si>
    <t>1251121901724</t>
  </si>
  <si>
    <t>Thép cuộn cán nóng 3.80x1000 S235JR</t>
  </si>
  <si>
    <t>1251121901717</t>
  </si>
  <si>
    <t>Thép cuộn cán nóng 2.40x1000 S235JR II</t>
  </si>
  <si>
    <t>2.40×1000×C</t>
  </si>
  <si>
    <t>1251121901700</t>
  </si>
  <si>
    <t>Thép cuộn cán nóng 2.40x1000 S235JR</t>
  </si>
  <si>
    <t>1251121901694</t>
  </si>
  <si>
    <t>Thép cuộn cán nóng 1.90x1000 S235JR II</t>
  </si>
  <si>
    <t>1.90×1000×C</t>
  </si>
  <si>
    <t>1251121901687</t>
  </si>
  <si>
    <t>Thép cuộn cán nóng 1.90x1000 S235JR</t>
  </si>
  <si>
    <t>1251121901670</t>
  </si>
  <si>
    <t>Thép cuộn cán nóng 5.80x1000 S235JR II</t>
  </si>
  <si>
    <t>5.80×1000×C</t>
  </si>
  <si>
    <t>1251121901663</t>
  </si>
  <si>
    <t>Thép cuộn cán nóng 5.80x1000 S235JR</t>
  </si>
  <si>
    <t>1251121901656</t>
  </si>
  <si>
    <t>Thép cuộn cán nóng 4.80x1000 S235JR II</t>
  </si>
  <si>
    <t>4.80×1000×C</t>
  </si>
  <si>
    <t>1251121901649</t>
  </si>
  <si>
    <t>Thép cuộn cán nóng 4.80x1000 S235JR</t>
  </si>
  <si>
    <t>1251121901632</t>
  </si>
  <si>
    <t>Thép cuộn cán nóng 4.50x1500 S235JR II</t>
  </si>
  <si>
    <t>4.50×1500×C</t>
  </si>
  <si>
    <t>1251121901625</t>
  </si>
  <si>
    <t>Thép cuộn cán nóng 4.50x1500 S235JR</t>
  </si>
  <si>
    <t>1251121901618</t>
  </si>
  <si>
    <t>Thép cuộn cán nóng 3.50x1500 S235JR II</t>
  </si>
  <si>
    <t>3.50×1500×C</t>
  </si>
  <si>
    <t>1251121901601</t>
  </si>
  <si>
    <t>Thép cuộn cán nóng 3.50x1500 S235JR</t>
  </si>
  <si>
    <t>1251121901595</t>
  </si>
  <si>
    <t>Thép cuộn cán nóng 5.80x1500 S235JR II</t>
  </si>
  <si>
    <t>5.80×1500×C</t>
  </si>
  <si>
    <t>1251121901588</t>
  </si>
  <si>
    <t>Thép cuộn cán nóng 5.80x1500 S235JR</t>
  </si>
  <si>
    <t>1251121901571</t>
  </si>
  <si>
    <t>Thép cuộn cán nóng 4.80x1500 S235JR II</t>
  </si>
  <si>
    <t>4.80×1500×C</t>
  </si>
  <si>
    <t>1251121901564</t>
  </si>
  <si>
    <t>Thép cuộn cán nóng 4.80x1500 S235JR</t>
  </si>
  <si>
    <t>1251121901557</t>
  </si>
  <si>
    <t>Thép cuộn cán nóng 3.80x1500 S235JR II</t>
  </si>
  <si>
    <t>3.80×1500×C</t>
  </si>
  <si>
    <t>1251121901540</t>
  </si>
  <si>
    <t>Thép cuộn cán nóng 3.80x1500 S235JR</t>
  </si>
  <si>
    <t>1251121901533</t>
  </si>
  <si>
    <t>Thép cuộn cán nóng 2.75x1500 S235JR II</t>
  </si>
  <si>
    <t>1251121901526</t>
  </si>
  <si>
    <t>Thép cuộn cán nóng 2.75x1500 S235JR</t>
  </si>
  <si>
    <t>1251121901519</t>
  </si>
  <si>
    <t>Thép cuộn cán nóng 2.85x1500 S235JR II</t>
  </si>
  <si>
    <t>2.85×1500×C</t>
  </si>
  <si>
    <t>1251121901502</t>
  </si>
  <si>
    <t>Thép cuộn cán nóng 2.85x1500 S235JR</t>
  </si>
  <si>
    <t>1251121901496</t>
  </si>
  <si>
    <t>Thép cuộn cán nóng 3.40x1500 S235JR II</t>
  </si>
  <si>
    <t>3.40×1500×C</t>
  </si>
  <si>
    <t>1251121901489</t>
  </si>
  <si>
    <t>Thép cuộn cán nóng 3.40x1500 S235JR</t>
  </si>
  <si>
    <t>1251121901472</t>
  </si>
  <si>
    <t>Thép cuộn cán nóng 3.20x1500 S235JR II</t>
  </si>
  <si>
    <t>3.20×1500×C</t>
  </si>
  <si>
    <t>1251121901465</t>
  </si>
  <si>
    <t>Thép cuộn cán nóng 3.20x1500 S235JR</t>
  </si>
  <si>
    <t>1251121901458</t>
  </si>
  <si>
    <t>Thép cuộn cán nóng 2.40x1250 S235JR II</t>
  </si>
  <si>
    <t>2.40×1250×C</t>
  </si>
  <si>
    <t>1251121901441</t>
  </si>
  <si>
    <t>Thép cuộn cán nóng 2.40x1250 S235JR</t>
  </si>
  <si>
    <t>1251121901434</t>
  </si>
  <si>
    <t>Thép cuộn cán nóng 3.20x1250 S235JR II</t>
  </si>
  <si>
    <t>3.20×1250×C</t>
  </si>
  <si>
    <t>1251121901427</t>
  </si>
  <si>
    <t>Thép cuộn cán nóng 3.20x1250 S235JR</t>
  </si>
  <si>
    <t>1251121901410</t>
  </si>
  <si>
    <t>Thép cuộn cán nóng 2.50x1290 S235JR II</t>
  </si>
  <si>
    <t>1251121901403</t>
  </si>
  <si>
    <t>Thép cuộn cán nóng 2.50x1290 S235JR</t>
  </si>
  <si>
    <t>1251121901397</t>
  </si>
  <si>
    <t>Thép cuộn cán nóng 2.45x1254 SAE1006 II</t>
  </si>
  <si>
    <t>2.45×1254×C</t>
  </si>
  <si>
    <t>1251121901380</t>
  </si>
  <si>
    <t>Thép cuộn cán nóng 2.45x1254 SAE1006</t>
  </si>
  <si>
    <t>1251121901373</t>
  </si>
  <si>
    <t>Thép cuộn cán nóng 3.80x1266 SAE1006 II</t>
  </si>
  <si>
    <t>3.80×1266×C</t>
  </si>
  <si>
    <t>1251121901366</t>
  </si>
  <si>
    <t>Thép cuộn cán nóng 3.80x1266 SAE1006</t>
  </si>
  <si>
    <t>1251121901359</t>
  </si>
  <si>
    <t>Thép cuộn cán nóng 3.50x1270 SAE1006 II</t>
  </si>
  <si>
    <t>3.50×1270×C</t>
  </si>
  <si>
    <t>1251121901342</t>
  </si>
  <si>
    <t>Thép cuộn cán nóng 3.50x1270 SAE1006</t>
  </si>
  <si>
    <t>1251121901335</t>
  </si>
  <si>
    <t>Thép cuộn cán nóng 2.75x1215 SAE1006 II</t>
  </si>
  <si>
    <t>2.75×1215×C</t>
  </si>
  <si>
    <t>1251121901328</t>
  </si>
  <si>
    <t>Thép cuộn cán nóng 2.75x1215 SAE1006</t>
  </si>
  <si>
    <t>1251121901311</t>
  </si>
  <si>
    <t>Thép cuộn cán nóng 2.50x1215 SAE1006 II</t>
  </si>
  <si>
    <t>2.50×1215×C</t>
  </si>
  <si>
    <t>1251121901304</t>
  </si>
  <si>
    <t>Thép cuộn cán nóng 2.50x1215 SAE1006</t>
  </si>
  <si>
    <t>1251121901298</t>
  </si>
  <si>
    <t>Thép cuộn cán nóng 2.30x1215 SAE1006 II</t>
  </si>
  <si>
    <t>2.30×1215×C</t>
  </si>
  <si>
    <t>1251121901281</t>
  </si>
  <si>
    <t>Thép cuộn cán nóng 2.30x1215 SAE1006</t>
  </si>
  <si>
    <t>1251121901274</t>
  </si>
  <si>
    <t>Thép cuộn cán nóng 1.90x1250 SAE1006 II</t>
  </si>
  <si>
    <t>1.90×1250×C</t>
  </si>
  <si>
    <t>1251121901267</t>
  </si>
  <si>
    <t>Thép cuộn cán nóng 1.90x1250 SAE1006</t>
  </si>
  <si>
    <t>1251121901250</t>
  </si>
  <si>
    <t>Thép cuộn cán nóng 3.60x1230 SAE1006 II</t>
  </si>
  <si>
    <t>3.60×1230×C</t>
  </si>
  <si>
    <t>1251121901243</t>
  </si>
  <si>
    <t>Thép cuộn cán nóng 3.60x1230 SAE1006</t>
  </si>
  <si>
    <t>1251121901236</t>
  </si>
  <si>
    <t>Thép cuộn cán nóng 2.50x1230 SAE1006H II</t>
  </si>
  <si>
    <t>2.50×1230×C</t>
  </si>
  <si>
    <t>1251121901229</t>
  </si>
  <si>
    <t>Thép cuộn cán nóng 2.50x1230 SAE1006H</t>
  </si>
  <si>
    <t>1251121901212</t>
  </si>
  <si>
    <t>Thép cuộn cán nóng 2.25x1230 SAE1006H II</t>
  </si>
  <si>
    <t>2.25×1230×C</t>
  </si>
  <si>
    <t>1251121901205</t>
  </si>
  <si>
    <t>Thép cuộn cán nóng 2.25x1230 SAE1006H</t>
  </si>
  <si>
    <t>1251121901199</t>
  </si>
  <si>
    <t>Thép cuộn cán nóng 3.00x1230 SAE1006H II</t>
  </si>
  <si>
    <t>1251121901182</t>
  </si>
  <si>
    <t>Thép cuộn cán nóng 3.00x1230 SAE1006H</t>
  </si>
  <si>
    <t>1251121901175</t>
  </si>
  <si>
    <t>Thép cuộn cán nóng 4.40x1219 SPHC II</t>
  </si>
  <si>
    <t>1251121901168</t>
  </si>
  <si>
    <t>Thép cuộn cán nóng 4.40x1219 SPHC</t>
  </si>
  <si>
    <t>1251121901151</t>
  </si>
  <si>
    <t>Thép cuộn cán nóng 4.90x1520 SPHC II</t>
  </si>
  <si>
    <t>1251121901144</t>
  </si>
  <si>
    <t>Thép cuộn cán nóng 4.90x1520 SPHC</t>
  </si>
  <si>
    <t>1251121901137</t>
  </si>
  <si>
    <t>Thép cuộn cán nóng 4.20x1520 SPHC II</t>
  </si>
  <si>
    <t>4.20×1520×C</t>
  </si>
  <si>
    <t>1251121901120</t>
  </si>
  <si>
    <t>Thép cuộn cán nóng 4.20x1520 SPHC</t>
  </si>
  <si>
    <t>1251121901113</t>
  </si>
  <si>
    <t>Thép cuộn cán nóng 2.65x1520 SPHC II</t>
  </si>
  <si>
    <t>2.65×1520×C</t>
  </si>
  <si>
    <t>1251121901106</t>
  </si>
  <si>
    <t>Thép cuộn cán nóng 2.65x1520 SPHC</t>
  </si>
  <si>
    <t>1251121901090</t>
  </si>
  <si>
    <t>Thép cuộn cán nóng 2.25x1215 SPHC II</t>
  </si>
  <si>
    <t>2.25×1215×C</t>
  </si>
  <si>
    <t>1251121901083</t>
  </si>
  <si>
    <t>Thép cuộn cán nóng 2.25x1215 SPHC</t>
  </si>
  <si>
    <t>1251121901076</t>
  </si>
  <si>
    <t>Thép cuộn cán nóng 3.70x1262 SAE1006 II</t>
  </si>
  <si>
    <t>3.70×1262×C</t>
  </si>
  <si>
    <t>1251121484562</t>
  </si>
  <si>
    <t>Thép cuộn cán nóng 3.70x1262 SAE1006</t>
  </si>
  <si>
    <t>1251121484555</t>
  </si>
  <si>
    <t>Thép cuộn cán nóng 2.95x1260 SS400 II</t>
  </si>
  <si>
    <t>2.95×1260×C</t>
  </si>
  <si>
    <t>1251121484548</t>
  </si>
  <si>
    <t>Thép cuộn cán nóng 2.95x1260 SS400</t>
  </si>
  <si>
    <t>1251121484531</t>
  </si>
  <si>
    <t>Thép cuộn cán nóng 2.80x1214 SAE1006 II</t>
  </si>
  <si>
    <t>2.80×1214×C</t>
  </si>
  <si>
    <t>1251121484524</t>
  </si>
  <si>
    <t>Thép cuộn cán nóng 2.80x1214 SAE1006</t>
  </si>
  <si>
    <t>1251121484517</t>
  </si>
  <si>
    <t>Thép cuộn cán nóng 3.30x1214 SAE1006 II</t>
  </si>
  <si>
    <t>3.30×1214×C</t>
  </si>
  <si>
    <t>1251121484500</t>
  </si>
  <si>
    <t>Thép cuộn cán nóng 3.30x1214 SAE1006</t>
  </si>
  <si>
    <t>1251121484494</t>
  </si>
  <si>
    <t>Thép cuộn cán nóng 3.00x1214 SAE1006 II</t>
  </si>
  <si>
    <t>3.00×1214×C</t>
  </si>
  <si>
    <t>1251121484487</t>
  </si>
  <si>
    <t>Thép cuộn cán nóng 3.00x1214 SAE1006</t>
  </si>
  <si>
    <t>1251121484470</t>
  </si>
  <si>
    <t>Thép cuộn cán nóng 3.00x1234 SAE1006 II</t>
  </si>
  <si>
    <t>3.00×1234×C</t>
  </si>
  <si>
    <t>1251121484463</t>
  </si>
  <si>
    <t>Thép cuộn cán nóng 3.00x1234 SAE1006</t>
  </si>
  <si>
    <t>1251121484456</t>
  </si>
  <si>
    <t>Thép cuộn cán nóng 3.70x1250 SAE1006 II</t>
  </si>
  <si>
    <t>3.70×1250×C</t>
  </si>
  <si>
    <t>1251121484449</t>
  </si>
  <si>
    <t>Thép cuộn cán nóng 3.70x1250 SAE1006</t>
  </si>
  <si>
    <t>1251121484432</t>
  </si>
  <si>
    <t>Thép cuộn cán nóng 2.90x1260 SS400 II</t>
  </si>
  <si>
    <t>2.90×1260×C</t>
  </si>
  <si>
    <t>1251121484425</t>
  </si>
  <si>
    <t>Thép cuộn cán nóng 2.90x1260 SS400</t>
  </si>
  <si>
    <t>1251121484418</t>
  </si>
  <si>
    <t>Thép cuộn cán nóng 2.75x1260 SS400 II</t>
  </si>
  <si>
    <t>2.75×1260×C</t>
  </si>
  <si>
    <t>1251121484401</t>
  </si>
  <si>
    <t>Thép cuộn cán nóng 2.75x1260 SS400</t>
  </si>
  <si>
    <t>1251121484395</t>
  </si>
  <si>
    <t>Thép cuộn cán nóng 2.10x1260 SS400 II</t>
  </si>
  <si>
    <t>2.10×1260×C</t>
  </si>
  <si>
    <t>1251121484388</t>
  </si>
  <si>
    <t>Thép cuộn cán nóng 2.10x1260 SS400</t>
  </si>
  <si>
    <t>1251121484371</t>
  </si>
  <si>
    <t>Thép cuộn cán nóng 2.15x1260 SAE1006 II</t>
  </si>
  <si>
    <t>2.15×1260×C</t>
  </si>
  <si>
    <t>1251121484364</t>
  </si>
  <si>
    <t>Thép cuộn cán nóng 2.15x1260 SAE1006</t>
  </si>
  <si>
    <t>1251121484357</t>
  </si>
  <si>
    <t>Thép cuộn cán nóng 2.00x1112 SAE1006 II</t>
  </si>
  <si>
    <t>2.00×1112×C</t>
  </si>
  <si>
    <t>1251121484340</t>
  </si>
  <si>
    <t>Thép cuộn cán nóng 2.00x1112 SAE1006</t>
  </si>
  <si>
    <t>1251121484333</t>
  </si>
  <si>
    <t>Thép cuộn cán nóng 2.25x1210 SAE1006 II</t>
  </si>
  <si>
    <t>2.25×1210×C</t>
  </si>
  <si>
    <t>1251121484326</t>
  </si>
  <si>
    <t>Thép cuộn cán nóng 2.25x1210 SAE1006</t>
  </si>
  <si>
    <t>1251121484319</t>
  </si>
  <si>
    <t>Thép cuộn cán nóng 2.00x1210 SAE1006 II</t>
  </si>
  <si>
    <t>2.00×1210×C</t>
  </si>
  <si>
    <t>1251121484302</t>
  </si>
  <si>
    <t>Thép cuộn cán nóng 2.00x1210 SAE1006</t>
  </si>
  <si>
    <t>1251121484296</t>
  </si>
  <si>
    <t>Thép cuộn cán nóng 4.00x1225 SAE1006 II</t>
  </si>
  <si>
    <t>1251121484289</t>
  </si>
  <si>
    <t>Thép cuộn cán nóng 4.00x1225 SAE1006</t>
  </si>
  <si>
    <t>1251121484272</t>
  </si>
  <si>
    <t>Thép cuộn cán nóng 3.00x1225 SAE1006 II</t>
  </si>
  <si>
    <t>1251121484265</t>
  </si>
  <si>
    <t>Thép cuộn cán nóng 3.00x1225 SAE1006</t>
  </si>
  <si>
    <t>1251121484258</t>
  </si>
  <si>
    <t>Thép cuộn cán nóng 2.50x1225 SAE1006 II</t>
  </si>
  <si>
    <t>1251121484241</t>
  </si>
  <si>
    <t>Thép cuộn cán nóng 2.50x1225 SAE1006</t>
  </si>
  <si>
    <t>1251121484234</t>
  </si>
  <si>
    <t>Thép cuộn cán nóng 2.25x1225 SAE1006 II</t>
  </si>
  <si>
    <t>1251121484227</t>
  </si>
  <si>
    <t>Thép cuộn cán nóng 2.25x1225 SAE1006</t>
  </si>
  <si>
    <t>1251121484210</t>
  </si>
  <si>
    <t>Thép cuộn cán nóng 2.00x1225 SAE1006 II</t>
  </si>
  <si>
    <t>1251121484203</t>
  </si>
  <si>
    <t>Thép cuộn cán nóng 2.00x1225 SAE1006</t>
  </si>
  <si>
    <t>1251121484197</t>
  </si>
  <si>
    <t>Thép cuộn cán nóng 11.80x1506 SS400 II</t>
  </si>
  <si>
    <t>11.80×1506×C</t>
  </si>
  <si>
    <t>1251121483992</t>
  </si>
  <si>
    <t>Thép cuộn cán nóng 11.80x1506 SS400</t>
  </si>
  <si>
    <t>1251121483985</t>
  </si>
  <si>
    <t>Thép cuộn cán nóng 1.20x1260 SAE1006 II</t>
  </si>
  <si>
    <t>1.20×1260×C</t>
  </si>
  <si>
    <t>1251121483817</t>
  </si>
  <si>
    <t>Thép cuộn cán nóng 1.20x1260 SAE1006</t>
  </si>
  <si>
    <t>1251121483800</t>
  </si>
  <si>
    <t>Thép cuộn cán nóng 1.40x1260 SAE1006 II</t>
  </si>
  <si>
    <t>1.40×1260×C</t>
  </si>
  <si>
    <t>1251121483794</t>
  </si>
  <si>
    <t>Thép cuộn cán nóng 1.40x1260 SAE1006</t>
  </si>
  <si>
    <t>1251121483787</t>
  </si>
  <si>
    <t>Thép cuộn cán nóng 1.50x1260 SAE1006 II</t>
  </si>
  <si>
    <t>1.50×1260×C</t>
  </si>
  <si>
    <t>1251121483770</t>
  </si>
  <si>
    <t>Thép cuộn cán nóng 1.50x1260 SAE1006</t>
  </si>
  <si>
    <t>1251121483763</t>
  </si>
  <si>
    <t>Thép cuộn cán nóng 1.65x1260 SAE1006 II</t>
  </si>
  <si>
    <t>1.65×1260×C</t>
  </si>
  <si>
    <t>1251121483756</t>
  </si>
  <si>
    <t>Thép cuộn cán nóng 1.65x1260 SAE1006</t>
  </si>
  <si>
    <t>1251121483749</t>
  </si>
  <si>
    <t>Thép cuộn cán nóng 1.80x1260 SAE1006 II</t>
  </si>
  <si>
    <t>1.80×1260×C</t>
  </si>
  <si>
    <t>1251121483732</t>
  </si>
  <si>
    <t>Thép cuộn cán nóng 1.80x1260 SAE1006</t>
  </si>
  <si>
    <t>1251121483725</t>
  </si>
  <si>
    <t>Thép cuộn cán nóng 1.30x1230 SAE1006 II</t>
  </si>
  <si>
    <t>1.30×1230×C</t>
  </si>
  <si>
    <t>1251121483718</t>
  </si>
  <si>
    <t>Thép cuộn cán nóng 1.30x1230 SAE1006</t>
  </si>
  <si>
    <t>1251121483701</t>
  </si>
  <si>
    <t>Thép cuộn cán nóng 1.40x1230 SAE1006 II</t>
  </si>
  <si>
    <t>1.40×1230×C</t>
  </si>
  <si>
    <t>1251121483695</t>
  </si>
  <si>
    <t>Thép cuộn cán nóng 1.40x1230 SAE1006</t>
  </si>
  <si>
    <t>1251121483688</t>
  </si>
  <si>
    <t>Thép cuộn cán nóng 1.65x1230 SAE1006 II</t>
  </si>
  <si>
    <t>1.65×1230×C</t>
  </si>
  <si>
    <t>1251121483671</t>
  </si>
  <si>
    <t>Thép cuộn cán nóng 1.65x1230 SAE1006</t>
  </si>
  <si>
    <t>1251121483664</t>
  </si>
  <si>
    <t>Thép cuộn cán nóng 1.20x1250 SAE1006 II</t>
  </si>
  <si>
    <t>1251121483589</t>
  </si>
  <si>
    <t>Thép cuộn cán nóng 1.20x1250 SAE1006</t>
  </si>
  <si>
    <t>1251121483572</t>
  </si>
  <si>
    <t>Thép cuộn cán nóng 1.30x1250 SAE1006 II</t>
  </si>
  <si>
    <t>1.30×1250×C</t>
  </si>
  <si>
    <t>1251121483565</t>
  </si>
  <si>
    <t>[D]hép cuộn cán nóng 1.30x1250 SAE1006</t>
  </si>
  <si>
    <t>1251121483558</t>
  </si>
  <si>
    <t>Thép cuộn cán nóng 1.40x1250 SAE1006 II</t>
  </si>
  <si>
    <t>1.40×1250×C</t>
  </si>
  <si>
    <t>1251121483541</t>
  </si>
  <si>
    <t>Thép cuộn cán nóng 1.40x1250 SAE1006</t>
  </si>
  <si>
    <t>1251121483534</t>
  </si>
  <si>
    <t>Thép cuộn cán nóng 1.65x1250 SAE1006 II</t>
  </si>
  <si>
    <t>1.65×1250×C</t>
  </si>
  <si>
    <t>1251121483497</t>
  </si>
  <si>
    <t>Thép cuộn cán nóng 1.65x1250 SAE1006</t>
  </si>
  <si>
    <t>1251121483480</t>
  </si>
  <si>
    <t>Thép cuộn cán nóng 4.20x1250  SAE1006 II</t>
  </si>
  <si>
    <t>4.20×1250×C</t>
  </si>
  <si>
    <t>1251121470978</t>
  </si>
  <si>
    <t>Thép cuộn cán nóng 4.20x1250 SAE1006</t>
  </si>
  <si>
    <t>1251121470961</t>
  </si>
  <si>
    <t>Thép cuộn cán nóng 2.50x1200  SAE1006 II</t>
  </si>
  <si>
    <t>2.50×1200×C</t>
  </si>
  <si>
    <t>1251121470954</t>
  </si>
  <si>
    <t>Thép cuộn cán nóng 2.50x1200 SAE1006</t>
  </si>
  <si>
    <t>1251121470947</t>
  </si>
  <si>
    <t>Thép cuộn cán nóng 2.80x1212  SAE1006 II</t>
  </si>
  <si>
    <t>1251121470930</t>
  </si>
  <si>
    <t>Thép cuộn cán nóng 2.80x1212 SAE1006</t>
  </si>
  <si>
    <t>1251121470923</t>
  </si>
  <si>
    <t>Thép cuộn cán nóng 3.40x1262 SAE1006 II</t>
  </si>
  <si>
    <t>1251121470916</t>
  </si>
  <si>
    <t>Thép cuộn cán nóng 3.40x1262 SAE1006</t>
  </si>
  <si>
    <t>1251121470909</t>
  </si>
  <si>
    <t>Thép HRC HSPM 2.00x125X SAE1006 II</t>
  </si>
  <si>
    <t>1251122104698</t>
  </si>
  <si>
    <t>Thép HRC HSPM 2.30x125X SAE1006 II</t>
  </si>
  <si>
    <t>1251122104711</t>
  </si>
  <si>
    <t>Thép HRC HSPM 2.30x121X SAE1006 II</t>
  </si>
  <si>
    <t>1251122104735</t>
  </si>
  <si>
    <t>Thép HRC HSPM 2.30x122Y SAE1006 II</t>
  </si>
  <si>
    <t>1251122104759</t>
  </si>
  <si>
    <t>Thép HRC HSPM 2.80x122Y SAE1006 II</t>
  </si>
  <si>
    <t>1251122104773</t>
  </si>
  <si>
    <t>Thép HRC HSPM 4.50x122Y SAE1006 II</t>
  </si>
  <si>
    <t>1251122104797</t>
  </si>
  <si>
    <t>Thép HRC HSPM 5.00x111X SAE1008 II</t>
  </si>
  <si>
    <t>1251122104827</t>
  </si>
  <si>
    <t>Thép HRC HSPM 2.80x120X SAE1006 II</t>
  </si>
  <si>
    <t>1251122104841</t>
  </si>
  <si>
    <t>Thép HRC HSPM 1.80x121X SAE1006 II</t>
  </si>
  <si>
    <t>1251122104865</t>
  </si>
  <si>
    <t>Thép HRC HSPM 2.50x121X SAE1006 II</t>
  </si>
  <si>
    <t>1251122104889</t>
  </si>
  <si>
    <t>Thép HRC HSPM 2.40x121Y ASTM A36 II</t>
  </si>
  <si>
    <t>1251122104902</t>
  </si>
  <si>
    <t>Thép HRC HSPM 3.20x152X ASTM A36 II</t>
  </si>
  <si>
    <t>3.20×1522×C</t>
  </si>
  <si>
    <t>1251122104926</t>
  </si>
  <si>
    <t>Thép HRC HSPM 3.40x152X ASTM A36 II</t>
  </si>
  <si>
    <t>3.40×1522×C</t>
  </si>
  <si>
    <t>1251122104940</t>
  </si>
  <si>
    <t>Thép HRC HSPM 1.80x123Y SAE1008 II</t>
  </si>
  <si>
    <t>1.80×1237×C</t>
  </si>
  <si>
    <t>1251122104964</t>
  </si>
  <si>
    <t>Thép HRC HSPM 2.00x123Y SAE1008 II</t>
  </si>
  <si>
    <t>1251122104988</t>
  </si>
  <si>
    <t>Thép HRC HSPM 2.20x123Y SAE1008 II</t>
  </si>
  <si>
    <t>1251122105008</t>
  </si>
  <si>
    <t>Thép HRC HSPM 2.40x121Y SAE1008 II</t>
  </si>
  <si>
    <t>1251122105022</t>
  </si>
  <si>
    <t>Thép HRC HSPM 2.40x152X SAE1008 II</t>
  </si>
  <si>
    <t>1251122105046</t>
  </si>
  <si>
    <t>Thép HRC HSPM 1.85x121Y SPHC II</t>
  </si>
  <si>
    <t>1.85×1217×C</t>
  </si>
  <si>
    <t>1251122105060</t>
  </si>
  <si>
    <t>Thép HRC HSPM 2.47x121X S275JR II</t>
  </si>
  <si>
    <t>2.47×1212×C</t>
  </si>
  <si>
    <t>1251122105084</t>
  </si>
  <si>
    <t>Thép HRC HSPM 2.72x121X S275JR II</t>
  </si>
  <si>
    <t>2.72×1212×C</t>
  </si>
  <si>
    <t>1251122105107</t>
  </si>
  <si>
    <t>Thép HRC HSPM 2.82x121X S275JR II</t>
  </si>
  <si>
    <t>1251122105121</t>
  </si>
  <si>
    <t>Thép HRC HSPM 3.88x121X S275JR II</t>
  </si>
  <si>
    <t>3.88×1212×C</t>
  </si>
  <si>
    <t>1251122105145</t>
  </si>
  <si>
    <t>Thép HRC HSPM 4.37x121X S275JR II</t>
  </si>
  <si>
    <t>4.37×1212×C</t>
  </si>
  <si>
    <t>1251122105169</t>
  </si>
  <si>
    <t>Thép HRC HSPM 4.85x121X S275JR II</t>
  </si>
  <si>
    <t>4.85×1212×C</t>
  </si>
  <si>
    <t>1251122105183</t>
  </si>
  <si>
    <t>Thép HRC HSPM 2.80x134X S275JR II</t>
  </si>
  <si>
    <t>2.80×1342×C</t>
  </si>
  <si>
    <t>1251122105206</t>
  </si>
  <si>
    <t>Thép HRC HSPM 2.92x134X S275JR II</t>
  </si>
  <si>
    <t>2.92×1342×C</t>
  </si>
  <si>
    <t>1251122105220</t>
  </si>
  <si>
    <t>Thép HRC HSPM 3.80x134X S275JR II</t>
  </si>
  <si>
    <t>3.80×1342×C</t>
  </si>
  <si>
    <t>1251122105244</t>
  </si>
  <si>
    <t>Thép HRC HSPM 4.30x134X S275JR II</t>
  </si>
  <si>
    <t>4.30×1342×C</t>
  </si>
  <si>
    <t>1251122105268</t>
  </si>
  <si>
    <t>Thép HRC HSPM 4.50x134X S275JR II</t>
  </si>
  <si>
    <t>4.50×1342×C</t>
  </si>
  <si>
    <t>1251122105282</t>
  </si>
  <si>
    <t>Thép HRC HSPM 4.80x134X S275JR II</t>
  </si>
  <si>
    <t>4.80×1342×C</t>
  </si>
  <si>
    <t>1251122105305</t>
  </si>
  <si>
    <t>Thép HRC HSPM 2.72x151Y S275JR II</t>
  </si>
  <si>
    <t>2.72×1517×C</t>
  </si>
  <si>
    <t>1251122105329</t>
  </si>
  <si>
    <t>Thép HRC HSPM 2.82x151Y S275JR II</t>
  </si>
  <si>
    <t>2.82×1517×C</t>
  </si>
  <si>
    <t>1251122105343</t>
  </si>
  <si>
    <t>Thép HRC HSPM 2.92x151Y S275JR II</t>
  </si>
  <si>
    <t>2.92×1517×C</t>
  </si>
  <si>
    <t>1251122105367</t>
  </si>
  <si>
    <t>Thép HRC HSPM 3.88x151Y S275JR II</t>
  </si>
  <si>
    <t>3.88×1517×C</t>
  </si>
  <si>
    <t>1251122105381</t>
  </si>
  <si>
    <t>Thép HRC HSPM 4.17x151Y S275JR II</t>
  </si>
  <si>
    <t>4.17×1517×C</t>
  </si>
  <si>
    <t>1251122105404</t>
  </si>
  <si>
    <t>Thép HRC HSPM 4.37x151Y S275JR II</t>
  </si>
  <si>
    <t>4.37×1517×C</t>
  </si>
  <si>
    <t>1251122105428</t>
  </si>
  <si>
    <t>Thép HRC HSPM 4.80x121X S275JR II</t>
  </si>
  <si>
    <t>1251122105459</t>
  </si>
  <si>
    <t>Thép HRC HSPM 2.50x121Y SS50 II</t>
  </si>
  <si>
    <t>1251122105473</t>
  </si>
  <si>
    <t>Thép HRC HSPM 3.70x121X S275JR II</t>
  </si>
  <si>
    <t>1251122105497</t>
  </si>
  <si>
    <t>Thép HRC HSPM 4.40x134X S275JR II</t>
  </si>
  <si>
    <t>1251122105510</t>
  </si>
  <si>
    <t>Thép HRC HSPM 4.90x134X S275JR II</t>
  </si>
  <si>
    <t>1251122105534</t>
  </si>
  <si>
    <t>Thép HRC HSPM 4.85x151Y S275JR II</t>
  </si>
  <si>
    <t>1251122105558</t>
  </si>
  <si>
    <t>Thép HRC HSPM 3.80x151Y S275JR II</t>
  </si>
  <si>
    <t>1251122105572</t>
  </si>
  <si>
    <t>Thép HRC HSPM 2.88x121Y S275JR II</t>
  </si>
  <si>
    <t>1251122105596</t>
  </si>
  <si>
    <t>Thép HRC HSPM 4.80x121Y S275JR II</t>
  </si>
  <si>
    <t>4.80×1217×C</t>
  </si>
  <si>
    <t>1251122105619</t>
  </si>
  <si>
    <t>Thép HRC HSPM 3.60x123X SAE1006 II</t>
  </si>
  <si>
    <t>1251122105633</t>
  </si>
  <si>
    <t>Thép HRC HSPM 4.50x123X SAE1006 II</t>
  </si>
  <si>
    <t>1251122105657</t>
  </si>
  <si>
    <t>Thép HRC HSPM 5.00x123X SAE1006 II</t>
  </si>
  <si>
    <t>1251122105671</t>
  </si>
  <si>
    <t>Thép HRC HSPM 4.80x121X S275JR</t>
  </si>
  <si>
    <t>1251122105442</t>
  </si>
  <si>
    <t>Thép HRC HSPM 2.50x121Y SS50</t>
  </si>
  <si>
    <t>1251122105466</t>
  </si>
  <si>
    <t>Thép HRC HSPM 3.70x121X S275JR</t>
  </si>
  <si>
    <t>1251122105480</t>
  </si>
  <si>
    <t>Thép HRC HSPM 4.40x134X S275JR</t>
  </si>
  <si>
    <t>1251122105503</t>
  </si>
  <si>
    <t>Thép HRC HSPM 4.90x134X S275JR</t>
  </si>
  <si>
    <t>1251122105527</t>
  </si>
  <si>
    <t>Thép HRC HSPM 3.80x151Y S275JR</t>
  </si>
  <si>
    <t>1251122105565</t>
  </si>
  <si>
    <t>Thép HRC HSPM 2.88x121Y S275JR</t>
  </si>
  <si>
    <t>1251122105589</t>
  </si>
  <si>
    <t>Thép HRC HSPM 4.80x121Y S275JR</t>
  </si>
  <si>
    <t>1251122105602</t>
  </si>
  <si>
    <t>Thép HRC HSPM 2.00x125X SAE1006</t>
  </si>
  <si>
    <t>1251122104681</t>
  </si>
  <si>
    <t>Thép HRC HSPM 2.30x125X SAE1006</t>
  </si>
  <si>
    <t>1251122104704</t>
  </si>
  <si>
    <t>Thép HRC HSPM 2.30x121X SAE1006</t>
  </si>
  <si>
    <t>1251122104728</t>
  </si>
  <si>
    <t>Thép HRC HSPM 2.30x122Y SAE1006</t>
  </si>
  <si>
    <t>1251122104742</t>
  </si>
  <si>
    <t>Thép HRC HSPM 2.80x122Y SAE1006</t>
  </si>
  <si>
    <t>1251122104766</t>
  </si>
  <si>
    <t>Thép HRC HSPM 4.50x122Y SAE1006</t>
  </si>
  <si>
    <t>1251122104780</t>
  </si>
  <si>
    <t>Thép HRC HSPM 5.00x111X SAE1008</t>
  </si>
  <si>
    <t>1251122104810</t>
  </si>
  <si>
    <t>Thép HRC HSPM 2.80x120X SAE1006</t>
  </si>
  <si>
    <t>1251122104834</t>
  </si>
  <si>
    <t>Thép HRC HSPM 1.80x121X SAE1006</t>
  </si>
  <si>
    <t>1251122104858</t>
  </si>
  <si>
    <t>Thép HRC HSPM 2.50x121X SAE1006</t>
  </si>
  <si>
    <t>1251122104872</t>
  </si>
  <si>
    <t>Thép HRC HSPM 2.40x121Y ASTM A36</t>
  </si>
  <si>
    <t>1251122104896</t>
  </si>
  <si>
    <t>Thép HRC HSPM 3.20x152X ASTM A36</t>
  </si>
  <si>
    <t>1251122104919</t>
  </si>
  <si>
    <t>Thép HRC HSPM 3.40x152X ASTM A36</t>
  </si>
  <si>
    <t>1251122104933</t>
  </si>
  <si>
    <t>Thép HRC HSPM 1.80x123Y SAE1008</t>
  </si>
  <si>
    <t>1251122104957</t>
  </si>
  <si>
    <t>Thép HRC HSPM 2.00x123Y SAE1008</t>
  </si>
  <si>
    <t>1251122104971</t>
  </si>
  <si>
    <t>Thép HRC HSPM 2.20x123Y SAE1008</t>
  </si>
  <si>
    <t>1251122104995</t>
  </si>
  <si>
    <t>Thép HRC HSPM 2.40x121Y SAE1008</t>
  </si>
  <si>
    <t>1251122105015</t>
  </si>
  <si>
    <t>Thép HRC HSPM 2.40x152X SAE1008</t>
  </si>
  <si>
    <t>1251122105039</t>
  </si>
  <si>
    <t>Thép HRC HSPM 1.85x121Y SPHC</t>
  </si>
  <si>
    <t>1251122105053</t>
  </si>
  <si>
    <t>Thép HRC HSPM 2.47x121X S275JR</t>
  </si>
  <si>
    <t>1251122105077</t>
  </si>
  <si>
    <t>Thép HRC HSPM 2.80x134X S275JR</t>
  </si>
  <si>
    <t>1251122105190</t>
  </si>
  <si>
    <t>Thép HRC HSPM 2.92x134X S275JR</t>
  </si>
  <si>
    <t>1251122105213</t>
  </si>
  <si>
    <t>Thép HRC HSPM 3.80x134X S275JR</t>
  </si>
  <si>
    <t>1251122105237</t>
  </si>
  <si>
    <t>Thép HRC HSPM 4.30x134X S275JR</t>
  </si>
  <si>
    <t>1251122105251</t>
  </si>
  <si>
    <t>Thép HRC HSPM 4.50x134X S275JR</t>
  </si>
  <si>
    <t>1251122105275</t>
  </si>
  <si>
    <t>Thép HRC HSPM 4.80x134X S275JR</t>
  </si>
  <si>
    <t>1251122105299</t>
  </si>
  <si>
    <t>Thép HRC HSPM 2.92x151Y S275JR</t>
  </si>
  <si>
    <t>1251122105350</t>
  </si>
  <si>
    <t>Thép HRC HSPM 3.88x151Y S275JR</t>
  </si>
  <si>
    <t>1251122105374</t>
  </si>
  <si>
    <t>Thép HRC HSPM 4.37x151Y S275JR</t>
  </si>
  <si>
    <t>1251122105411</t>
  </si>
  <si>
    <t>Thép HRC HSPM 3.60x123X SAE1006</t>
  </si>
  <si>
    <t>1251122105626</t>
  </si>
  <si>
    <t>Thép HRC HSPM 4.50x123X SAE1006</t>
  </si>
  <si>
    <t>1251122105640</t>
  </si>
  <si>
    <t>Thép HRC HSPM 5.00x123X SAE1006</t>
  </si>
  <si>
    <t>1251122105664</t>
  </si>
  <si>
    <t>Thép HRC HSPM 2.72x121X S275JR</t>
  </si>
  <si>
    <t>1251122105091</t>
  </si>
  <si>
    <t>Thép HRC HSPM 2.82x121X S275JR</t>
  </si>
  <si>
    <t>1251122105114</t>
  </si>
  <si>
    <t>Thép HRC HSPM 3.88x121X S275JR</t>
  </si>
  <si>
    <t>1251122105138</t>
  </si>
  <si>
    <t>Thép HRC HSPM 4.37x121X S275JR</t>
  </si>
  <si>
    <t>1251122105152</t>
  </si>
  <si>
    <t>Thép HRC HSPM 4.85x121X S275JR</t>
  </si>
  <si>
    <t>1251122105176</t>
  </si>
  <si>
    <t>Thép HRC HSPM 2.72x151Y S275JR</t>
  </si>
  <si>
    <t>1251122105312</t>
  </si>
  <si>
    <t>Thép HRC HSPM 2.82x151Y S275JR</t>
  </si>
  <si>
    <t>1251122105336</t>
  </si>
  <si>
    <t>Thép HRC HSPM 4.17x151Y S275JR</t>
  </si>
  <si>
    <t>1251122105398</t>
  </si>
  <si>
    <t>Thép HRC HSPM 4.85x151Y S275JR</t>
  </si>
  <si>
    <t>1251122105541</t>
  </si>
  <si>
    <t>Thép cuộn cán nóng 9.00x100X SS400 II</t>
  </si>
  <si>
    <t>9.00×1002×C</t>
  </si>
  <si>
    <t>1251121949054</t>
  </si>
  <si>
    <t>Thép cuộn cán nóng 9.00x100X SS400</t>
  </si>
  <si>
    <t>1251121949047</t>
  </si>
  <si>
    <t>Thép cuộn cán nóng 3.70x150X SS400 II</t>
  </si>
  <si>
    <t>3.70×1502×C</t>
  </si>
  <si>
    <t>1251121949030</t>
  </si>
  <si>
    <t>Thép cuộn cán nóng 3.70x150X SS400</t>
  </si>
  <si>
    <t>1251121949023</t>
  </si>
  <si>
    <t>Thép cuộn cán nóng 2.00x120X SAE1006 II</t>
  </si>
  <si>
    <t>1251121949016</t>
  </si>
  <si>
    <t>Thép cuộn cán nóng 2.00x120X SAE1006</t>
  </si>
  <si>
    <t>1251121949009</t>
  </si>
  <si>
    <t>Thép cuộn cán nóng 3.50x112X SAE1006 II</t>
  </si>
  <si>
    <t>3.50×1122×C</t>
  </si>
  <si>
    <t>1251121948996</t>
  </si>
  <si>
    <t>Thép cuộn cán nóng 3.50x112X SAE1006</t>
  </si>
  <si>
    <t>1251121948989</t>
  </si>
  <si>
    <t>Thép cuộn cán nóng 5.00x102X SAE1006 II</t>
  </si>
  <si>
    <t>5.00×1022×C</t>
  </si>
  <si>
    <t>1251121948972</t>
  </si>
  <si>
    <t>Thép cuộn cán nóng 5.00x102X SAE1006</t>
  </si>
  <si>
    <t>1251121948965</t>
  </si>
  <si>
    <t>Thép cuộn cán nóng 3.00x102X SAE1006 II</t>
  </si>
  <si>
    <t>3.00×1022×C</t>
  </si>
  <si>
    <t>1251121948958</t>
  </si>
  <si>
    <t>Thép cuộn cán nóng 3.00x102X SAE1006</t>
  </si>
  <si>
    <t>1251121948941</t>
  </si>
  <si>
    <t>Thép cuộn cán nóng 4.00x102X SAE1006 II</t>
  </si>
  <si>
    <t>1251121948934</t>
  </si>
  <si>
    <t>Thép cuộn cán nóng 4.00x102X SAE1006</t>
  </si>
  <si>
    <t>1251121948927</t>
  </si>
  <si>
    <t>Thép cuộn cán nóng 3.00x127X SAE1006 II</t>
  </si>
  <si>
    <t>3.00×1272×C</t>
  </si>
  <si>
    <t>1251121948910</t>
  </si>
  <si>
    <t>Thép cuộn cán nóng 3.00x127X SAE1006</t>
  </si>
  <si>
    <t>1251121948903</t>
  </si>
  <si>
    <t>Thép cuộn cán nóng 5.00x127X SAE1006 II</t>
  </si>
  <si>
    <t>5.00×1272×C</t>
  </si>
  <si>
    <t>1251121948897</t>
  </si>
  <si>
    <t>Thép cuộn cán nóng 5.00x127X SAE1006</t>
  </si>
  <si>
    <t>1251121948880</t>
  </si>
  <si>
    <t>Thép cuộn cán nóng 5.00x152X SAE1006 II</t>
  </si>
  <si>
    <t>1251121948873</t>
  </si>
  <si>
    <t>Thép cuộn cán nóng 5.00x152X SAE1006</t>
  </si>
  <si>
    <t>1251121948866</t>
  </si>
  <si>
    <t>Thép cuộn cán nóng 4.00x152X SAE1006 II</t>
  </si>
  <si>
    <t>1251121948859</t>
  </si>
  <si>
    <t>Thép cuộn cán nóng 4.00x152X SAE1006</t>
  </si>
  <si>
    <t>1251121948842</t>
  </si>
  <si>
    <t>Thép cuộn cán nóng 4.00x127X SAE1006 II</t>
  </si>
  <si>
    <t>4.00×1272×C</t>
  </si>
  <si>
    <t>1251121948835</t>
  </si>
  <si>
    <t>Thép cuộn cán nóng 4.00x127X SAE1006</t>
  </si>
  <si>
    <t>1251121948828</t>
  </si>
  <si>
    <t>Thép cuộn cán nóng 3.00x152X SAE1006 II</t>
  </si>
  <si>
    <t>1251121948811</t>
  </si>
  <si>
    <t>Thép cuộn cán nóng 3.00x152X SAE1006</t>
  </si>
  <si>
    <t>1251121948804</t>
  </si>
  <si>
    <t>Thép cuộn cán nóng 4.80x121Y S275JR II</t>
  </si>
  <si>
    <t>1251121948798</t>
  </si>
  <si>
    <t>Thép cuộn cán nóng 4.80x121Y S275JR</t>
  </si>
  <si>
    <t>1251121948781</t>
  </si>
  <si>
    <t>Thép cuộn cán nóng 2.25x124Y SAE1006 II</t>
  </si>
  <si>
    <t>2.25×1247×C</t>
  </si>
  <si>
    <t>1251121948774</t>
  </si>
  <si>
    <t>Thép cuộn cán nóng 2.25x124Y SAE1006</t>
  </si>
  <si>
    <t>1251121948767</t>
  </si>
  <si>
    <t>Thép cuộn cán nóng 2.50x122X S275JR II</t>
  </si>
  <si>
    <t>1251121948750</t>
  </si>
  <si>
    <t>Thép cuộn cán nóng 2.50x122X S275JR</t>
  </si>
  <si>
    <t>1251121948743</t>
  </si>
  <si>
    <t>Thép cuộn cán nóng 2.50x121Y SS50 II</t>
  </si>
  <si>
    <t>1251121948736</t>
  </si>
  <si>
    <t>Thép cuộn cán nóng 2.50x121Y SS50</t>
  </si>
  <si>
    <t>1251121948729</t>
  </si>
  <si>
    <t>Thép cuộn cán nóng 3.95x118X SAE1006 II</t>
  </si>
  <si>
    <t>3.95×1182×C</t>
  </si>
  <si>
    <t>1251121948712</t>
  </si>
  <si>
    <t>Thép cuộn cán nóng 3.95x118X SAE1006</t>
  </si>
  <si>
    <t>1251121948705</t>
  </si>
  <si>
    <t>Thép cuộn cán nóng 5.30x147X SS400 II</t>
  </si>
  <si>
    <t>5.30×1472×C</t>
  </si>
  <si>
    <t>1251121948651</t>
  </si>
  <si>
    <t>Thép cuộn cán nóng 5.30x147X SS400</t>
  </si>
  <si>
    <t>1251121948644</t>
  </si>
  <si>
    <t>Thép cuộn cán nóng 4.55x147Y SS400 II</t>
  </si>
  <si>
    <t>4.55×1477×C</t>
  </si>
  <si>
    <t>1251121948637</t>
  </si>
  <si>
    <t>Thép cuộn cán nóng 4.55x147Y SS400</t>
  </si>
  <si>
    <t>1251121948620</t>
  </si>
  <si>
    <t>Thép cuộn cán nóng 6.00x136X SS400 II</t>
  </si>
  <si>
    <t>6.00×1362×C</t>
  </si>
  <si>
    <t>1251121948613</t>
  </si>
  <si>
    <t>Thép cuộn cán nóng 6.00x136X SS400</t>
  </si>
  <si>
    <t>1251121948606</t>
  </si>
  <si>
    <t>Thép cuộn cán nóng 5.30x121X SS400 II</t>
  </si>
  <si>
    <t>5.30×1212×C</t>
  </si>
  <si>
    <t>1251121948590</t>
  </si>
  <si>
    <t>Thép cuộn cán nóng 5.30x121X SS400</t>
  </si>
  <si>
    <t>1251121948583</t>
  </si>
  <si>
    <t>Thép cuộn cán nóng 3.95x125X SS400 II</t>
  </si>
  <si>
    <t>1251121948576</t>
  </si>
  <si>
    <t>Thép cuộn cán nóng 3.95x125X SS400</t>
  </si>
  <si>
    <t>1251121948569</t>
  </si>
  <si>
    <t>Thép cuộn cán nóng 3.80x148X SS400 II</t>
  </si>
  <si>
    <t>3.80×1482×C</t>
  </si>
  <si>
    <t>1251121948552</t>
  </si>
  <si>
    <t>Thép cuộn cán nóng 3.80x148X SS400</t>
  </si>
  <si>
    <t>1251121948545</t>
  </si>
  <si>
    <t>Thép cuộn cán nóng 8.40x151Y S275JR II</t>
  </si>
  <si>
    <t>8.40×1517×C</t>
  </si>
  <si>
    <t>1251121948538</t>
  </si>
  <si>
    <t>Thép cuộn cán nóng 8.40x151Y S275JR</t>
  </si>
  <si>
    <t>1251121948521</t>
  </si>
  <si>
    <t>Thép cuộn cán nóng 7.20x151Y S275JR II</t>
  </si>
  <si>
    <t>7.20×1517×C</t>
  </si>
  <si>
    <t>1251121948514</t>
  </si>
  <si>
    <t>Thép cuộn cán nóng 7.20x151Y S275JR</t>
  </si>
  <si>
    <t>1251121948507</t>
  </si>
  <si>
    <t>Thép cuộn cán nóng 4.85x121X S275JR II</t>
  </si>
  <si>
    <t>1251121948491</t>
  </si>
  <si>
    <t>Thép cuộn cán nóng 4.85x121X S275JR</t>
  </si>
  <si>
    <t>1251121948484</t>
  </si>
  <si>
    <t>Thép cuộn cán nóng 4.35x121X S275JR II</t>
  </si>
  <si>
    <t>4.35×1212×C</t>
  </si>
  <si>
    <t>1251121948477</t>
  </si>
  <si>
    <t>Thép cuộn cán nóng 4.35x121X S275JR</t>
  </si>
  <si>
    <t>1251121948460</t>
  </si>
  <si>
    <t>Thép cuộn cán nóng 11.30x151Y S275JR II</t>
  </si>
  <si>
    <t>11.30×1517×C</t>
  </si>
  <si>
    <t>1251121948453</t>
  </si>
  <si>
    <t>Thép cuộn cán nóng 11.30x151Y S275JR</t>
  </si>
  <si>
    <t>1251121948446</t>
  </si>
  <si>
    <t>Thép cuộn cán nóng 9.80x151Y S275JR II</t>
  </si>
  <si>
    <t>1251121948439</t>
  </si>
  <si>
    <t>Thép cuộn cán nóng 9.80x151Y S275JR</t>
  </si>
  <si>
    <t>1251121948422</t>
  </si>
  <si>
    <t>Thép cuộn cán nóng 9.40x151Y S275JR II</t>
  </si>
  <si>
    <t>9.40×1517×C</t>
  </si>
  <si>
    <t>1251121948415</t>
  </si>
  <si>
    <t>Thép cuộn cán nóng 9.40x151Y S275JR</t>
  </si>
  <si>
    <t>1251121948408</t>
  </si>
  <si>
    <t>Thép cuộn cán nóng 3.70x140X S275JR II</t>
  </si>
  <si>
    <t>3.70×1402×C</t>
  </si>
  <si>
    <t>1251121948392</t>
  </si>
  <si>
    <t>Thép cuộn cán nóng 3.70x140X S275JR</t>
  </si>
  <si>
    <t>1251121948385</t>
  </si>
  <si>
    <t>Thép cuộn cán nóng 4.80x134X S275JR II</t>
  </si>
  <si>
    <t>1251121948378</t>
  </si>
  <si>
    <t>Thép cuộn cán nóng 4.80x134X S275JR</t>
  </si>
  <si>
    <t>1251121948361</t>
  </si>
  <si>
    <t>Thép cuộn cán nóng 2.65x121X S275JR II</t>
  </si>
  <si>
    <t>1251121948354</t>
  </si>
  <si>
    <t>Thép cuộn cán nóng 2.65x121X S275JR</t>
  </si>
  <si>
    <t>1251121948347</t>
  </si>
  <si>
    <t>Thép cuộn cán nóng 2.40x121X S275JR II</t>
  </si>
  <si>
    <t>1251121948330</t>
  </si>
  <si>
    <t>Thép cuộn cán nóng 2.40x121X S275JR</t>
  </si>
  <si>
    <t>1251121948323</t>
  </si>
  <si>
    <t>Thép cuộn cán nóng 8.78x151Y S275JR II</t>
  </si>
  <si>
    <t>8.78×1517×C</t>
  </si>
  <si>
    <t>1251121948316</t>
  </si>
  <si>
    <t>Thép cuộn cán nóng 8.78x151Y S275JR</t>
  </si>
  <si>
    <t>1251121948309</t>
  </si>
  <si>
    <t>Thép cuộn cán nóng 7.78x151Y S275JR II</t>
  </si>
  <si>
    <t>7.78×1517×C</t>
  </si>
  <si>
    <t>1251121948293</t>
  </si>
  <si>
    <t>Thép cuộn cán nóng 7.78x151Y S275JR</t>
  </si>
  <si>
    <t>1251121948286</t>
  </si>
  <si>
    <t>Thép cuộn cán nóng 5.82x151Y S275JR II</t>
  </si>
  <si>
    <t>1251121948279</t>
  </si>
  <si>
    <t>Thép cuộn cán nóng 5.82x151Y S275JR</t>
  </si>
  <si>
    <t>1251121948262</t>
  </si>
  <si>
    <t>Thép cuộn cán nóng 5.62x151Y S275JR II</t>
  </si>
  <si>
    <t>1251121948255</t>
  </si>
  <si>
    <t>Thép cuộn cán nóng 5.62x151Y S275JR</t>
  </si>
  <si>
    <t>1251121948248</t>
  </si>
  <si>
    <t>Thép cuộn cán nóng 4.37x151Y S275JR II</t>
  </si>
  <si>
    <t>1251121948231</t>
  </si>
  <si>
    <t>Thép cuộn cán nóng 4.37x151Y S275JR</t>
  </si>
  <si>
    <t>1251121948224</t>
  </si>
  <si>
    <t>Thép cuộn cán nóng 4.17x151Y S275JR II</t>
  </si>
  <si>
    <t>1251121948217</t>
  </si>
  <si>
    <t>Thép cuộn cán nóng 4.17x151Y S275JR</t>
  </si>
  <si>
    <t>1251121948200</t>
  </si>
  <si>
    <t>Thép cuộn cán nóng 3.88x151Y S275JR II</t>
  </si>
  <si>
    <t>1251121948194</t>
  </si>
  <si>
    <t>Thép cuộn cán nóng 3.88x151Y S275JR</t>
  </si>
  <si>
    <t>1251121948187</t>
  </si>
  <si>
    <t>Thép cuộn cán nóng 2.92x151Y S275JR II</t>
  </si>
  <si>
    <t>1251121948170</t>
  </si>
  <si>
    <t>Thép cuộn cán nóng 2.92x151Y S275JR</t>
  </si>
  <si>
    <t>1251121948163</t>
  </si>
  <si>
    <t>Thép cuộn cán nóng 2.82x151Y S275JR II</t>
  </si>
  <si>
    <t>1251121948156</t>
  </si>
  <si>
    <t>Thép cuộn cán nóng 2.82x151Y S275JR</t>
  </si>
  <si>
    <t>1251121948149</t>
  </si>
  <si>
    <t>Thép cuộn cán nóng 2.72x151Y S275JR II</t>
  </si>
  <si>
    <t>1251121948132</t>
  </si>
  <si>
    <t>Thép cuộn cán nóng 2.72x151Y S275JR</t>
  </si>
  <si>
    <t>1251121948125</t>
  </si>
  <si>
    <t>Thép cuộn cán nóng 5.80x134X S275JR II</t>
  </si>
  <si>
    <t>5.80×1342×C</t>
  </si>
  <si>
    <t>1251121948118</t>
  </si>
  <si>
    <t>Thép cuộn cán nóng 5.80x134X S275JR</t>
  </si>
  <si>
    <t>1251121948101</t>
  </si>
  <si>
    <t>Thép cuộn cán nóng 4.50x134X S275JR II</t>
  </si>
  <si>
    <t>1251121948095</t>
  </si>
  <si>
    <t>Thép cuộn cán nóng 4.50x134X S275JR</t>
  </si>
  <si>
    <t>1251121948088</t>
  </si>
  <si>
    <t>Thép cuộn cán nóng 4.30x134X S275JR II</t>
  </si>
  <si>
    <t>1251121948071</t>
  </si>
  <si>
    <t>Thép cuộn cán nóng 4.30x134X S275JR</t>
  </si>
  <si>
    <t>1251121948064</t>
  </si>
  <si>
    <t>Thép cuộn cán nóng 3.80x134X S275JR II</t>
  </si>
  <si>
    <t>1251121948057</t>
  </si>
  <si>
    <t>Thép cuộn cán nóng 3.80x134X S275JR</t>
  </si>
  <si>
    <t>1251121948040</t>
  </si>
  <si>
    <t>Thép cuộn cán nóng 2.92x134X S275JR II</t>
  </si>
  <si>
    <t>1251121948033</t>
  </si>
  <si>
    <t>Thép cuộn cán nóng 2.92x134X S275JR</t>
  </si>
  <si>
    <t>1251121948026</t>
  </si>
  <si>
    <t>Thép cuộn cán nóng 2.80x134X S275JR II</t>
  </si>
  <si>
    <t>1251121948019</t>
  </si>
  <si>
    <t>Thép cuộn cán nóng 2.80x134X S275JR</t>
  </si>
  <si>
    <t>1251121948002</t>
  </si>
  <si>
    <t>Thép cuộn cán nóng 8.78x121X S275JR II</t>
  </si>
  <si>
    <t>8.78×1212×C</t>
  </si>
  <si>
    <t>1251121947999</t>
  </si>
  <si>
    <t>Thép cuộn cán nóng 8.78x121X S275JR</t>
  </si>
  <si>
    <t>1251121947982</t>
  </si>
  <si>
    <t>Thép cuộn cán nóng 7.78x121X S275JR II</t>
  </si>
  <si>
    <t>7.78×1212×C</t>
  </si>
  <si>
    <t>1251121947975</t>
  </si>
  <si>
    <t>Thép cuộn cán nóng 7.78x121X S275JR</t>
  </si>
  <si>
    <t>1251121947968</t>
  </si>
  <si>
    <t>Thép cuộn cán nóng 5.82x121X S275JR II</t>
  </si>
  <si>
    <t>5.82×1212×C</t>
  </si>
  <si>
    <t>1251121947951</t>
  </si>
  <si>
    <t>Thép cuộn cán nóng 5.82x121X S275JR</t>
  </si>
  <si>
    <t>1251121947944</t>
  </si>
  <si>
    <t>Thép cuộn cán nóng 5.62x121X S275JR II</t>
  </si>
  <si>
    <t>1251121947937</t>
  </si>
  <si>
    <t>Thép cuộn cán nóng 5.62x121X S275JR</t>
  </si>
  <si>
    <t>1251121947920</t>
  </si>
  <si>
    <t>Thép cuộn cán nóng 4.37x121X S275JR II</t>
  </si>
  <si>
    <t>1251121947913</t>
  </si>
  <si>
    <t>Thép cuộn cán nóng 4.37x121X S275JR</t>
  </si>
  <si>
    <t>1251121947906</t>
  </si>
  <si>
    <t>Thép cuộn cán nóng 3.88x121X S275JR II</t>
  </si>
  <si>
    <t>1251121947890</t>
  </si>
  <si>
    <t>Thép cuộn cán nóng 3.88x121X S275JR</t>
  </si>
  <si>
    <t>1251121947883</t>
  </si>
  <si>
    <t>Thép cuộn cán nóng 2.82x121X S275JR II</t>
  </si>
  <si>
    <t>1251121947876</t>
  </si>
  <si>
    <t>Thép cuộn cán nóng 2.82x121X S275JR</t>
  </si>
  <si>
    <t>1251121947869</t>
  </si>
  <si>
    <t>Thép cuộn cán nóng 2.72x121X S275JR II</t>
  </si>
  <si>
    <t>1251121947852</t>
  </si>
  <si>
    <t>Thép cuộn cán nóng 2.72x121X S275JR</t>
  </si>
  <si>
    <t>1251121947845</t>
  </si>
  <si>
    <t>Thép cuộn cán nóng 2.47x121X S275JR II</t>
  </si>
  <si>
    <t>1251121947838</t>
  </si>
  <si>
    <t>Thép cuộn cán nóng 2.47x121X S275JR</t>
  </si>
  <si>
    <t>1251121947821</t>
  </si>
  <si>
    <t>Thép cuộn cán nóng 5.10x121Y SPHC II</t>
  </si>
  <si>
    <t>1251121947814</t>
  </si>
  <si>
    <t>Thép cuộn cán nóng 5.10x121Y SPHC</t>
  </si>
  <si>
    <t>1251121947807</t>
  </si>
  <si>
    <t>Thép cuộn cán nóng 2.65x151Y SPHC II</t>
  </si>
  <si>
    <t>1251121947791</t>
  </si>
  <si>
    <t>Thép cuộn cán nóng 2.65x151Y SPHC</t>
  </si>
  <si>
    <t>1251121947784</t>
  </si>
  <si>
    <t>Thép cuộn cán nóng 1.85x121Y SPHC II</t>
  </si>
  <si>
    <t>1251121947777</t>
  </si>
  <si>
    <t>Thép cuộn cán nóng 1.85x121Y SPHC</t>
  </si>
  <si>
    <t>1251121947760</t>
  </si>
  <si>
    <t>Thép cuộn cán nóng 1.80x121X SPHC II</t>
  </si>
  <si>
    <t>1251121947753</t>
  </si>
  <si>
    <t>Thép cuộn cán nóng 1.80x121X SPHC</t>
  </si>
  <si>
    <t>1251121947746</t>
  </si>
  <si>
    <t>Thép cuộn cán nóng 2.18x121Y SAE1008 II</t>
  </si>
  <si>
    <t>2.18×1217×C</t>
  </si>
  <si>
    <t>1251121947739</t>
  </si>
  <si>
    <t>Thép cuộn cán nóng 2.18x121Y SAE1008</t>
  </si>
  <si>
    <t>1251121947722</t>
  </si>
  <si>
    <t>Thép cuộn cán nóng 2.40x152X SAE1008 II</t>
  </si>
  <si>
    <t>1251121947715</t>
  </si>
  <si>
    <t>Thép cuộn cán nóng 2.40x152X SAE1008</t>
  </si>
  <si>
    <t>1251121947708</t>
  </si>
  <si>
    <t>Thép cuộn cán nóng 2.40x121Y SAE1008 II</t>
  </si>
  <si>
    <t>1251121947692</t>
  </si>
  <si>
    <t>Thép cuộn cán nóng 2.40x121Y SAE1008</t>
  </si>
  <si>
    <t>1251121947685</t>
  </si>
  <si>
    <t>Thép cuộn cán nóng 2.70x123Y SAE1008 II</t>
  </si>
  <si>
    <t>2.70×1237×C</t>
  </si>
  <si>
    <t>1251121947678</t>
  </si>
  <si>
    <t>Thép cuộn cán nóng 2.70x123Y SAE1008</t>
  </si>
  <si>
    <t>1251121947661</t>
  </si>
  <si>
    <t>Thép cuộn cán nóng 2.20x123Y SAE1008 II</t>
  </si>
  <si>
    <t>1251121947654</t>
  </si>
  <si>
    <t>Thép cuộn cán nóng 2.20x123Y SAE1008</t>
  </si>
  <si>
    <t>1251121947647</t>
  </si>
  <si>
    <t>Thép cuộn cán nóng 2.00x123Y SAE1008 II</t>
  </si>
  <si>
    <t>1251121947630</t>
  </si>
  <si>
    <t>Thép cuộn cán nóng 2.00x123Y SAE1008</t>
  </si>
  <si>
    <t>1251121947623</t>
  </si>
  <si>
    <t>Thép cuộn cán nóng 1.80x123Y SAE1008 II</t>
  </si>
  <si>
    <t>1251121947616</t>
  </si>
  <si>
    <t>Thép cuộn cán nóng 1.80x123Y SAE1008</t>
  </si>
  <si>
    <t>1251121947609</t>
  </si>
  <si>
    <t>Thép cuộn cán nóng 3.40x152X ASTM A36 II</t>
  </si>
  <si>
    <t>1251121947593</t>
  </si>
  <si>
    <t>Thép cuộn cán nóng 3.40x152X ASTM A36</t>
  </si>
  <si>
    <t>1251121947586</t>
  </si>
  <si>
    <t>Thép cuộn cán nóng 3.20x152X ASTM A36 II</t>
  </si>
  <si>
    <t>1251121947579</t>
  </si>
  <si>
    <t>Thép cuộn cán nóng 3.20x152X ASTM A36</t>
  </si>
  <si>
    <t>1251121947562</t>
  </si>
  <si>
    <t>Thép cuộn cán nóng 2.40x121Y ASTM A36 II</t>
  </si>
  <si>
    <t>1251121947555</t>
  </si>
  <si>
    <t>Thép cuộn cán nóng 2.40x121Y ASTM A36</t>
  </si>
  <si>
    <t>1251121947548</t>
  </si>
  <si>
    <t>Thép cuộn cán nóng 3.20x121Y ASTM A36 II</t>
  </si>
  <si>
    <t>1251121947531</t>
  </si>
  <si>
    <t>Thép cuộn cán nóng 3.20x121Y ASTM A36</t>
  </si>
  <si>
    <t>1251121947524</t>
  </si>
  <si>
    <t>Thép cuộn cán nóng 2.75x142X SAE1006 II</t>
  </si>
  <si>
    <t>2.75×1422×C</t>
  </si>
  <si>
    <t>1251121947517</t>
  </si>
  <si>
    <t>Thép cuộn cán nóng 2.75x142X SAE1006</t>
  </si>
  <si>
    <t>1251121947500</t>
  </si>
  <si>
    <t>Thép cuộn cán nóng 2.45x142X SAE1006 II</t>
  </si>
  <si>
    <t>2.45×1422×C</t>
  </si>
  <si>
    <t>1251121947494</t>
  </si>
  <si>
    <t>Thép cuộn cán nóng 2.45x142X SAE1006</t>
  </si>
  <si>
    <t>1251121947487</t>
  </si>
  <si>
    <t>Thép cuộn cán nóng 7.00x123X BjPD II</t>
  </si>
  <si>
    <t>7.00×1232×C</t>
  </si>
  <si>
    <t>1251121947432</t>
  </si>
  <si>
    <t>Thép cuộn cán nóng 7.00x123X BjPD</t>
  </si>
  <si>
    <t>1251121947425</t>
  </si>
  <si>
    <t>Thép cuộn cán nóng 6.00x123X BjPD II</t>
  </si>
  <si>
    <t>6.00×1232×C</t>
  </si>
  <si>
    <t>1251121947418</t>
  </si>
  <si>
    <t>Thép cuộn cán nóng 6.00x123X BjPD</t>
  </si>
  <si>
    <t>1251121947401</t>
  </si>
  <si>
    <t>Thép cuộn cán nóng 6.00x123X BjPC II</t>
  </si>
  <si>
    <t>1251121947395</t>
  </si>
  <si>
    <t>Thép cuộn cán nóng 6.00x123X BjPC</t>
  </si>
  <si>
    <t>1251121947388</t>
  </si>
  <si>
    <t>Thép cuộn cán nóng 7.00x123X BjPC II</t>
  </si>
  <si>
    <t>1251121947371</t>
  </si>
  <si>
    <t>Thép cuộn cán nóng 7.00x123X BjPC</t>
  </si>
  <si>
    <t>1251121947364</t>
  </si>
  <si>
    <t>Thép cuộn cán nóng 2.75x142X SS400 II</t>
  </si>
  <si>
    <t>1251121947272</t>
  </si>
  <si>
    <t>Thép cuộn cán nóng 2.75x142X SS400</t>
  </si>
  <si>
    <t>1251121947265</t>
  </si>
  <si>
    <t>Thép cuộn cán nóng 2.45x142X SS400 II</t>
  </si>
  <si>
    <t>1251121947258</t>
  </si>
  <si>
    <t>Thép cuộn cán nóng 2.45x142X SS400</t>
  </si>
  <si>
    <t>1251121947241</t>
  </si>
  <si>
    <t>Thép cuộn cán nóng 2.90x150X SS400 II</t>
  </si>
  <si>
    <t>1251121947234</t>
  </si>
  <si>
    <t>Thép cuộn cán nóng 2.90x150X SS400</t>
  </si>
  <si>
    <t>1251121947227</t>
  </si>
  <si>
    <t>Thép cuộn cán nóng 3.67x127X S275JR II</t>
  </si>
  <si>
    <t>3.67×1272×C</t>
  </si>
  <si>
    <t>1251121947210</t>
  </si>
  <si>
    <t>Thép cuộn cán nóng 3.67x127X S275JR</t>
  </si>
  <si>
    <t>1251121947203</t>
  </si>
  <si>
    <t>Thép cuộn cán nóng 2.78x127X S275JR II</t>
  </si>
  <si>
    <t>2.78×1272×C</t>
  </si>
  <si>
    <t>1251121947197</t>
  </si>
  <si>
    <t>Thép cuộn cán nóng 2.78x127X S275JR</t>
  </si>
  <si>
    <t>1251121947180</t>
  </si>
  <si>
    <t>Thép cuộn cán nóng 3.60x124X SAE1006 II</t>
  </si>
  <si>
    <t>3.60×1242×C</t>
  </si>
  <si>
    <t>1251121947173</t>
  </si>
  <si>
    <t>Thép cuộn cán nóng 3.60x124X SAE1006</t>
  </si>
  <si>
    <t>1251121947166</t>
  </si>
  <si>
    <t>Thép cuộn cán nóng 2.80x124X SAE1006 II</t>
  </si>
  <si>
    <t>2.80×1242×C</t>
  </si>
  <si>
    <t>1251121947159</t>
  </si>
  <si>
    <t>Thép cuộn cán nóng 2.80x124X SAE1006</t>
  </si>
  <si>
    <t>1251121947142</t>
  </si>
  <si>
    <t>Thép cuộn cán nóng 2.28x125X SAE1006 II</t>
  </si>
  <si>
    <t>2.28×1252×C</t>
  </si>
  <si>
    <t>1251121947135</t>
  </si>
  <si>
    <t>Thép cuộn cán nóng 2.28x125X SAE1006</t>
  </si>
  <si>
    <t>1251121947128</t>
  </si>
  <si>
    <t>Thép cuộn cán nóng 2.25x121Y SAE1006 II</t>
  </si>
  <si>
    <t>1251121947111</t>
  </si>
  <si>
    <t>Thép cuộn cán nóng 2.25x121Y SAE1006</t>
  </si>
  <si>
    <t>1251121947104</t>
  </si>
  <si>
    <t>Thép cuộn cán nóng 2.25x151Y SAE1006 II</t>
  </si>
  <si>
    <t>1251121947098</t>
  </si>
  <si>
    <t>Thép cuộn cán nóng 2.25x151Y SAE1006</t>
  </si>
  <si>
    <t>1251121947081</t>
  </si>
  <si>
    <t>Thép cuộn cán nóng 3.90x123X SAE1006 II</t>
  </si>
  <si>
    <t>3.90×1232×C</t>
  </si>
  <si>
    <t>1251121947074</t>
  </si>
  <si>
    <t>Thép cuộn cán nóng 3.90x123X SAE1006</t>
  </si>
  <si>
    <t>1251121947067</t>
  </si>
  <si>
    <t>Thép cuộn cán nóng 2.80x120X SAE1006 II</t>
  </si>
  <si>
    <t>1251121947050</t>
  </si>
  <si>
    <t>Thép cuộn cán nóng 2.80x120X SAE1006</t>
  </si>
  <si>
    <t>1251121947043</t>
  </si>
  <si>
    <t>Thép cuộn cán nóng 1.80x121X SAE1006 II</t>
  </si>
  <si>
    <t>1251121947036</t>
  </si>
  <si>
    <t>Thép cuộn cán nóng 1.80x121X SAE1006</t>
  </si>
  <si>
    <t>1251121947029</t>
  </si>
  <si>
    <t>Thép cuộn cán nóng 3.50x120X SAE1006 II</t>
  </si>
  <si>
    <t>1251121947012</t>
  </si>
  <si>
    <t>Thép cuộn cán nóng 3.50x120X SAE1006</t>
  </si>
  <si>
    <t>1251121947005</t>
  </si>
  <si>
    <t>Thép cuộn cán nóng 3.50x101X SAE1006 II</t>
  </si>
  <si>
    <t>3.50×1012×C</t>
  </si>
  <si>
    <t>1251121946992</t>
  </si>
  <si>
    <t>Thép cuộn cán nóng 3.50x101X SAE1006</t>
  </si>
  <si>
    <t>1251121946985</t>
  </si>
  <si>
    <t>Thép cuộn cán nóng 2.10x120X SPHC II</t>
  </si>
  <si>
    <t>2.10×1202×C</t>
  </si>
  <si>
    <t>1251121946978</t>
  </si>
  <si>
    <t>Thép cuộn cán nóng 2.10x120X SPHC</t>
  </si>
  <si>
    <t>1251121946961</t>
  </si>
  <si>
    <t>Thép cuộn cán nóng 3.00x120Y S235JR II</t>
  </si>
  <si>
    <t>1251121946954</t>
  </si>
  <si>
    <t>Thép cuộn cán nóng 3.00x120Y S235JR</t>
  </si>
  <si>
    <t>1251121946947</t>
  </si>
  <si>
    <t>Thép cuộn cán nóng 2.30x120Y S235JR II</t>
  </si>
  <si>
    <t>2.30×1207×C</t>
  </si>
  <si>
    <t>1251121946930</t>
  </si>
  <si>
    <t>Thép cuộn cán nóng 2.30x120Y S235JR</t>
  </si>
  <si>
    <t>1251121946923</t>
  </si>
  <si>
    <t>Thép cuộn cán nóng 1.75x120Y S235JR II</t>
  </si>
  <si>
    <t>1.75×1207×C</t>
  </si>
  <si>
    <t>1251121946916</t>
  </si>
  <si>
    <t>Thép cuộn cán nóng 1.75x120Y S235JR</t>
  </si>
  <si>
    <t>1251121946909</t>
  </si>
  <si>
    <t>Thép cuộn cán nóng 1.85x120Y S235JR II</t>
  </si>
  <si>
    <t>1.85×1207×C</t>
  </si>
  <si>
    <t>1251121946893</t>
  </si>
  <si>
    <t>Thép cuộn cán nóng 1.85x120Y S235JR</t>
  </si>
  <si>
    <t>1251121946886</t>
  </si>
  <si>
    <t>Thép cuộn cán nóng 2.12x120Y S235JR II</t>
  </si>
  <si>
    <t>2.12×1207×C</t>
  </si>
  <si>
    <t>1251121946879</t>
  </si>
  <si>
    <t>Thép cuộn cán nóng 2.12x120Y S235JR</t>
  </si>
  <si>
    <t>1251121946862</t>
  </si>
  <si>
    <t>Thép cuộn cán nóng 1.80x120Y S235JR II</t>
  </si>
  <si>
    <t>1.80×1207×C</t>
  </si>
  <si>
    <t>1251121946855</t>
  </si>
  <si>
    <t>Thép cuộn cán nóng 1.80x120Y S235JR</t>
  </si>
  <si>
    <t>1251121946848</t>
  </si>
  <si>
    <t>Thép cuộn cán nóng 3.50x127X SPHC II</t>
  </si>
  <si>
    <t>3.50×1272×C</t>
  </si>
  <si>
    <t>1251121946831</t>
  </si>
  <si>
    <t>Thép cuộn cán nóng 3.50x127X SPHC</t>
  </si>
  <si>
    <t>1251121946824</t>
  </si>
  <si>
    <t>Thép cuộn cán nóng 4.00x127X SPHC II</t>
  </si>
  <si>
    <t>1251121946817</t>
  </si>
  <si>
    <t>Thép cuộn cán nóng 4.00x127X SPHC</t>
  </si>
  <si>
    <t>1251121946800</t>
  </si>
  <si>
    <t>Thép cuộn cán nóng 3.70x127X SPHC II</t>
  </si>
  <si>
    <t>3.70×1272×C</t>
  </si>
  <si>
    <t>1251121946794</t>
  </si>
  <si>
    <t>Thép cuộn cán nóng 3.70x127X SPHC</t>
  </si>
  <si>
    <t>1251121946787</t>
  </si>
  <si>
    <t>Thép cuộn cán nóng 3.20x127X SPHC II</t>
  </si>
  <si>
    <t>1251121946770</t>
  </si>
  <si>
    <t>Thép cuộn cán nóng 3.20x127X SPHC</t>
  </si>
  <si>
    <t>1251121946763</t>
  </si>
  <si>
    <t>Thép cuộn cán nóng 2.87x127X SPHC II</t>
  </si>
  <si>
    <t>2.87×1272×C</t>
  </si>
  <si>
    <t>1251121946756</t>
  </si>
  <si>
    <t>Thép cuộn cán nóng 2.87x127X SPHC</t>
  </si>
  <si>
    <t>1251121946749</t>
  </si>
  <si>
    <t>Thép cuộn cán nóng 3.00x105X SS400 II</t>
  </si>
  <si>
    <t>1251121946732</t>
  </si>
  <si>
    <t>Thép cuộn cán nóng 3.00x105X SS400</t>
  </si>
  <si>
    <t>1251121946725</t>
  </si>
  <si>
    <t>Thép cuộn cán nóng 2.75x131X SS400 II</t>
  </si>
  <si>
    <t>1251121946718</t>
  </si>
  <si>
    <t>Thép cuộn cán nóng 2.75x131X SS400</t>
  </si>
  <si>
    <t>1251121946701</t>
  </si>
  <si>
    <t>Thép cuộn cán nóng 3.00x121Y SPHT1 II</t>
  </si>
  <si>
    <t>1251121946695</t>
  </si>
  <si>
    <t>Thép cuộn cán nóng 3.00x121Y SPHT1</t>
  </si>
  <si>
    <t>1251121946688</t>
  </si>
  <si>
    <t>Thép cuộn cán nóng 6.10x150X SS400 II</t>
  </si>
  <si>
    <t>6.10×1502×C</t>
  </si>
  <si>
    <t>1251121946596</t>
  </si>
  <si>
    <t>Thép cuộn cán nóng 6.10x150X SS400</t>
  </si>
  <si>
    <t>1251121946589</t>
  </si>
  <si>
    <t>Thép cuộn cán nóng 1.82x108X S235JR II</t>
  </si>
  <si>
    <t>1.82×1082×C</t>
  </si>
  <si>
    <t>1251121946480</t>
  </si>
  <si>
    <t>Thép cuộn cán nóng 1.82x108X S235JR</t>
  </si>
  <si>
    <t>1251121946473</t>
  </si>
  <si>
    <t>Thép cuộn cán nóng 3.20x105X SS400 II</t>
  </si>
  <si>
    <t>1251121946466</t>
  </si>
  <si>
    <t>Thép cuộn cán nóng 3.20x105X SS400</t>
  </si>
  <si>
    <t>1251121946459</t>
  </si>
  <si>
    <t>Thép cuộn cán nóng 4.50x127X SPHC II</t>
  </si>
  <si>
    <t>4.50×1272×C</t>
  </si>
  <si>
    <t>1251121946442</t>
  </si>
  <si>
    <t>Thép cuộn cán nóng 4.50x127X SPHC</t>
  </si>
  <si>
    <t>1251121946435</t>
  </si>
  <si>
    <t>Thép cuộn cán nóng 3.00x127X SPHC II</t>
  </si>
  <si>
    <t>1251121946428</t>
  </si>
  <si>
    <t>Thép cuộn cán nóng 3.00x127X SPHC</t>
  </si>
  <si>
    <t>1251121946411</t>
  </si>
  <si>
    <t>Thép cuộn cán nóng 2.00x127X SPHC II</t>
  </si>
  <si>
    <t>2.00×1272×C</t>
  </si>
  <si>
    <t>1251121946404</t>
  </si>
  <si>
    <t>Thép cuộn cán nóng 2.00x127X SPHC</t>
  </si>
  <si>
    <t>1251121946398</t>
  </si>
  <si>
    <t>Thép cuộn cán nóng 2.50x102X SAE1006 II</t>
  </si>
  <si>
    <t>2.50×1022×C</t>
  </si>
  <si>
    <t>1251121946381</t>
  </si>
  <si>
    <t>Thép cuộn cán nóng 2.50x102X SAE1006</t>
  </si>
  <si>
    <t>1251121946374</t>
  </si>
  <si>
    <t>Thép cuộn cán nóng 2.00x127X SAE1006 II</t>
  </si>
  <si>
    <t>1251121946367</t>
  </si>
  <si>
    <t>Thép cuộn cán nóng 2.00x127X SAE1006</t>
  </si>
  <si>
    <t>1251121946350</t>
  </si>
  <si>
    <t>Thép cuộn cán nóng 2.50x152X SAE1006 II</t>
  </si>
  <si>
    <t>1251121946343</t>
  </si>
  <si>
    <t>Thép cuộn cán nóng 2.50x152X SAE1006</t>
  </si>
  <si>
    <t>1251121946336</t>
  </si>
  <si>
    <t>Thép cuộn cán nóng 11.40x1219 S275JR II</t>
  </si>
  <si>
    <t>11.40×1219×C</t>
  </si>
  <si>
    <t>1251121905500</t>
  </si>
  <si>
    <t>Thép cuộn cán nóng 11.40x1219 S275JR</t>
  </si>
  <si>
    <t>1251121905494</t>
  </si>
  <si>
    <t>Thép cuộn cán nóng 9.50x1520 S275JR II</t>
  </si>
  <si>
    <t>9.50×1520×C</t>
  </si>
  <si>
    <t>1251121905487</t>
  </si>
  <si>
    <t>Thép cuộn cán nóng 9.50x1520 S275JR</t>
  </si>
  <si>
    <t>1251121905470</t>
  </si>
  <si>
    <t>Thép cuộn cán nóng 3.50x1500 S275JR II</t>
  </si>
  <si>
    <t>1251121905463</t>
  </si>
  <si>
    <t>Thép cuộn cán nóng 3.50x1500 S275JR</t>
  </si>
  <si>
    <t>1251121905456</t>
  </si>
  <si>
    <t>Thép cuộn cán nóng 2.60x1250 S275JR II</t>
  </si>
  <si>
    <t>2.60×1250×C</t>
  </si>
  <si>
    <t>1251121905449</t>
  </si>
  <si>
    <t>Thép cuộn cán nóng 2.60x1250 S275JR</t>
  </si>
  <si>
    <t>1251121905432</t>
  </si>
  <si>
    <t>Thép cuộn cán nóng 2.75x1219 S275JR II</t>
  </si>
  <si>
    <t>1251121905425</t>
  </si>
  <si>
    <t>Thép cuộn cán nóng 2.75x1219 S275JR</t>
  </si>
  <si>
    <t>1251121905418</t>
  </si>
  <si>
    <t>Thép cuộn cán nóng 5.90x1215 S275JR II</t>
  </si>
  <si>
    <t>5.90×1215×C</t>
  </si>
  <si>
    <t>1251121905401</t>
  </si>
  <si>
    <t>Thép cuộn cán nóng 5.90x1215 S275JR</t>
  </si>
  <si>
    <t>1251121905395</t>
  </si>
  <si>
    <t>Thép cuộn cán nóng 2.50x1215 S275JR II</t>
  </si>
  <si>
    <t>1251121905388</t>
  </si>
  <si>
    <t>Thép cuộn cán nóng 2.50x1215 S275JR</t>
  </si>
  <si>
    <t>1251121905371</t>
  </si>
  <si>
    <t>Thép cuộn cán nóng 7.25x1520 S275JR II</t>
  </si>
  <si>
    <t>7.25×1520×C</t>
  </si>
  <si>
    <t>1251121905364</t>
  </si>
  <si>
    <t>Thép cuộn cán nóng 7.25x1520 S275JR</t>
  </si>
  <si>
    <t>1251121905357</t>
  </si>
  <si>
    <t>Thép cuộn cán nóng 8.00x1520 S275JR II</t>
  </si>
  <si>
    <t>8.00×1520×C</t>
  </si>
  <si>
    <t>1251121905340</t>
  </si>
  <si>
    <t>Thép cuộn cán nóng 8.00x1520 S275JR</t>
  </si>
  <si>
    <t>1251121905333</t>
  </si>
  <si>
    <t>Thép cuộn cán nóng 5.00x1225 S275JR II</t>
  </si>
  <si>
    <t>5.00×1225×C</t>
  </si>
  <si>
    <t>1251121905326</t>
  </si>
  <si>
    <t>Thép cuộn cán nóng 5.00x1225 S275JR</t>
  </si>
  <si>
    <t>1251121905319</t>
  </si>
  <si>
    <t>Thép cuộn cán nóng 3.61x1520 S275JR II</t>
  </si>
  <si>
    <t>3.61×1520×C</t>
  </si>
  <si>
    <t>1251121905302</t>
  </si>
  <si>
    <t>Thép cuộn cán nóng 3.61x1520 S275JR</t>
  </si>
  <si>
    <t>1251121905296</t>
  </si>
  <si>
    <t>Thép cuộn cán nóng 6.20x1520 S275JR II</t>
  </si>
  <si>
    <t>6.20×1520×C</t>
  </si>
  <si>
    <t>1251121905289</t>
  </si>
  <si>
    <t>Thép cuộn cán nóng 6.20x1520 S275JR</t>
  </si>
  <si>
    <t>1251121905272</t>
  </si>
  <si>
    <t>Thép cuộn cán nóng 6.20x1215 S275JR II</t>
  </si>
  <si>
    <t>6.20×1215×C</t>
  </si>
  <si>
    <t>1251121905265</t>
  </si>
  <si>
    <t>Thép cuộn cán nóng 6.20x1215 S275JR</t>
  </si>
  <si>
    <t>1251121905258</t>
  </si>
  <si>
    <t>Thép cuộn cán nóng 7.90x1250 S275JR II</t>
  </si>
  <si>
    <t>7.90×1250×C</t>
  </si>
  <si>
    <t>1251121905241</t>
  </si>
  <si>
    <t>Thép cuộn cán nóng 7.90x1250 S275JR</t>
  </si>
  <si>
    <t>1251121905234</t>
  </si>
  <si>
    <t>Thép cuộn cán nóng 7.90x1520 S275JR II</t>
  </si>
  <si>
    <t>7.90×1520×C</t>
  </si>
  <si>
    <t>1251121905227</t>
  </si>
  <si>
    <t>Thép cuộn cán nóng 7.90x1520 S275JR</t>
  </si>
  <si>
    <t>1251121905210</t>
  </si>
  <si>
    <t>Thép cuộn cán nóng 6.00x1520 S275JR II</t>
  </si>
  <si>
    <t>6.00×1520×C</t>
  </si>
  <si>
    <t>1251121905203</t>
  </si>
  <si>
    <t>Thép cuộn cán nóng 6.00x1520 S275JR</t>
  </si>
  <si>
    <t>1251121905197</t>
  </si>
  <si>
    <t>Thép cuộn cán nóng 5.00x1520 S275JR II</t>
  </si>
  <si>
    <t>1251121905180</t>
  </si>
  <si>
    <t>Thép cuộn cán nóng 5.00x1520 S275JR</t>
  </si>
  <si>
    <t>1251121905173</t>
  </si>
  <si>
    <t>Thép cuộn cán nóng 11.70x1515 S275JR II</t>
  </si>
  <si>
    <t>11.70×1515×C</t>
  </si>
  <si>
    <t>1251121905166</t>
  </si>
  <si>
    <t>Thép cuộn cán nóng 11.70x1515 S275JR</t>
  </si>
  <si>
    <t>1251121905159</t>
  </si>
  <si>
    <t>Thép cuộn cán nóng 8.70x1515 S275JR II</t>
  </si>
  <si>
    <t>8.70×1515×C</t>
  </si>
  <si>
    <t>1251121905142</t>
  </si>
  <si>
    <t>Thép cuộn cán nóng 8.70x1515 S275JR</t>
  </si>
  <si>
    <t>1251121905135</t>
  </si>
  <si>
    <t>Thép cuộn cán nóng 7.80x1515 S275JR II</t>
  </si>
  <si>
    <t>7.80×1515×C</t>
  </si>
  <si>
    <t>1251121905128</t>
  </si>
  <si>
    <t>Thép cuộn cán nóng 7.80x1515 S275JR</t>
  </si>
  <si>
    <t>1251121905111</t>
  </si>
  <si>
    <t>Thép cuộn cán nóng 5.85x1515 S275JR II</t>
  </si>
  <si>
    <t>5.85×1515×C</t>
  </si>
  <si>
    <t>1251121905104</t>
  </si>
  <si>
    <t>Thép cuộn cán nóng 5.85x1515 S275JR</t>
  </si>
  <si>
    <t>1251121905098</t>
  </si>
  <si>
    <t>Thép cuộn cán nóng 5.70x1515 S275JR II</t>
  </si>
  <si>
    <t>5.70×1515×C</t>
  </si>
  <si>
    <t>1251121905081</t>
  </si>
  <si>
    <t>Thép cuộn cán nóng 5.70x1515 S275JR</t>
  </si>
  <si>
    <t>1251121905074</t>
  </si>
  <si>
    <t>Thép cuộn cán nóng 4.40x1515 S275JR II</t>
  </si>
  <si>
    <t>4.40×1515×C</t>
  </si>
  <si>
    <t>1251121905067</t>
  </si>
  <si>
    <t>Thép cuộn cán nóng 4.40x1515 S275JR</t>
  </si>
  <si>
    <t>1251121905050</t>
  </si>
  <si>
    <t>Thép cuộn cán nóng 5.50x1395 S275JR II</t>
  </si>
  <si>
    <t>5.50×1395×C</t>
  </si>
  <si>
    <t>1251121905043</t>
  </si>
  <si>
    <t>Thép cuộn cán nóng 5.50x1395 S275JR</t>
  </si>
  <si>
    <t>1251121905036</t>
  </si>
  <si>
    <t>Thép cuộn cán nóng 4.55x1395 S275JR II</t>
  </si>
  <si>
    <t>4.55×1395×C</t>
  </si>
  <si>
    <t>1251121905029</t>
  </si>
  <si>
    <t>Thép cuộn cán nóng 4.55x1395 S275JR</t>
  </si>
  <si>
    <t>1251121905012</t>
  </si>
  <si>
    <t>Thép cuộn cán nóng 4.10x1395 S275JR II</t>
  </si>
  <si>
    <t>4.10×1395×C</t>
  </si>
  <si>
    <t>1251121905005</t>
  </si>
  <si>
    <t>Thép cuộn cán nóng 4.10x1395 S275JR</t>
  </si>
  <si>
    <t>1251121904992</t>
  </si>
  <si>
    <t>Thép cuộn cán nóng 3.65x1395 S275JR II</t>
  </si>
  <si>
    <t>3.65×1395×C</t>
  </si>
  <si>
    <t>1251121904985</t>
  </si>
  <si>
    <t>Thép cuộn cán nóng 3.65x1395 S275JR</t>
  </si>
  <si>
    <t>1251121904978</t>
  </si>
  <si>
    <t>Thép cuộn cán nóng 2.48x1335 S275JR II</t>
  </si>
  <si>
    <t>2.48×1335×C</t>
  </si>
  <si>
    <t>1251121904961</t>
  </si>
  <si>
    <t>Thép cuộn cán nóng 2.48x1335 S275JR</t>
  </si>
  <si>
    <t>1251121904954</t>
  </si>
  <si>
    <t>Thép cuộn cán nóng 3.00x1295 S275JR II</t>
  </si>
  <si>
    <t>3.00×1295×C</t>
  </si>
  <si>
    <t>1251121904947</t>
  </si>
  <si>
    <t>Thép cuộn cán nóng 3.00x1295 S275JR</t>
  </si>
  <si>
    <t>1251121904930</t>
  </si>
  <si>
    <t>Thép cuộn cán nóng 8.50x1245 S275JR II</t>
  </si>
  <si>
    <t>1251121904923</t>
  </si>
  <si>
    <t>Thép cuộn cán nóng 9.80x1520 S275JR</t>
  </si>
  <si>
    <t>1251121904671</t>
  </si>
  <si>
    <t>Thép cuộn cán nóng 4.20x1520 S275JR II</t>
  </si>
  <si>
    <t>1251121904664</t>
  </si>
  <si>
    <t>Thép cuộn cán nóng 4.20x1520 S275JR</t>
  </si>
  <si>
    <t>1251121904657</t>
  </si>
  <si>
    <t>Thép cuộn cán nóng 2.95x1520 S275JR II</t>
  </si>
  <si>
    <t>2.95×1520×C</t>
  </si>
  <si>
    <t>1251121904640</t>
  </si>
  <si>
    <t>Thép cuộn cán nóng 2.95x1520 S275JR</t>
  </si>
  <si>
    <t>1251121904633</t>
  </si>
  <si>
    <t>Thép cuộn cán nóng 2.90x1340 S275JR II</t>
  </si>
  <si>
    <t>2.90×1340×C</t>
  </si>
  <si>
    <t>1251121904626</t>
  </si>
  <si>
    <t>Thép cuộn cán nóng 2.90x1340 S275JR</t>
  </si>
  <si>
    <t>1251121904619</t>
  </si>
  <si>
    <t>Thép cuộn cán nóng 4.70x1520 S275JR II</t>
  </si>
  <si>
    <t>4.70×1520×C</t>
  </si>
  <si>
    <t>1251121904602</t>
  </si>
  <si>
    <t>Thép cuộn cán nóng 4.70x1520 S275JR</t>
  </si>
  <si>
    <t>1251121904596</t>
  </si>
  <si>
    <t>Thép cuộn cán nóng 5.50x1250 S275JR II</t>
  </si>
  <si>
    <t>5.50×1250×C</t>
  </si>
  <si>
    <t>1251121904503</t>
  </si>
  <si>
    <t>Thép cuộn cán nóng 5.50x1250 S275JR</t>
  </si>
  <si>
    <t>1251121904497</t>
  </si>
  <si>
    <t>Thép cuộn cán nóng 4.60x1250 S275JR II</t>
  </si>
  <si>
    <t>4.60×1250×C</t>
  </si>
  <si>
    <t>1251121904480</t>
  </si>
  <si>
    <t>Thép cuộn cán nóng 4.60x1250 S275JR</t>
  </si>
  <si>
    <t>1251121904473</t>
  </si>
  <si>
    <t>Thép cuộn cán nóng 3.70x1250 S275JR II</t>
  </si>
  <si>
    <t>1251121904466</t>
  </si>
  <si>
    <t>Thép cuộn cán nóng 3.70x1250 S275JR</t>
  </si>
  <si>
    <t>1251121904459</t>
  </si>
  <si>
    <t>Thép cuộn cán nóng 4.00x1250 S275JR II</t>
  </si>
  <si>
    <t>1251121904442</t>
  </si>
  <si>
    <t>Thép cuộn cán nóng 4.00x1250 S275JR</t>
  </si>
  <si>
    <t>1251121904435</t>
  </si>
  <si>
    <t>Thép cuộn cán nóng 2.50x1500 S275JR II</t>
  </si>
  <si>
    <t>2.50×1500×C</t>
  </si>
  <si>
    <t>1251121904428</t>
  </si>
  <si>
    <t>Thép cuộn cán nóng 2.50x1500 S275JR</t>
  </si>
  <si>
    <t>1251121904411</t>
  </si>
  <si>
    <t>Thép cuộn cán nóng 12.00x1500 S275JR II</t>
  </si>
  <si>
    <t>1251121904404</t>
  </si>
  <si>
    <t>Thép cuộn cán nóng 12.00x1500 S275JR</t>
  </si>
  <si>
    <t>1251121904398</t>
  </si>
  <si>
    <t>Thép cuộn cán nóng 3.70x1520 S235JR II</t>
  </si>
  <si>
    <t>3.70×1520×C</t>
  </si>
  <si>
    <t>1251121904381</t>
  </si>
  <si>
    <t>Thép cuộn cán nóng 3.70x1520 S235JR</t>
  </si>
  <si>
    <t>1251121904374</t>
  </si>
  <si>
    <t>Thép cuộn cán nóng 11.70x1215 S235JR II</t>
  </si>
  <si>
    <t>11.70×1215×C</t>
  </si>
  <si>
    <t>1251121904367</t>
  </si>
  <si>
    <t>Thép cuộn cán nóng 11.70x1215 S235JR</t>
  </si>
  <si>
    <t>1251121904350</t>
  </si>
  <si>
    <t>Thép cuộn cán nóng 8.70x1215 S235JR II</t>
  </si>
  <si>
    <t>8.70×1215×C</t>
  </si>
  <si>
    <t>1251121904343</t>
  </si>
  <si>
    <t>Thép cuộn cán nóng 8.70x1215 S235JR</t>
  </si>
  <si>
    <t>1251121904336</t>
  </si>
  <si>
    <t>Thép cuộn cán nóng 4.20x1215 S235JR II</t>
  </si>
  <si>
    <t>4.20×1215×C</t>
  </si>
  <si>
    <t>1251121904329</t>
  </si>
  <si>
    <t>Thép cuộn cán nóng 4.20x1215 S235JR</t>
  </si>
  <si>
    <t>1251121904312</t>
  </si>
  <si>
    <t>Thép cuộn cán nóng 3.70x1215 S235JR II</t>
  </si>
  <si>
    <t>3.70×1215×C</t>
  </si>
  <si>
    <t>1251121904305</t>
  </si>
  <si>
    <t>Thép cuộn cán nóng 3.70x1215 S235JR</t>
  </si>
  <si>
    <t>1251121904299</t>
  </si>
  <si>
    <t>Thép cuộn cán nóng 2.90x1215 S235JR II</t>
  </si>
  <si>
    <t>2.90×1215×C</t>
  </si>
  <si>
    <t>1251121904282</t>
  </si>
  <si>
    <t>Thép cuộn cán nóng 2.90x1215 S235JR</t>
  </si>
  <si>
    <t>1251121904275</t>
  </si>
  <si>
    <t>Thép cuộn cán nóng 2.70x1520 S235JR II</t>
  </si>
  <si>
    <t>2.70×1520×C</t>
  </si>
  <si>
    <t>1251121904268</t>
  </si>
  <si>
    <t>Thép cuộn cán nóng 2.70x1520 S235JR</t>
  </si>
  <si>
    <t>1251121904251</t>
  </si>
  <si>
    <t>Thép cuộn cán nóng 5.00x1000 S235JR II</t>
  </si>
  <si>
    <t>5.00×1000×C</t>
  </si>
  <si>
    <t>1251121904244</t>
  </si>
  <si>
    <t>Thép cuộn cán nóng 5.00x1000 S235JR</t>
  </si>
  <si>
    <t>1251121904237</t>
  </si>
  <si>
    <t>Thép cuộn cán nóng 3.90x1400 S235JR II</t>
  </si>
  <si>
    <t>3.90×1400×C</t>
  </si>
  <si>
    <t>1251121904220</t>
  </si>
  <si>
    <t>Thép cuộn cán nóng 3.90x1400 S235JR</t>
  </si>
  <si>
    <t>1251121904213</t>
  </si>
  <si>
    <t>Thép cuộn cán nóng 2.90x1425 S235JR II</t>
  </si>
  <si>
    <t>2.90×1425×C</t>
  </si>
  <si>
    <t>1251121904206</t>
  </si>
  <si>
    <t>Thép cuộn cán nóng 2.90x1425 S235JR</t>
  </si>
  <si>
    <t>1251121904190</t>
  </si>
  <si>
    <t>Thép cuộn cán nóng 2.45x1425 S235JR II</t>
  </si>
  <si>
    <t>2.45×1425×C</t>
  </si>
  <si>
    <t>1251121904183</t>
  </si>
  <si>
    <t>Thép cuộn cán nóng 2.45x1425 S235JR</t>
  </si>
  <si>
    <t>1251121904176</t>
  </si>
  <si>
    <t>Thép cuộn cán nóng 12.00x1250 S235JR II</t>
  </si>
  <si>
    <t>1251121904169</t>
  </si>
  <si>
    <t>Thép cuộn cán nóng 12.00x1250 S235JR</t>
  </si>
  <si>
    <t>1251121904152</t>
  </si>
  <si>
    <t>Thép cuộn cán nóng 7.00x1500 S235JR II</t>
  </si>
  <si>
    <t>7.00×1500×C</t>
  </si>
  <si>
    <t>1251121904145</t>
  </si>
  <si>
    <t>Thép cuộn cán nóng 7.00x1500 S235JR</t>
  </si>
  <si>
    <t>1251121904138</t>
  </si>
  <si>
    <t>Thép cuộn cán nóng 3.90x1250 S235JR II</t>
  </si>
  <si>
    <t>1251121904121</t>
  </si>
  <si>
    <t>Thép cuộn cán nóng 3.90x1250 S235JR</t>
  </si>
  <si>
    <t>1251121904114</t>
  </si>
  <si>
    <t>Thép cuộn cán nóng 2.90x1250 S235JR II</t>
  </si>
  <si>
    <t>1251121904107</t>
  </si>
  <si>
    <t>Thép cuộn cán nóng 2.90x1250 S235JR</t>
  </si>
  <si>
    <t>1251121904091</t>
  </si>
  <si>
    <t>Thép cuộn cán nóng 3.70x1500 S355JR II</t>
  </si>
  <si>
    <t>1251121904084</t>
  </si>
  <si>
    <t>Thép cuộn cán nóng 3.70x1500 S355JR</t>
  </si>
  <si>
    <t>1251121904077</t>
  </si>
  <si>
    <t>Thép cuộn cán nóng 3.70x1250 S355JR II</t>
  </si>
  <si>
    <t>1251121904060</t>
  </si>
  <si>
    <t>Thép cuộn cán nóng 3.70x1250 S355JR</t>
  </si>
  <si>
    <t>1251121904053</t>
  </si>
  <si>
    <t>Thép cuộn cán nóng 2.80x1500 S355JR II</t>
  </si>
  <si>
    <t>1251121904046</t>
  </si>
  <si>
    <t>Thép cuộn cán nóng 2.80x1500 S355JR</t>
  </si>
  <si>
    <t>1251121904039</t>
  </si>
  <si>
    <t>Thép cuộn cán nóng 2.80x1250 S355JR II</t>
  </si>
  <si>
    <t>1251121904022</t>
  </si>
  <si>
    <t>Thép cuộn cán nóng 2.80x1250 S355JR</t>
  </si>
  <si>
    <t>1251121904015</t>
  </si>
  <si>
    <t>Thép cuộn cán nóng 4.90x1390 S355JR II</t>
  </si>
  <si>
    <t>4.90×1390×C</t>
  </si>
  <si>
    <t>1251121904008</t>
  </si>
  <si>
    <t>Thép cuộn cán nóng 4.90x1390 S355JR</t>
  </si>
  <si>
    <t>1251121903995</t>
  </si>
  <si>
    <t>Thép cuộn cán nóng 3.00x1390 S355JR II</t>
  </si>
  <si>
    <t>3.00×1390×C</t>
  </si>
  <si>
    <t>1251121903988</t>
  </si>
  <si>
    <t>Thép cuộn cán nóng 3.00x1390 S355JR</t>
  </si>
  <si>
    <t>1251121903971</t>
  </si>
  <si>
    <t>Thép cuộn cán nóng 4.00x1345 S355JR II</t>
  </si>
  <si>
    <t>4.00×1345×C</t>
  </si>
  <si>
    <t>1251121903964</t>
  </si>
  <si>
    <t>Thép cuộn cán nóng 4.00x1345 S355JR</t>
  </si>
  <si>
    <t>1251121903957</t>
  </si>
  <si>
    <t>Thép cuộn cán nóng 3.00x1345 S355JR II</t>
  </si>
  <si>
    <t>3.00×1345×C</t>
  </si>
  <si>
    <t>1251121903940</t>
  </si>
  <si>
    <t>Thép cuộn cán nóng 3.00x1345 S355JR</t>
  </si>
  <si>
    <t>1251121903933</t>
  </si>
  <si>
    <t>Thép cuộn cán nóng 3.50x1307 S355JR II</t>
  </si>
  <si>
    <t>3.50×1307×C</t>
  </si>
  <si>
    <t>1251121903926</t>
  </si>
  <si>
    <t>Thép cuộn cán nóng 3.50x1307 S355JR</t>
  </si>
  <si>
    <t>1251121903919</t>
  </si>
  <si>
    <t>Thép cuộn cán nóng 3.00x1307 S355JR II</t>
  </si>
  <si>
    <t>1251121903902</t>
  </si>
  <si>
    <t>Thép cuộn cán nóng 3.00x1307 S355JR</t>
  </si>
  <si>
    <t>1251121903896</t>
  </si>
  <si>
    <t>Thép cuộn cán nóng 4.00x1243 S355JR II</t>
  </si>
  <si>
    <t>4.00×1243×C</t>
  </si>
  <si>
    <t>1251121903889</t>
  </si>
  <si>
    <t>Thép cuộn cán nóng 4.00x1243 S355JR</t>
  </si>
  <si>
    <t>1251121903872</t>
  </si>
  <si>
    <t>Thép cuộn cán nóng 3.00x1243 S355JR II</t>
  </si>
  <si>
    <t>3.00×1243×C</t>
  </si>
  <si>
    <t>1251121903865</t>
  </si>
  <si>
    <t>Thép cuộn cán nóng 3.00x1243 S355JR</t>
  </si>
  <si>
    <t>1251121903858</t>
  </si>
  <si>
    <t>Thép cuộn cán nóng 5.10x1360 SPHT1 II</t>
  </si>
  <si>
    <t>5.10×1360×C</t>
  </si>
  <si>
    <t>1251121903841</t>
  </si>
  <si>
    <t>Thép cuộn cán nóng 5.10x1360 SPHT1</t>
  </si>
  <si>
    <t>1251121903834</t>
  </si>
  <si>
    <t>Thép cuộn cán nóng 4.90x1360 SPHT1 II</t>
  </si>
  <si>
    <t>4.90×1360×C</t>
  </si>
  <si>
    <t>1251121903827</t>
  </si>
  <si>
    <t>Thép cuộn cán nóng 4.90x1360 SPHT1</t>
  </si>
  <si>
    <t>1251121903810</t>
  </si>
  <si>
    <t>Thép cuộn cán nóng 4.55x1290 SPHT1 II</t>
  </si>
  <si>
    <t>4.55×1290×C</t>
  </si>
  <si>
    <t>1251121903803</t>
  </si>
  <si>
    <t>Thép cuộn cán nóng 4.55x1290 SPHT1</t>
  </si>
  <si>
    <t>1251121903797</t>
  </si>
  <si>
    <t>Thép cuộn cán nóng 4.10x1282 SPHT1 II</t>
  </si>
  <si>
    <t>4.10×1282×C</t>
  </si>
  <si>
    <t>1251121903780</t>
  </si>
  <si>
    <t>Thép cuộn cán nóng 4.10x1282 SPHT1</t>
  </si>
  <si>
    <t>1251121903773</t>
  </si>
  <si>
    <t>Thép cuộn cán nóng 1.88x1219 SPHC II</t>
  </si>
  <si>
    <t>1.88×1219×C</t>
  </si>
  <si>
    <t>1251121903766</t>
  </si>
  <si>
    <t>Thép cuộn cán nóng 1.88x1219 SPHC</t>
  </si>
  <si>
    <t>1251121903759</t>
  </si>
  <si>
    <t>Thép cuộn cán nóng 1.75x1235 SPHC II</t>
  </si>
  <si>
    <t>1.75×1235×C</t>
  </si>
  <si>
    <t>1251121903742</t>
  </si>
  <si>
    <t>Thép cuộn cán nóng 1.75x1235 SPHC</t>
  </si>
  <si>
    <t>1251121903735</t>
  </si>
  <si>
    <t>Thép cuộn cán nóng 2.20x1215 SPHC II</t>
  </si>
  <si>
    <t>2.20×1215×C</t>
  </si>
  <si>
    <t>1251121903728</t>
  </si>
  <si>
    <t>Thép cuộn cán nóng 2.20x1215 SPHC</t>
  </si>
  <si>
    <t>1251121903711</t>
  </si>
  <si>
    <t>Thép cuộn cán nóng 3.20x1200 BjPC II</t>
  </si>
  <si>
    <t>3.20×1200×C</t>
  </si>
  <si>
    <t>1251121903704</t>
  </si>
  <si>
    <t>Thép cuộn cán nóng 3.20x1200 BjPC</t>
  </si>
  <si>
    <t>1251121903698</t>
  </si>
  <si>
    <t>Thép cuộn cán nóng 2.50x1200 BjPC II</t>
  </si>
  <si>
    <t>1251121903681</t>
  </si>
  <si>
    <t>Thép cuộn cán nóng 2.50x1200 BjPC</t>
  </si>
  <si>
    <t>1251121903674</t>
  </si>
  <si>
    <t>Thép cuộn cán nóng 2.30x1200 BjPC II</t>
  </si>
  <si>
    <t>1251121903667</t>
  </si>
  <si>
    <t>Thép cuộn cán nóng 2.30x1200 BjPC</t>
  </si>
  <si>
    <t>1251121903650</t>
  </si>
  <si>
    <t>Thép cuộn cán nóng 2.00x1200 BjPC II</t>
  </si>
  <si>
    <t>1251121903643</t>
  </si>
  <si>
    <t>Thép cuộn cán nóng 2.00x1200 BjPC</t>
  </si>
  <si>
    <t>1251121903636</t>
  </si>
  <si>
    <t>Thép cuộn cán nóng 3.42x1524 ASTM A36 II</t>
  </si>
  <si>
    <t>1251121903629</t>
  </si>
  <si>
    <t>Thép cuộn cán nóng 3.42x1524 ASTM A36</t>
  </si>
  <si>
    <t>1251121903612</t>
  </si>
  <si>
    <t>Thép cuộn cán nóng 3.04x1524 ASTM A36 II</t>
  </si>
  <si>
    <t>3.04×1524×C</t>
  </si>
  <si>
    <t>1251121903605</t>
  </si>
  <si>
    <t>Thép cuộn cán nóng 3.04x1524 ASTM A36</t>
  </si>
  <si>
    <t>1251121903599</t>
  </si>
  <si>
    <t>Thép cuộn cán nóng 4.18x1219 ASTM A36 II</t>
  </si>
  <si>
    <t>4.18×1219×C</t>
  </si>
  <si>
    <t>1251121903582</t>
  </si>
  <si>
    <t>Thép cuộn cán nóng 4.18x1219 ASTM A36</t>
  </si>
  <si>
    <t>1251121903575</t>
  </si>
  <si>
    <t>Thép cuộn cán nóng 3.80x1219 ASTM A36 II</t>
  </si>
  <si>
    <t>1251121903568</t>
  </si>
  <si>
    <t>Thép cuộn cán nóng 3.80x1219 ASTM A36</t>
  </si>
  <si>
    <t>1251121903551</t>
  </si>
  <si>
    <t>Thép cuộn cán nóng 2.00x1520 SAE1006 II</t>
  </si>
  <si>
    <t>2.00×1520×C</t>
  </si>
  <si>
    <t>1251121903544</t>
  </si>
  <si>
    <t>Thép cuộn cán nóng 2.00x1520 SAE1006</t>
  </si>
  <si>
    <t>1251121903537</t>
  </si>
  <si>
    <t>Thép cuộn cán nóng 3.95x1180 SAE1006 II</t>
  </si>
  <si>
    <t>3.95×1180×C</t>
  </si>
  <si>
    <t>1251121903520</t>
  </si>
  <si>
    <t>Thép cuộn cán nóng 3.95x1180 SAE1006</t>
  </si>
  <si>
    <t>1251121903513</t>
  </si>
  <si>
    <t>Thép cuộn cán nóng 8.70x1210 S275JR II</t>
  </si>
  <si>
    <t>8.70×1210×C</t>
  </si>
  <si>
    <t>1251121903414</t>
  </si>
  <si>
    <t>Thép cuộn cán nóng 8.70x1210 S275JR</t>
  </si>
  <si>
    <t>1251121903407</t>
  </si>
  <si>
    <t>Thép cuộn cán nóng 9.80x1215 S275JR II</t>
  </si>
  <si>
    <t>9.80×1215×C</t>
  </si>
  <si>
    <t>1251121903391</t>
  </si>
  <si>
    <t>Thép cuộn cán nóng 9.80x1215 S275JR</t>
  </si>
  <si>
    <t>1251121903384</t>
  </si>
  <si>
    <t>Thép cuộn cán nóng 9.75x1215 S275JR II</t>
  </si>
  <si>
    <t>9.75×1215×C</t>
  </si>
  <si>
    <t>1251121903377</t>
  </si>
  <si>
    <t>Thép cuộn cán nóng 9.75x1215 S275JR</t>
  </si>
  <si>
    <t>1251121903360</t>
  </si>
  <si>
    <t>Thép cuộn cán nóng 11.80x1215 S275JR II</t>
  </si>
  <si>
    <t>11.80×1215×C</t>
  </si>
  <si>
    <t>1251121903353</t>
  </si>
  <si>
    <t>Thép cuộn cán nóng 11.80x1215 S275JR</t>
  </si>
  <si>
    <t>1251121903346</t>
  </si>
  <si>
    <t>Thép cuộn cán nóng 7.80x1215 S275JR II</t>
  </si>
  <si>
    <t>7.80×1215×C</t>
  </si>
  <si>
    <t>1251121903339</t>
  </si>
  <si>
    <t>Thép cuộn cán nóng 7.80x1215 S275JR</t>
  </si>
  <si>
    <t>1251121903322</t>
  </si>
  <si>
    <t>Thép cuộn cán nóng 4.90x1215 S275JR II</t>
  </si>
  <si>
    <t>4.90×1215×C</t>
  </si>
  <si>
    <t>1251121903315</t>
  </si>
  <si>
    <t>Thép cuộn cán nóng 4.90x1215 S275JR</t>
  </si>
  <si>
    <t>1251121903308</t>
  </si>
  <si>
    <t>Thép cuộn cán nóng 2.95x1215 S275JR II</t>
  </si>
  <si>
    <t>2.95×1215×C</t>
  </si>
  <si>
    <t>1251121903292</t>
  </si>
  <si>
    <t>Thép cuộn cán nóng 2.95x1215 S275JR</t>
  </si>
  <si>
    <t>1251121903285</t>
  </si>
  <si>
    <t>Thép cuộn cán nóng 2.40x1250 S275JR II</t>
  </si>
  <si>
    <t>1251121903278</t>
  </si>
  <si>
    <t>Thép cuộn cán nóng 2.40x1250 S275JR</t>
  </si>
  <si>
    <t>1251121903261</t>
  </si>
  <si>
    <t>Thép cuộn cán nóng 3.20x1270 SAE1006 II</t>
  </si>
  <si>
    <t>3.20×1270×C</t>
  </si>
  <si>
    <t>1251121903216</t>
  </si>
  <si>
    <t>Thép cuộn cán nóng 3.20x1270 SAE1006</t>
  </si>
  <si>
    <t>1251121903209</t>
  </si>
  <si>
    <t>Thép cuộn cán nóng 3.50x1240 SAE1006 II</t>
  </si>
  <si>
    <t>3.50×1240×C</t>
  </si>
  <si>
    <t>1251121903193</t>
  </si>
  <si>
    <t>Thép cuộn cán nóng 3.50x1240 SAE1006</t>
  </si>
  <si>
    <t>1251121903186</t>
  </si>
  <si>
    <t>Thép cuộn cán nóng 2.80x1240 SAE1006 II</t>
  </si>
  <si>
    <t>1251121903179</t>
  </si>
  <si>
    <t>Thép cuộn cán nóng 1.65x1250 S235JR II</t>
  </si>
  <si>
    <t>1251121901038</t>
  </si>
  <si>
    <t>Thép cuộn cán nóng 1.65x1250 S235JR</t>
  </si>
  <si>
    <t>1251121901021</t>
  </si>
  <si>
    <t>Thép cuộn cán nóng 2.20x1515 SAE1006 II</t>
  </si>
  <si>
    <t>2.20×1515×C</t>
  </si>
  <si>
    <t>1251121901014</t>
  </si>
  <si>
    <t>Thép cuộn cán nóng 2.20x1515 SAE1006</t>
  </si>
  <si>
    <t>1251121901007</t>
  </si>
  <si>
    <t>Thép cuộn cán nóng 4.00x1524 S355JR II</t>
  </si>
  <si>
    <t>4.00×1524×C</t>
  </si>
  <si>
    <t>1251121900994</t>
  </si>
  <si>
    <t>Thép cuộn cán nóng 4.00x1524 S355JR</t>
  </si>
  <si>
    <t>1251121900987</t>
  </si>
  <si>
    <t>Thép cuộn cán nóng 3.50x1200 SS400 II</t>
  </si>
  <si>
    <t>3.50×1200×C</t>
  </si>
  <si>
    <t>1251121900963</t>
  </si>
  <si>
    <t>Thép cuộn cán nóng 3.50x1200 SS400</t>
  </si>
  <si>
    <t>1251121900956</t>
  </si>
  <si>
    <t>Thép cuộn cán nóng 4.35x1210 SS400 II</t>
  </si>
  <si>
    <t>4.35×1210×C</t>
  </si>
  <si>
    <t>1251121900949</t>
  </si>
  <si>
    <t>Thép cuộn cán nóng 4.35x1210 SS400</t>
  </si>
  <si>
    <t>1251121900932</t>
  </si>
  <si>
    <t>Thép cuộn cán nóng 4.40x1050 SS400 II</t>
  </si>
  <si>
    <t>4.40×1050×C</t>
  </si>
  <si>
    <t>1251121900925</t>
  </si>
  <si>
    <t>Thép cuộn cán nóng 4.40x1050 SS400</t>
  </si>
  <si>
    <t>1251121900918</t>
  </si>
  <si>
    <t>Thép cuộn cán nóng 9.50x1215 S275JR II</t>
  </si>
  <si>
    <t>9.50×1215×C</t>
  </si>
  <si>
    <t>1251121900901</t>
  </si>
  <si>
    <t>Thép cuộn cán nóng 9.50x1215 S275JR</t>
  </si>
  <si>
    <t>1251121900895</t>
  </si>
  <si>
    <t>Thép cuộn cán nóng 2.75x1215 S275JR II</t>
  </si>
  <si>
    <t>1251121900888</t>
  </si>
  <si>
    <t>Thép cuộn cán nóng 2.75x1215 S275JR</t>
  </si>
  <si>
    <t>1251121900871</t>
  </si>
  <si>
    <t>Thép cuộn cán nóng 5.85x1215 S275JR II</t>
  </si>
  <si>
    <t>5.85×1215×C</t>
  </si>
  <si>
    <t>1251121900864</t>
  </si>
  <si>
    <t>Thép cuộn cán nóng 5.85x1215 S275JR</t>
  </si>
  <si>
    <t>1251121900857</t>
  </si>
  <si>
    <t>Thép cuộn cán nóng 4.40x1215 S275JR II</t>
  </si>
  <si>
    <t>4.40×1215×C</t>
  </si>
  <si>
    <t>1251121900840</t>
  </si>
  <si>
    <t>Thép cuộn cán nóng 4.40x1215 S275JR</t>
  </si>
  <si>
    <t>1251121900833</t>
  </si>
  <si>
    <t>Thép cuộn cán nóng 3.90x1215 S275JR II</t>
  </si>
  <si>
    <t>3.90×1215×C</t>
  </si>
  <si>
    <t>1251121900826</t>
  </si>
  <si>
    <t>Thép cuộn cán nóng 3.90x1215 S275JR</t>
  </si>
  <si>
    <t>1251121900819</t>
  </si>
  <si>
    <t>Thép cuộn cán nóng 11.60x1215 S275JR II</t>
  </si>
  <si>
    <t>11.60×1215×C</t>
  </si>
  <si>
    <t>1251121900802</t>
  </si>
  <si>
    <t>Thép cuộn cán nóng 11.60x1215 S275JR</t>
  </si>
  <si>
    <t>1251121900796</t>
  </si>
  <si>
    <t>Thép cuộn cán nóng 4.75x1215 S275JR II</t>
  </si>
  <si>
    <t>4.75×1215×C</t>
  </si>
  <si>
    <t>1251121900789</t>
  </si>
  <si>
    <t>Thép cuộn cán nóng 4.75x1215 S275JR</t>
  </si>
  <si>
    <t>1251121900772</t>
  </si>
  <si>
    <t>Thép cuộn cán nóng 3.75x1215 S275JR II</t>
  </si>
  <si>
    <t>3.75×1215×C</t>
  </si>
  <si>
    <t>1251121900765</t>
  </si>
  <si>
    <t>Thép cuộn cán nóng 3.75x1215 S275JR</t>
  </si>
  <si>
    <t>1251121900758</t>
  </si>
  <si>
    <t>Thép cuộn cán nóng 2.90x1215 S275JR II</t>
  </si>
  <si>
    <t>1251121900741</t>
  </si>
  <si>
    <t>Thép cuộn cán nóng 2.90x1215 S275JR</t>
  </si>
  <si>
    <t>1251121900734</t>
  </si>
  <si>
    <t>Thép cuộn cán nóng 2.45x1215 S275JR II</t>
  </si>
  <si>
    <t>2.45×1215×C</t>
  </si>
  <si>
    <t>1251121900727</t>
  </si>
  <si>
    <t>Thép cuộn cán nóng 2.45x1215 S275JR</t>
  </si>
  <si>
    <t>1251121900710</t>
  </si>
  <si>
    <t>Thép cuộn cán nóng 8.80x1215 S275JR II</t>
  </si>
  <si>
    <t>8.80×1215×C</t>
  </si>
  <si>
    <t>1251121900703</t>
  </si>
  <si>
    <t>Thép cuộn cán nóng 8.80x1215 S275JR</t>
  </si>
  <si>
    <t>1251121900697</t>
  </si>
  <si>
    <t>Thép cuộn cán nóng 12.00x1500 S235JR II</t>
  </si>
  <si>
    <t>1251121900666</t>
  </si>
  <si>
    <t>Thép cuộn cán nóng 12.00x1500 S235JR</t>
  </si>
  <si>
    <t>1251121900659</t>
  </si>
  <si>
    <t>Thép cuộn cán nóng 7.00x1500 S275JR II</t>
  </si>
  <si>
    <t>1251121900642</t>
  </si>
  <si>
    <t>Thép cuộn cán nóng 7.00x1500 S275JR</t>
  </si>
  <si>
    <t>1251121900635</t>
  </si>
  <si>
    <t>Thép cuộn cán nóng 5.60x1450 S275JR II</t>
  </si>
  <si>
    <t>5.60×1450×C</t>
  </si>
  <si>
    <t>1251121900628</t>
  </si>
  <si>
    <t>Thép cuộn cán nóng 2.00x1220 SPHC II</t>
  </si>
  <si>
    <t>1251121900406</t>
  </si>
  <si>
    <t>Thép cuộn cán nóng 2.00x1220 SPHC</t>
  </si>
  <si>
    <t>1251121900390</t>
  </si>
  <si>
    <t>Thép cuộn cán nóng 3.95x1015 SAE1006 II</t>
  </si>
  <si>
    <t>3.95×1015×C</t>
  </si>
  <si>
    <t>1251121900383</t>
  </si>
  <si>
    <t>Thép cuộn cán nóng 3.95x1015 SAE1006</t>
  </si>
  <si>
    <t>1251121900376</t>
  </si>
  <si>
    <t>Thép cuộn cán nóng 2.20x1015 SAE1006 II</t>
  </si>
  <si>
    <t>2.20×1015×C</t>
  </si>
  <si>
    <t>1251121900369</t>
  </si>
  <si>
    <t>Thép cuộn cán nóng 2.20x1015 SAE1006</t>
  </si>
  <si>
    <t>1251121900352</t>
  </si>
  <si>
    <t>Thép cuộn cán nóng 1.70x1250 S235JR II</t>
  </si>
  <si>
    <t>1.70×1250×C</t>
  </si>
  <si>
    <t>1251121499375</t>
  </si>
  <si>
    <t>Thép cuộn cán nóng 1.70x1250 S235JR</t>
  </si>
  <si>
    <t>1251121499368</t>
  </si>
  <si>
    <t>Thép cuộn cán nóng 6.00x1500 SAE1006 II</t>
  </si>
  <si>
    <t>1251121499351</t>
  </si>
  <si>
    <t>Thép cuộn cán nóng 6.00x1500 SAE1006</t>
  </si>
  <si>
    <t>1251121499344</t>
  </si>
  <si>
    <t>Thép cuộn cán nóng 5.00x1500 SAE1006 II</t>
  </si>
  <si>
    <t>1251121499337</t>
  </si>
  <si>
    <t>Thép cuộn cán nóng 5.00x1500 SAE1006</t>
  </si>
  <si>
    <t>1251121499320</t>
  </si>
  <si>
    <t>Thép cuộn cán nóng 3.00x1500 SAE1006 II</t>
  </si>
  <si>
    <t>1251121499313</t>
  </si>
  <si>
    <t>Thép cuộn cán nóng 3.00x1500 SAE1006</t>
  </si>
  <si>
    <t>1251121499306</t>
  </si>
  <si>
    <t>Thép cuộn cán nóng 2.50x1500 SAE1006 II</t>
  </si>
  <si>
    <t>1251121499290</t>
  </si>
  <si>
    <t>Thép cuộn cán nóng 2.50x1500 SAE1006</t>
  </si>
  <si>
    <t>1251121499283</t>
  </si>
  <si>
    <t>Thép cuộn cán nóng 6.00x1260 SAE1006 II</t>
  </si>
  <si>
    <t>6.00×1260×C</t>
  </si>
  <si>
    <t>1251121499276</t>
  </si>
  <si>
    <t>Thép cuộn cán nóng 6.00x1260 SAE1006</t>
  </si>
  <si>
    <t>1251121499269</t>
  </si>
  <si>
    <t>Thép cuộn cán nóng 4.90x1260 SAE1006 II</t>
  </si>
  <si>
    <t>4.90×1260×C</t>
  </si>
  <si>
    <t>1251121499252</t>
  </si>
  <si>
    <t>Thép cuộn cán nóng 4.90x1260 SAE1006</t>
  </si>
  <si>
    <t>1251121499245</t>
  </si>
  <si>
    <t>Thép cuộn cán nóng 4.00x1500 S355JR II</t>
  </si>
  <si>
    <t>1251121499238</t>
  </si>
  <si>
    <t>Thép cuộn cán nóng 4.00x1500 S355JR</t>
  </si>
  <si>
    <t>1251121499221</t>
  </si>
  <si>
    <t>Thép cuộn cán nóng 5.70x1500 S355JR II</t>
  </si>
  <si>
    <t>5.70×1500×C</t>
  </si>
  <si>
    <t>1251121499214</t>
  </si>
  <si>
    <t>Thép cuộn cán nóng 5.70x1500 S355JR</t>
  </si>
  <si>
    <t>1251121499207</t>
  </si>
  <si>
    <t>Thép cuộn cán nóng 4.70x1500 S355JR II</t>
  </si>
  <si>
    <t>1251121499191</t>
  </si>
  <si>
    <t>Thép cuộn cán nóng 4.70x1500 S355JR</t>
  </si>
  <si>
    <t>1251121499184</t>
  </si>
  <si>
    <t>Thép cuộn cán nóng 2.85x1500 S355JR II</t>
  </si>
  <si>
    <t>1251121499177</t>
  </si>
  <si>
    <t>Thép cuộn cán nóng 2.85x1500 S355JR</t>
  </si>
  <si>
    <t>1251121499160</t>
  </si>
  <si>
    <t>Thép cuộn cán nóng 6.00x1500 S275JR II</t>
  </si>
  <si>
    <t>1251121499153</t>
  </si>
  <si>
    <t>Thép cuộn cán nóng 6.00x1500 S275JR</t>
  </si>
  <si>
    <t>1251121499146</t>
  </si>
  <si>
    <t>Thép cuộn cán nóng 5.70x1420 S275JR II</t>
  </si>
  <si>
    <t>5.70×1420×C</t>
  </si>
  <si>
    <t>1251121499139</t>
  </si>
  <si>
    <t>Thép cuộn cán nóng 5.70x1420 S275JR</t>
  </si>
  <si>
    <t>1251121499122</t>
  </si>
  <si>
    <t>Thép cuộn cán nóng 3.70x1420 S275JR II</t>
  </si>
  <si>
    <t>3.70×1420×C</t>
  </si>
  <si>
    <t>1251121499115</t>
  </si>
  <si>
    <t>Thép cuộn cán nóng 3.70x1420 S275JR</t>
  </si>
  <si>
    <t>1251121499108</t>
  </si>
  <si>
    <t>Thép cuộn cán nóng 11.85x1250 S275JR II</t>
  </si>
  <si>
    <t>11.85×1250×C</t>
  </si>
  <si>
    <t>1251121499092</t>
  </si>
  <si>
    <t>Thép cuộn cán nóng 11.85x1250 S275JR</t>
  </si>
  <si>
    <t>1251121499085</t>
  </si>
  <si>
    <t>Thép cuộn cán nóng 9.85x1250 S275JR II</t>
  </si>
  <si>
    <t>9.85×1250×C</t>
  </si>
  <si>
    <t>1251121499078</t>
  </si>
  <si>
    <t>Thép cuộn cán nóng 9.85x1250 S275JR</t>
  </si>
  <si>
    <t>1251121499061</t>
  </si>
  <si>
    <t>Thép cuộn cán nóng 7.85x1250 S275JR II</t>
  </si>
  <si>
    <t>7.85×1250×C</t>
  </si>
  <si>
    <t>1251121499054</t>
  </si>
  <si>
    <t>Thép cuộn cán nóng 7.85x1250 S275JR</t>
  </si>
  <si>
    <t>1251121499047</t>
  </si>
  <si>
    <t>Thép cuộn cán nóng 5.85x1250 S275JR II</t>
  </si>
  <si>
    <t>5.85×1250×C</t>
  </si>
  <si>
    <t>1251121499030</t>
  </si>
  <si>
    <t>Thép cuộn cán nóng 5.85x1250 S275JR</t>
  </si>
  <si>
    <t>1251121499023</t>
  </si>
  <si>
    <t>Thép cuộn cán nóng 4.85x1250 S275JR II</t>
  </si>
  <si>
    <t>4.85×1250×C</t>
  </si>
  <si>
    <t>1251121499016</t>
  </si>
  <si>
    <t>Thép cuộn cán nóng 4.85x1250 S275JR</t>
  </si>
  <si>
    <t>1251121499009</t>
  </si>
  <si>
    <t>Thép cuộn cán nóng 5.30x1480 SS400 II</t>
  </si>
  <si>
    <t>5.30×1480×C</t>
  </si>
  <si>
    <t>1251121498996</t>
  </si>
  <si>
    <t>Thép cuộn cán nóng 5.30x1480 SS400</t>
  </si>
  <si>
    <t>1251121498989</t>
  </si>
  <si>
    <t>Thép cuộn cán nóng 4.90x1470 SS400 II</t>
  </si>
  <si>
    <t>4.90×1470×C</t>
  </si>
  <si>
    <t>1251121498972</t>
  </si>
  <si>
    <t>Thép cuộn cán nóng 4.90x1470 SS400</t>
  </si>
  <si>
    <t>1251121498965</t>
  </si>
  <si>
    <t>Thép cuộn cán nóng 4.80x1470 SS400 II</t>
  </si>
  <si>
    <t>4.80×1470×C</t>
  </si>
  <si>
    <t>1251121498958</t>
  </si>
  <si>
    <t>Thép cuộn cán nóng 4.80x1470 SS400</t>
  </si>
  <si>
    <t>1251121498941</t>
  </si>
  <si>
    <t>Thép cuộn cán nóng 4.40x1380 SS400 II</t>
  </si>
  <si>
    <t>4.40×1380×C</t>
  </si>
  <si>
    <t>1251121498934</t>
  </si>
  <si>
    <t>Thép cuộn cán nóng 4.40x1380 SS400</t>
  </si>
  <si>
    <t>1251121498927</t>
  </si>
  <si>
    <t>Thép cuộn cán nóng 3.40x1515 SAE1006 II</t>
  </si>
  <si>
    <t>3.40×1515×C</t>
  </si>
  <si>
    <t>1251121498835</t>
  </si>
  <si>
    <t>Thép cuộn cán nóng 3.40x1515 SAE1006</t>
  </si>
  <si>
    <t>1251121498828</t>
  </si>
  <si>
    <t>Thép cuộn cán nóng 3.00x1450 SAE1006 II</t>
  </si>
  <si>
    <t>3.00×1450×C</t>
  </si>
  <si>
    <t>1251121498811</t>
  </si>
  <si>
    <t>Thép cuộn cán nóng 3.00x1450 SAE1006</t>
  </si>
  <si>
    <t>1251121498804</t>
  </si>
  <si>
    <t>Thép cuộn cán nóng 2.50x1450 SAE1006 II</t>
  </si>
  <si>
    <t>2.50×1450×C</t>
  </si>
  <si>
    <t>1251121498798</t>
  </si>
  <si>
    <t>Thép cuộn cán nóng 2.50x1450 SAE1006</t>
  </si>
  <si>
    <t>1251121498781</t>
  </si>
  <si>
    <t>Thép cuộn cán nóng 4.40x1335 S275JR II</t>
  </si>
  <si>
    <t>4.40×1335×C</t>
  </si>
  <si>
    <t>1251121498774</t>
  </si>
  <si>
    <t>Thép cuộn cán nóng 4.40x1335 S275JR</t>
  </si>
  <si>
    <t>1251121498767</t>
  </si>
  <si>
    <t>Thép cuộn cán nóng 5.70x1520 S275JR II</t>
  </si>
  <si>
    <t>5.70×1520×C</t>
  </si>
  <si>
    <t>1251121498750</t>
  </si>
  <si>
    <t>Thép cuộn cán nóng 5.70x1520 S275JR</t>
  </si>
  <si>
    <t>1251121498743</t>
  </si>
  <si>
    <t>Thép cuộn cán nóng 2.85x1520 S275JR II</t>
  </si>
  <si>
    <t>2.85×1520×C</t>
  </si>
  <si>
    <t>1251121498736</t>
  </si>
  <si>
    <t>Thép cuộn cán nóng 2.85x1520 S275JR</t>
  </si>
  <si>
    <t>1251121498729</t>
  </si>
  <si>
    <t>Thép cuộn cán nóng 7.65x1215 S275JR II</t>
  </si>
  <si>
    <t>7.65×1215×C</t>
  </si>
  <si>
    <t>1251121498712</t>
  </si>
  <si>
    <t>Thép cuộn cán nóng 7.65x1215 S275JR</t>
  </si>
  <si>
    <t>1251121498705</t>
  </si>
  <si>
    <t>Thép cuộn cán nóng 2.85x1215 S275JR II</t>
  </si>
  <si>
    <t>2.85×1215×C</t>
  </si>
  <si>
    <t>1251121498699</t>
  </si>
  <si>
    <t>Thép cuộn cán nóng 2.85x1215 S275JR</t>
  </si>
  <si>
    <t>1251121498682</t>
  </si>
  <si>
    <t>Thép cuộn cán nóng 2.70x1215 S275JR II</t>
  </si>
  <si>
    <t>2.70×1215×C</t>
  </si>
  <si>
    <t>1251121498675</t>
  </si>
  <si>
    <t>Thép cuộn cán nóng 2.70x1215 S275JR</t>
  </si>
  <si>
    <t>1251121498668</t>
  </si>
  <si>
    <t>Thép cuộn cán nóng 2.50x1015 SAE1006 II</t>
  </si>
  <si>
    <t>2.50×1015×C</t>
  </si>
  <si>
    <t>1251121498651</t>
  </si>
  <si>
    <t>Thép cuộn cán nóng 2.50x1015 SAE1006</t>
  </si>
  <si>
    <t>1251121498644</t>
  </si>
  <si>
    <t>Thép cuộn cán nóng 2.00x1517 SAE1006 II</t>
  </si>
  <si>
    <t>1251121498637</t>
  </si>
  <si>
    <t>Thép cuộn cán nóng 2.00x1517 SAE1006</t>
  </si>
  <si>
    <t>1251121498620</t>
  </si>
  <si>
    <t>Thép cuộn cán nóng 1.65x1265 SAE1006 II</t>
  </si>
  <si>
    <t>1.65×1265×C</t>
  </si>
  <si>
    <t>1251121498415</t>
  </si>
  <si>
    <t>Thép cuộn cán nóng 1.65x1265 SAE1006</t>
  </si>
  <si>
    <t>1251121498408</t>
  </si>
  <si>
    <t>Thép cuộn cán nóng 10.00x1500 S235JR II</t>
  </si>
  <si>
    <t>1251121498279</t>
  </si>
  <si>
    <t>Thép cuộn cán nóng 10.00x1500 S235JR</t>
  </si>
  <si>
    <t>1251121498262</t>
  </si>
  <si>
    <t>Thép cuộn cán nóng 8.00x1515 S235JR II</t>
  </si>
  <si>
    <t>8.00×1515×C</t>
  </si>
  <si>
    <t>1251121498255</t>
  </si>
  <si>
    <t>Thép cuộn cán nóng 8.00x1515 S235JR</t>
  </si>
  <si>
    <t>1251121498248</t>
  </si>
  <si>
    <t>Thép cuộn cán nóng 6.00x1515 S235JR II</t>
  </si>
  <si>
    <t>6.00×1515×C</t>
  </si>
  <si>
    <t>1251121498231</t>
  </si>
  <si>
    <t>Thép cuộn cán nóng 6.00x1515 S235JR</t>
  </si>
  <si>
    <t>1251121498224</t>
  </si>
  <si>
    <t>Thép cuộn cán nóng 5.00x1515 S235JR II</t>
  </si>
  <si>
    <t>1251121498217</t>
  </si>
  <si>
    <t>Thép cuộn cán nóng 5.00x1515 S235JR</t>
  </si>
  <si>
    <t>1251121498200</t>
  </si>
  <si>
    <t>Thép cuộn cán nóng 4.00x1515 S235JR II</t>
  </si>
  <si>
    <t>1251121498194</t>
  </si>
  <si>
    <t>Thép cuộn cán nóng 4.00x1515 S235JR</t>
  </si>
  <si>
    <t>1251121498187</t>
  </si>
  <si>
    <t>Thép cuộn cán nóng 3.00x1515 S235JR II</t>
  </si>
  <si>
    <t>1251121498170</t>
  </si>
  <si>
    <t>Thép cuộn cán nóng 3.00x1515 S235JR</t>
  </si>
  <si>
    <t>1251121498163</t>
  </si>
  <si>
    <t>Thép cuộn cán nóng 5.95x1500 S355JR II</t>
  </si>
  <si>
    <t>5.95×1500×C</t>
  </si>
  <si>
    <t>1251121498156</t>
  </si>
  <si>
    <t>Thép cuộn cán nóng 5.95x1500 S355JR</t>
  </si>
  <si>
    <t>1251121498149</t>
  </si>
  <si>
    <t>Thép cuộn cán nóng 5.95x1250 S355JR II</t>
  </si>
  <si>
    <t>5.95×1250×C</t>
  </si>
  <si>
    <t>1251121498132</t>
  </si>
  <si>
    <t>Thép cuộn cán nóng 5.95x1250 S355JR</t>
  </si>
  <si>
    <t>1251121498125</t>
  </si>
  <si>
    <t>Thép cuộn cán nóng 4.95x1500 S355JR II</t>
  </si>
  <si>
    <t>4.95×1500×C</t>
  </si>
  <si>
    <t>1251121498118</t>
  </si>
  <si>
    <t>Thép cuộn cán nóng 4.95x1500 S355JR</t>
  </si>
  <si>
    <t>1251121498101</t>
  </si>
  <si>
    <t>Thép cuộn cán nóng 4.95x1250 S355JR II</t>
  </si>
  <si>
    <t>4.95×1250×C</t>
  </si>
  <si>
    <t>1251121498095</t>
  </si>
  <si>
    <t>Thép cuộn cán nóng 4.95x1250 S355JR</t>
  </si>
  <si>
    <t>1251121498088</t>
  </si>
  <si>
    <t>Thép cuộn cán nóng 3.95x1500 S355JR II</t>
  </si>
  <si>
    <t>3.95×1500×C</t>
  </si>
  <si>
    <t>1251121498071</t>
  </si>
  <si>
    <t>Thép cuộn cán nóng 3.95x1500 S355JR</t>
  </si>
  <si>
    <t>1251121498064</t>
  </si>
  <si>
    <t>Thép cuộn cán nóng 3.95x1250 S355JR II</t>
  </si>
  <si>
    <t>3.95×1250×C</t>
  </si>
  <si>
    <t>1251121498057</t>
  </si>
  <si>
    <t>Thép cuộn cán nóng 3.95x1250 S355JR</t>
  </si>
  <si>
    <t>1251121498040</t>
  </si>
  <si>
    <t>Thép cuộn cán nóng 3.00x1500 S355JR II</t>
  </si>
  <si>
    <t>1251121498033</t>
  </si>
  <si>
    <t>Thép cuộn cán nóng 3.00x1500 S355JR</t>
  </si>
  <si>
    <t>1251121498026</t>
  </si>
  <si>
    <t>Thép cuộn cán nóng 3.00x1250 S355JR II</t>
  </si>
  <si>
    <t>1251121498019</t>
  </si>
  <si>
    <t>Thép cuộn cán nóng 3.00x1250 S355JR</t>
  </si>
  <si>
    <t>1251121498002</t>
  </si>
  <si>
    <t>Thép cuộn cán nóng 11.90x1250 S275JR II</t>
  </si>
  <si>
    <t>11.90×1250×C</t>
  </si>
  <si>
    <t>1251121497999</t>
  </si>
  <si>
    <t>Thép cuộn cán nóng 11.90x1250 S275JR</t>
  </si>
  <si>
    <t>1251121497982</t>
  </si>
  <si>
    <t>Thép cuộn cán nóng 9.95x1500 S275JR II</t>
  </si>
  <si>
    <t>9.95×1500×C</t>
  </si>
  <si>
    <t>1251121497975</t>
  </si>
  <si>
    <t>Thép cuộn cán nóng 9.95x1500 S275JR</t>
  </si>
  <si>
    <t>1251121497968</t>
  </si>
  <si>
    <t>Thép cuộn cán nóng 9.95x1250 S275JR II</t>
  </si>
  <si>
    <t>9.95×1250×C</t>
  </si>
  <si>
    <t>1251121497951</t>
  </si>
  <si>
    <t>Thép cuộn cán nóng 9.95x1250 S275JR</t>
  </si>
  <si>
    <t>1251121497944</t>
  </si>
  <si>
    <t>Thép cuộn cán nóng 7.95x1500 S275JR II</t>
  </si>
  <si>
    <t>7.95×1500×C</t>
  </si>
  <si>
    <t>1251121497937</t>
  </si>
  <si>
    <t>Thép cuộn cán nóng 7.95x1500 S275JR</t>
  </si>
  <si>
    <t>1251121497920</t>
  </si>
  <si>
    <t>Thép cuộn cán nóng 7.95x1250 S275JR II</t>
  </si>
  <si>
    <t>7.95×1250×C</t>
  </si>
  <si>
    <t>1251121497913</t>
  </si>
  <si>
    <t>Thép cuộn cán nóng 7.95x1250 S275JR</t>
  </si>
  <si>
    <t>1251121497906</t>
  </si>
  <si>
    <t>Thép cuộn cán nóng 5.95x1500 S275JR II</t>
  </si>
  <si>
    <t>1251121497890</t>
  </si>
  <si>
    <t>Thép cuộn cán nóng 5.95x1500 S275JR</t>
  </si>
  <si>
    <t>1251121497883</t>
  </si>
  <si>
    <t>Thép cuộn cán nóng 5.95x1250 S275JR II</t>
  </si>
  <si>
    <t>1251121497876</t>
  </si>
  <si>
    <t>Thép cuộn cán nóng 5.95x1250 S275JR</t>
  </si>
  <si>
    <t>1251121497869</t>
  </si>
  <si>
    <t>Thép cuộn cán nóng 4.95x1500 S275JR II</t>
  </si>
  <si>
    <t>1251121497852</t>
  </si>
  <si>
    <t>Thép cuộn cán nóng 4.95x1500 S275JR</t>
  </si>
  <si>
    <t>1251121497845</t>
  </si>
  <si>
    <t>Thép cuộn cán nóng 4.95x1250 S275JR II</t>
  </si>
  <si>
    <t>1251121497838</t>
  </si>
  <si>
    <t>Thép cuộn cán nóng 4.95x1250 S275JR</t>
  </si>
  <si>
    <t>1251121497821</t>
  </si>
  <si>
    <t>Thép cuộn cán nóng 3.95x1500 S275JR II</t>
  </si>
  <si>
    <t>1251121497814</t>
  </si>
  <si>
    <t>Thép cuộn cán nóng 3.95x1500 S275JR</t>
  </si>
  <si>
    <t>1251121497807</t>
  </si>
  <si>
    <t>Thép cuộn cán nóng 3.95x1250 S275JR II</t>
  </si>
  <si>
    <t>1251121497791</t>
  </si>
  <si>
    <t>Thép cuộn cán nóng 3.95x1250 S275JR</t>
  </si>
  <si>
    <t>1251121497784</t>
  </si>
  <si>
    <t>Thép cuộn cán nóng 2.95x1500 S275JR II</t>
  </si>
  <si>
    <t>2.95×1500×C</t>
  </si>
  <si>
    <t>1251121497777</t>
  </si>
  <si>
    <t>Thép cuộn cán nóng 2.95x1500 S275JR</t>
  </si>
  <si>
    <t>1251121497760</t>
  </si>
  <si>
    <t>Thép cuộn cán nóng 2.95x1250 S275JR II</t>
  </si>
  <si>
    <t>2.95×1250×C</t>
  </si>
  <si>
    <t>1251121497753</t>
  </si>
  <si>
    <t>Thép cuộn cán nóng 2.95x1250 S275JR</t>
  </si>
  <si>
    <t>1251121497746</t>
  </si>
  <si>
    <t>Thép cuộn cán nóng 2.85x1250 S275JR II</t>
  </si>
  <si>
    <t>2.85×1250×C</t>
  </si>
  <si>
    <t>1251121497739</t>
  </si>
  <si>
    <t>Thép cuộn cán nóng 2.85x1250 S275JR</t>
  </si>
  <si>
    <t>1251121497722</t>
  </si>
  <si>
    <t>Thép cuộn cán nóng 2.45x1500 S275JR II</t>
  </si>
  <si>
    <t>2.45×1500×C</t>
  </si>
  <si>
    <t>1251121497715</t>
  </si>
  <si>
    <t>Thép cuộn cán nóng 2.45x1500 S275JR</t>
  </si>
  <si>
    <t>1251121497708</t>
  </si>
  <si>
    <t>Thép cuộn cán nóng 2.45x1250 S275JR II</t>
  </si>
  <si>
    <t>2.45×1250×C</t>
  </si>
  <si>
    <t>1251121497692</t>
  </si>
  <si>
    <t>Thép cuộn cán nóng 2.45x1250 S275JR</t>
  </si>
  <si>
    <t>1251121497685</t>
  </si>
  <si>
    <t>Thép cuộn cán nóng 1.52x1250 DD11 II</t>
  </si>
  <si>
    <t>1.52×1250×C</t>
  </si>
  <si>
    <t>1251121497678</t>
  </si>
  <si>
    <t>Thép cuộn cán nóng 1.52x1250 DD11</t>
  </si>
  <si>
    <t>1251121497661</t>
  </si>
  <si>
    <t>Thép cuộn cán nóng 4.60x1504 S235JR II</t>
  </si>
  <si>
    <t>1251121497654</t>
  </si>
  <si>
    <t>Thép cuộn cán nóng 4.60x1504 S235JR</t>
  </si>
  <si>
    <t>1251121497647</t>
  </si>
  <si>
    <t>Thép cuộn cán nóng 5.50x1500 S235JR II</t>
  </si>
  <si>
    <t>1251121497630</t>
  </si>
  <si>
    <t>Thép cuộn cán nóng 5.50x1500 S235JR</t>
  </si>
  <si>
    <t>1251121497623</t>
  </si>
  <si>
    <t>Thép cuộn cán nóng 3.30x1500 S235JR II</t>
  </si>
  <si>
    <t>1251121497616</t>
  </si>
  <si>
    <t>Thép cuộn cán nóng 3.30x1500 S235JR</t>
  </si>
  <si>
    <t>1251121497609</t>
  </si>
  <si>
    <t>Thép cuộn cán nóng 2.00x1500 S235JR II</t>
  </si>
  <si>
    <t>1251121497593</t>
  </si>
  <si>
    <t>Thép cuộn cán nóng 2.00x1500 S235JR</t>
  </si>
  <si>
    <t>1251121497586</t>
  </si>
  <si>
    <t>Thép cuộn cán nóng 3.65x1500 S235JR II</t>
  </si>
  <si>
    <t>1251121497579</t>
  </si>
  <si>
    <t>Thép cuộn cán nóng 3.65x1500 S235JR</t>
  </si>
  <si>
    <t>1251121497562</t>
  </si>
  <si>
    <t>Thép cuộn cán nóng 2.80x1500 S235JR II</t>
  </si>
  <si>
    <t>1251121497555</t>
  </si>
  <si>
    <t>Thép cuộn cán nóng 2.80x1500 S235JR</t>
  </si>
  <si>
    <t>1251121497548</t>
  </si>
  <si>
    <t>Thép cuộn cán nóng 3.65x1409 S235JR II</t>
  </si>
  <si>
    <t>1251121497531</t>
  </si>
  <si>
    <t>Thép cuộn cán nóng 3.65x1409 S235JR</t>
  </si>
  <si>
    <t>1251121497524</t>
  </si>
  <si>
    <t>Thép cuộn cán nóng 3.65x1250 S235JR II</t>
  </si>
  <si>
    <t>1251121497517</t>
  </si>
  <si>
    <t>Thép cuộn cán nóng 3.65x1250 S235JR</t>
  </si>
  <si>
    <t>1251121497500</t>
  </si>
  <si>
    <t>Thép cuộn cán nóng 2.80x1000 S235JR II</t>
  </si>
  <si>
    <t>1251121497494</t>
  </si>
  <si>
    <t>Thép cuộn cán nóng 2.80x1000 S235JR</t>
  </si>
  <si>
    <t>1251121497487</t>
  </si>
  <si>
    <t>Thép cuộn cán nóng 3.65x1000 S235JR II</t>
  </si>
  <si>
    <t>1251121497470</t>
  </si>
  <si>
    <t>Thép cuộn cán nóng 3.65x1000 S235JR</t>
  </si>
  <si>
    <t>1251121497463</t>
  </si>
  <si>
    <t>Thép cuộn cán nóng 3.70x1500 S235JR II</t>
  </si>
  <si>
    <t>1251121497456</t>
  </si>
  <si>
    <t>Thép cuộn cán nóng 3.70x1500 S235JR</t>
  </si>
  <si>
    <t>1251121497449</t>
  </si>
  <si>
    <t>Thép cuộn cán nóng 2.45x1500 S235JR II</t>
  </si>
  <si>
    <t>1251121497432</t>
  </si>
  <si>
    <t>Thép cuộn cán nóng 2.45x1500 S235JR</t>
  </si>
  <si>
    <t>1251121497425</t>
  </si>
  <si>
    <t>Thép cuộn cán nóng 10.00x1250 S235JR II</t>
  </si>
  <si>
    <t>10.00×1250×C</t>
  </si>
  <si>
    <t>1251121497418</t>
  </si>
  <si>
    <t>Thép cuộn cán nóng 10.00x1250 S235JR</t>
  </si>
  <si>
    <t>1251121497401</t>
  </si>
  <si>
    <t>Thép cuộn cán nóng 8.00x1250 S235JR II</t>
  </si>
  <si>
    <t>8.00×1250×C</t>
  </si>
  <si>
    <t>1251121497395</t>
  </si>
  <si>
    <t>Thép cuộn cán nóng 8.00x1250 S235JR</t>
  </si>
  <si>
    <t>1251121497388</t>
  </si>
  <si>
    <t>Thép cuộn cán nóng 3.70x1250 S235JR II</t>
  </si>
  <si>
    <t>1251121497371</t>
  </si>
  <si>
    <t>Thép cuộn cán nóng 3.70x1250 S235JR</t>
  </si>
  <si>
    <t>1251121497364</t>
  </si>
  <si>
    <t>Thép cuộn cán nóng 2.80x1250 S235JR II</t>
  </si>
  <si>
    <t>1251121497357</t>
  </si>
  <si>
    <t>Thép cuộn cán nóng 2.80x1250 S235JR</t>
  </si>
  <si>
    <t>1251121497340</t>
  </si>
  <si>
    <t>Thép cuộn cán nóng 2.45x1250 S235JR II</t>
  </si>
  <si>
    <t>1251121497333</t>
  </si>
  <si>
    <t>Thép cuộn cán nóng 2.45x1250 S235JR</t>
  </si>
  <si>
    <t>1251121497326</t>
  </si>
  <si>
    <t>Thép cuộn cán nóng 1.85x1250 S235JR II</t>
  </si>
  <si>
    <t>1.85×1250×C</t>
  </si>
  <si>
    <t>1251121497319</t>
  </si>
  <si>
    <t>Thép cuộn cán nóng 1.85x1250 S235JR</t>
  </si>
  <si>
    <t>1251121497302</t>
  </si>
  <si>
    <t>Thép cuộn cán nóng 12.00x1000 S235JR II</t>
  </si>
  <si>
    <t>12.00×1000×C</t>
  </si>
  <si>
    <t>1251121497296</t>
  </si>
  <si>
    <t>Thép cuộn cán nóng 12.00x1000 S235JR</t>
  </si>
  <si>
    <t>1251121497289</t>
  </si>
  <si>
    <t>Thép cuộn cán nóng 10.00x1000 S235JR II</t>
  </si>
  <si>
    <t>10.00×1000×C</t>
  </si>
  <si>
    <t>1251121497272</t>
  </si>
  <si>
    <t>Thép cuộn cán nóng 10.00x1000 S235JR</t>
  </si>
  <si>
    <t>1251121497265</t>
  </si>
  <si>
    <t>Thép cuộn cán nóng 8.00x1000 S235JR II</t>
  </si>
  <si>
    <t>8.00×1000×C</t>
  </si>
  <si>
    <t>1251121497258</t>
  </si>
  <si>
    <t>Thép cuộn cán nóng 8.00x1000 S235JR</t>
  </si>
  <si>
    <t>1251121497241</t>
  </si>
  <si>
    <t>Thép cuộn cán nóng 6.00x1000 S235JR II</t>
  </si>
  <si>
    <t>1251121497234</t>
  </si>
  <si>
    <t>Thép cuộn cán nóng 6.00x1000 S235JR</t>
  </si>
  <si>
    <t>1251121497227</t>
  </si>
  <si>
    <t>Thép cuộn cán nóng 4.00x1000 S235JR II</t>
  </si>
  <si>
    <t>4.00×1000×C</t>
  </si>
  <si>
    <t>1251121497210</t>
  </si>
  <si>
    <t>Thép cuộn cán nóng 4.00x1000 S235JR</t>
  </si>
  <si>
    <t>1251121497203</t>
  </si>
  <si>
    <t>Thép cuộn cán nóng 3.00x1000 S235JR II</t>
  </si>
  <si>
    <t>3.00×1000×C</t>
  </si>
  <si>
    <t>1251121497197</t>
  </si>
  <si>
    <t>Thép cuộn cán nóng 3.00x1000 S235JR</t>
  </si>
  <si>
    <t>1251121497180</t>
  </si>
  <si>
    <t>Thép cuộn cán nóng 2.45x1000 S235JR II</t>
  </si>
  <si>
    <t>2.45×1000×C</t>
  </si>
  <si>
    <t>1251121497173</t>
  </si>
  <si>
    <t>Thép cuộn cán nóng 2.45x1000 S235JR</t>
  </si>
  <si>
    <t>1251121497166</t>
  </si>
  <si>
    <t>Thép cuộn cán nóng 2.00x1000 S235JR II</t>
  </si>
  <si>
    <t>2.00×1000×C</t>
  </si>
  <si>
    <t>1251121497159</t>
  </si>
  <si>
    <t>Thép cuộn cán nóng 2.00x1000 S235JR</t>
  </si>
  <si>
    <t>1251121497142</t>
  </si>
  <si>
    <t>Thép cuộn cán nóng 1.50x1000 S235JR II</t>
  </si>
  <si>
    <t>1.50×1000×C</t>
  </si>
  <si>
    <t>1251121497135</t>
  </si>
  <si>
    <t>Thép cuộn cán nóng 1.50x1000 S235JR</t>
  </si>
  <si>
    <t>1251121497128</t>
  </si>
  <si>
    <t>Thép cuộn cán nóng 2.40x1155 SAE1006 II</t>
  </si>
  <si>
    <t>2.40×1155×C</t>
  </si>
  <si>
    <t>1251121497111</t>
  </si>
  <si>
    <t>Thép cuộn cán nóng 2.40x1155 SAE1006</t>
  </si>
  <si>
    <t>1251121497104</t>
  </si>
  <si>
    <t>Thép cuộn cán nóng 4.50x1015 SAE1006 II</t>
  </si>
  <si>
    <t>4.50×1015×C</t>
  </si>
  <si>
    <t>1251121497098</t>
  </si>
  <si>
    <t>Thép cuộn cán nóng 4.50x1015 SAE1006</t>
  </si>
  <si>
    <t>1251121497081</t>
  </si>
  <si>
    <t>Thép cuộn cán nóng 3.90x1015 SAE1006 II</t>
  </si>
  <si>
    <t>3.90×1015×C</t>
  </si>
  <si>
    <t>1251121497074</t>
  </si>
  <si>
    <t>Thép cuộn cán nóng 3.90x1015 SAE1006</t>
  </si>
  <si>
    <t>1251121497067</t>
  </si>
  <si>
    <t>Thép cuộn cán nóng 3.40x1015 SAE1006 II</t>
  </si>
  <si>
    <t>3.40×1015×C</t>
  </si>
  <si>
    <t>1251121497050</t>
  </si>
  <si>
    <t>Thép cuộn cán nóng 3.40x1015 SAE1006</t>
  </si>
  <si>
    <t>1251121497043</t>
  </si>
  <si>
    <t>Thép cuộn cán nóng 2.90x1015 SAE1006 II</t>
  </si>
  <si>
    <t>2.90×1015×C</t>
  </si>
  <si>
    <t>1251121497036</t>
  </si>
  <si>
    <t>Thép cuộn cán nóng 2.90x1015 SAE1006</t>
  </si>
  <si>
    <t>1251121497029</t>
  </si>
  <si>
    <t>Thép cuộn cán nóng 2.40x1015 SAE1006 II</t>
  </si>
  <si>
    <t>2.40×1015×C</t>
  </si>
  <si>
    <t>1251121497012</t>
  </si>
  <si>
    <t>Thép cuộn cán nóng 2.40x1015 SAE1006</t>
  </si>
  <si>
    <t>1251121497005</t>
  </si>
  <si>
    <t>Thép cuộn cán nóng 2.00x1015 SAE1006 II</t>
  </si>
  <si>
    <t>2.00×1015×C</t>
  </si>
  <si>
    <t>1251121496992</t>
  </si>
  <si>
    <t>Thép cuộn cán nóng 2.00x1015 SAE1006</t>
  </si>
  <si>
    <t>1251121496985</t>
  </si>
  <si>
    <t>Thép cuộn cán nóng 3.80x1200 SAE1006 II</t>
  </si>
  <si>
    <t>3.80×1200×C</t>
  </si>
  <si>
    <t>1251121496978</t>
  </si>
  <si>
    <t>Thép cuộn cán nóng 3.80x1200 SAE1006</t>
  </si>
  <si>
    <t>1251121496961</t>
  </si>
  <si>
    <t>Thép cuộn cán nóng 2.00x930 SAE1006 II</t>
  </si>
  <si>
    <t>2.00×930×C</t>
  </si>
  <si>
    <t>1251121496923</t>
  </si>
  <si>
    <t>Thép cuộn cán nóng 2.00x930 SAE1006</t>
  </si>
  <si>
    <t>1251121496916</t>
  </si>
  <si>
    <t>Thép cuộn cán nóng 3.60x930 SAE1006 II</t>
  </si>
  <si>
    <t>3.60×930×C</t>
  </si>
  <si>
    <t>1251121496909</t>
  </si>
  <si>
    <t>Thép cuộn cán nóng 3.60x930 SAE1006</t>
  </si>
  <si>
    <t>1251121496893</t>
  </si>
  <si>
    <t>Thép cuộn cán nóng 2.50x930 SAE1006 II</t>
  </si>
  <si>
    <t>2.50×930×C</t>
  </si>
  <si>
    <t>1251121496886</t>
  </si>
  <si>
    <t>Thép cuộn cán nóng 2.50x930 SAE1006</t>
  </si>
  <si>
    <t>1251121496879</t>
  </si>
  <si>
    <t>Thép cuộn cán nóng 2.25x930 SAE1006 II</t>
  </si>
  <si>
    <t>2.25×930×C</t>
  </si>
  <si>
    <t>1251121496862</t>
  </si>
  <si>
    <t>Thép cuộn cán nóng 2.25x930 SAE1006</t>
  </si>
  <si>
    <t>1251121496855</t>
  </si>
  <si>
    <t>Thép cuộn cán nóng 6.00x1269 BjPS II</t>
  </si>
  <si>
    <t>6.00×1269×C</t>
  </si>
  <si>
    <t>1251121496848</t>
  </si>
  <si>
    <t>Thép cuộn cán nóng 6.00x1269 BjPS</t>
  </si>
  <si>
    <t>1251121496831</t>
  </si>
  <si>
    <t>Thép cuộn cán nóng 6.00x1179 BjPS II</t>
  </si>
  <si>
    <t>6.00×1179×C</t>
  </si>
  <si>
    <t>1251121496824</t>
  </si>
  <si>
    <t>Thép cuộn cán nóng 6.00x1179 BjPS</t>
  </si>
  <si>
    <t>1251121496817</t>
  </si>
  <si>
    <t>Thép cuộn cán nóng 4.00x1310 BjPS II</t>
  </si>
  <si>
    <t>4.00×1310×C</t>
  </si>
  <si>
    <t>1251121496800</t>
  </si>
  <si>
    <t>Thép cuộn cán nóng 4.00x1310 BjPS</t>
  </si>
  <si>
    <t>1251121496794</t>
  </si>
  <si>
    <t>Thép cuộn cán nóng 6.00x1286 BjPS II</t>
  </si>
  <si>
    <t>6.00×1286×C</t>
  </si>
  <si>
    <t>1251121496787</t>
  </si>
  <si>
    <t>Thép cuộn cán nóng 6.00x1286 BjPS</t>
  </si>
  <si>
    <t>1251121496770</t>
  </si>
  <si>
    <t>Thép cuộn cán nóng 4.50x1055 BjPS II</t>
  </si>
  <si>
    <t>4.50×1055×C</t>
  </si>
  <si>
    <t>1251121496763</t>
  </si>
  <si>
    <t>Thép cuộn cán nóng 4.50x1055 BjPS</t>
  </si>
  <si>
    <t>1251121496756</t>
  </si>
  <si>
    <t>Thép cuộn cán nóng 2.50x1000 SAE1006 II</t>
  </si>
  <si>
    <t>2.50×1000×C</t>
  </si>
  <si>
    <t>1251121496749</t>
  </si>
  <si>
    <t>Thép cuộn cán nóng 2.50x1000 SAE1006</t>
  </si>
  <si>
    <t>1251121496732</t>
  </si>
  <si>
    <t>Thép cuộn cán nóng 2.30x1000 SAE1006 II</t>
  </si>
  <si>
    <t>2.30×1000×C</t>
  </si>
  <si>
    <t>1251121496725</t>
  </si>
  <si>
    <t>Thép cuộn cán nóng 2.30x1000 SAE1006</t>
  </si>
  <si>
    <t>1251121496718</t>
  </si>
  <si>
    <t>Thép cuộn cán nóng 2.25x1450 SAE1006 II</t>
  </si>
  <si>
    <t>2.25×1450×C</t>
  </si>
  <si>
    <t>1251121496701</t>
  </si>
  <si>
    <t>Thép cuộn cán nóng 2.25x1450 SAE1006</t>
  </si>
  <si>
    <t>1251121496695</t>
  </si>
  <si>
    <t>Thép cuộn cán nóng 2.00x1450 SAE1006 II</t>
  </si>
  <si>
    <t>2.00×1450×C</t>
  </si>
  <si>
    <t>1251121496688</t>
  </si>
  <si>
    <t>Thép cuộn cán nóng 2.00x1450 SAE1006</t>
  </si>
  <si>
    <t>1251121496671</t>
  </si>
  <si>
    <t>Thép cuộn cán nóng 2.50x1135 SAE1006 II</t>
  </si>
  <si>
    <t>2.50×1135×C</t>
  </si>
  <si>
    <t>1251121496664</t>
  </si>
  <si>
    <t>Thép cuộn cán nóng 2.50x1135 SAE1006</t>
  </si>
  <si>
    <t>1251121496657</t>
  </si>
  <si>
    <t>Thép cuộn cán nóng 2.00x1135 SAE1006 II</t>
  </si>
  <si>
    <t>2.00×1135×C</t>
  </si>
  <si>
    <t>1251121496640</t>
  </si>
  <si>
    <t>Thép cuộn cán nóng 2.00x1135 SAE1006</t>
  </si>
  <si>
    <t>1251121496633</t>
  </si>
  <si>
    <t>Thép cuộn cán nóng 2.25x1135 SAE1006 II</t>
  </si>
  <si>
    <t>2.25×1135×C</t>
  </si>
  <si>
    <t>1251121496626</t>
  </si>
  <si>
    <t>Thép cuộn cán nóng 2.25x1135 SAE1006</t>
  </si>
  <si>
    <t>1251121496619</t>
  </si>
  <si>
    <t>Thép cuộn cán nóng 2.50x1165 SAE1006 II</t>
  </si>
  <si>
    <t>2.50×1165×C</t>
  </si>
  <si>
    <t>1251121496602</t>
  </si>
  <si>
    <t>Thép cuộn cán nóng 2.50x1165 SAE1006</t>
  </si>
  <si>
    <t>1251121496596</t>
  </si>
  <si>
    <t>Thép cuộn cán nóng 2.00x1165 SAE1006 II</t>
  </si>
  <si>
    <t>2.00×1165×C</t>
  </si>
  <si>
    <t>1251121496589</t>
  </si>
  <si>
    <t>Thép cuộn cán nóng 2.00x1165 SAE1006</t>
  </si>
  <si>
    <t>1251121496572</t>
  </si>
  <si>
    <t>Thép cuộn cán nóng 2.25x1165 SAE1006 II</t>
  </si>
  <si>
    <t>2.25×1165×C</t>
  </si>
  <si>
    <t>1251121496565</t>
  </si>
  <si>
    <t>Thép cuộn cán nóng 2.25x1165 SAE1006</t>
  </si>
  <si>
    <t>1251121496558</t>
  </si>
  <si>
    <t>Thép cuộn cán nóng 2.50x1050 SAE1006 II</t>
  </si>
  <si>
    <t>2.50×1050×C</t>
  </si>
  <si>
    <t>1251121496541</t>
  </si>
  <si>
    <t>Thép cuộn cán nóng 2.50x1050 SAE1006</t>
  </si>
  <si>
    <t>1251121496534</t>
  </si>
  <si>
    <t>Thép cuộn cán nóng 2.00x1050 SAE1006 II</t>
  </si>
  <si>
    <t>2.00×1050×C</t>
  </si>
  <si>
    <t>1251121496527</t>
  </si>
  <si>
    <t>Thép cuộn cán nóng 2.00x1050 SAE1006</t>
  </si>
  <si>
    <t>1251121496510</t>
  </si>
  <si>
    <t>Thép cuộn cán nóng 2.25x1050 SAE1006 II</t>
  </si>
  <si>
    <t>2.25×1050×C</t>
  </si>
  <si>
    <t>1251121496503</t>
  </si>
  <si>
    <t>Thép cuộn cán nóng 2.25x1050 SAE1006</t>
  </si>
  <si>
    <t>1251121496497</t>
  </si>
  <si>
    <t>Thép cuộn cán nóng 2.30x1225 S275JR II</t>
  </si>
  <si>
    <t>2.30×1225×C</t>
  </si>
  <si>
    <t>1251121496480</t>
  </si>
  <si>
    <t>Thép cuộn cán nóng 2.30x1225 S275JR</t>
  </si>
  <si>
    <t>1251121496473</t>
  </si>
  <si>
    <t>Thép cuộn cán nóng 2.20x1225 S275JR II</t>
  </si>
  <si>
    <t>2.20×1225×C</t>
  </si>
  <si>
    <t>1251121496466</t>
  </si>
  <si>
    <t>Thép cuộn cán nóng 2.20x1225 S275JR</t>
  </si>
  <si>
    <t>1251121496459</t>
  </si>
  <si>
    <t>Thép cuộn cán nóng 2.10x1225 S275JR II</t>
  </si>
  <si>
    <t>2.10×1225×C</t>
  </si>
  <si>
    <t>1251121496442</t>
  </si>
  <si>
    <t>Thép cuộn cán nóng 2.10x1225 S275JR</t>
  </si>
  <si>
    <t>1251121496435</t>
  </si>
  <si>
    <t>Thép cuộn cán nóng 2.00x1225 S275JR II</t>
  </si>
  <si>
    <t>1251121496428</t>
  </si>
  <si>
    <t>Thép cuộn cán nóng 2.00x1225 S275JR</t>
  </si>
  <si>
    <t>1251121496411</t>
  </si>
  <si>
    <t>Thép cuộn cán nóng 3.20x1225 SAE1006 II</t>
  </si>
  <si>
    <t>1251121496404</t>
  </si>
  <si>
    <t>Thép cuộn cán nóng 3.20x1225 SAE1006</t>
  </si>
  <si>
    <t>1251121496398</t>
  </si>
  <si>
    <t>Thép cuộn cán nóng 4.76x1219 CS typeB II</t>
  </si>
  <si>
    <t>4.76×1219×C</t>
  </si>
  <si>
    <t>1251121496336</t>
  </si>
  <si>
    <t>Thép cuộn cán nóng 4.76x1219 CS type B</t>
  </si>
  <si>
    <t>1251121496329</t>
  </si>
  <si>
    <t>Thép cuộn cán nóng 12.00x1524 SPHD II</t>
  </si>
  <si>
    <t>1251121496312</t>
  </si>
  <si>
    <t>Thép cuộn cán nóng 12.00x1524 SPHD</t>
  </si>
  <si>
    <t>1251121496305</t>
  </si>
  <si>
    <t>Thép cuộn cán nóng 12.00x1524 SPHC II</t>
  </si>
  <si>
    <t>1251121496299</t>
  </si>
  <si>
    <t>Thép cuộn cán nóng 12.00x1524 SPHC</t>
  </si>
  <si>
    <t>1251121496282</t>
  </si>
  <si>
    <t>Thép cuộn cán nóng 1.50x1219 SPHT1 II</t>
  </si>
  <si>
    <t>1251121496275</t>
  </si>
  <si>
    <t>Thép cuộn cán nóng 1.50x1219 SPHT1</t>
  </si>
  <si>
    <t>1251121496268</t>
  </si>
  <si>
    <t>Thép cuộn cán nóng 1.50x1250 S235JR II</t>
  </si>
  <si>
    <t>1.50×1250×C</t>
  </si>
  <si>
    <t>1251121496251</t>
  </si>
  <si>
    <t>Thép cuộn cán nóng 1.50x1250 S235JR</t>
  </si>
  <si>
    <t>1251121496244</t>
  </si>
  <si>
    <t>Thép cuộn cán nóng 2.45x1500 SPHT3 II</t>
  </si>
  <si>
    <t>1251121496190</t>
  </si>
  <si>
    <t>Thép cuộn cán nóng 2.45x1500 SPHT3</t>
  </si>
  <si>
    <t>1251121496183</t>
  </si>
  <si>
    <t>Thép cuộn cán nóng 5.85x1520 S355JR II</t>
  </si>
  <si>
    <t>1251121496176</t>
  </si>
  <si>
    <t>Thép cuộn cán nóng 5.85x1520 S355JR</t>
  </si>
  <si>
    <t>1251121496169</t>
  </si>
  <si>
    <t>Thép cuộn cán nóng 2.30x1270 SAE1006 II</t>
  </si>
  <si>
    <t>1251121496091</t>
  </si>
  <si>
    <t>Thép cuộn cán nóng 2.30x1270 SAE1006</t>
  </si>
  <si>
    <t>1251121496084</t>
  </si>
  <si>
    <t>Thép cuộn cán nóng 1.50x1219 SPHD II</t>
  </si>
  <si>
    <t>1251121496077</t>
  </si>
  <si>
    <t>Thép cuộn cán nóng 1.50x1219 SPHD</t>
  </si>
  <si>
    <t>1251121496060</t>
  </si>
  <si>
    <t>Thép cuộn cán nóng 6.00x1219 SPHD II</t>
  </si>
  <si>
    <t>1251121496053</t>
  </si>
  <si>
    <t>Thép cuộn cán nóng 6.00x1219 SPHD</t>
  </si>
  <si>
    <t>1251121496046</t>
  </si>
  <si>
    <t>Thép cuộn cán nóng 12.00x1219 SPHD II</t>
  </si>
  <si>
    <t>12.00×1219×C</t>
  </si>
  <si>
    <t>1251121496039</t>
  </si>
  <si>
    <t>Thép cuộn cán nóng 12.00x1219 SPHD</t>
  </si>
  <si>
    <t>1251121496022</t>
  </si>
  <si>
    <t>Thép cuộn cán nóng 1.50x1219 SPHC II</t>
  </si>
  <si>
    <t>1251121496015</t>
  </si>
  <si>
    <t>Thép cuộn cán nóng 1.50x1219 SPHC</t>
  </si>
  <si>
    <t>1251121496008</t>
  </si>
  <si>
    <t>Thép cuộn cán nóng 6.00x1219 SPHC II</t>
  </si>
  <si>
    <t>1251121495995</t>
  </si>
  <si>
    <t>Thép cuộn cán nóng 6.00x1219 SPHC</t>
  </si>
  <si>
    <t>1251121495988</t>
  </si>
  <si>
    <t>Thép cuộn cán nóng 12.00x1219 SPHC II</t>
  </si>
  <si>
    <t>1251121495971</t>
  </si>
  <si>
    <t>Thép cuộn cán nóng 12.00x1219 SPHC</t>
  </si>
  <si>
    <t>1251121495964</t>
  </si>
  <si>
    <t>Thép cuộn cán nóng 12.00x1524 SPHT1 II</t>
  </si>
  <si>
    <t>1251121495957</t>
  </si>
  <si>
    <t>Thép cuộn cán nóng 12.00x1524 SPHT1</t>
  </si>
  <si>
    <t>1251121495940</t>
  </si>
  <si>
    <t>Thép cuộn cán nóng 2.00x1219 SPHT1 II</t>
  </si>
  <si>
    <t>1251121495933</t>
  </si>
  <si>
    <t>Thép cuộn cán nóng 2.00x1219 SPHT1</t>
  </si>
  <si>
    <t>1251121495926</t>
  </si>
  <si>
    <t>Thép cuộn cán nóng 2.00x1219 SPHT3 II</t>
  </si>
  <si>
    <t>1251121495919</t>
  </si>
  <si>
    <t>Thép cuộn cán nóng 2.00x1219 SPHT3</t>
  </si>
  <si>
    <t>1251121495902</t>
  </si>
  <si>
    <t>Thép cuộn cán nóng 12.00x1524 SPHT3 II</t>
  </si>
  <si>
    <t>1251121495896</t>
  </si>
  <si>
    <t>Thép cuộn cán nóng 12.00x1524 SPHT3</t>
  </si>
  <si>
    <t>1251121495889</t>
  </si>
  <si>
    <t>Thép cuộn cán nóng 2.00x1250 S275JR II</t>
  </si>
  <si>
    <t>MS EN 10025-2</t>
  </si>
  <si>
    <t>1251121495872</t>
  </si>
  <si>
    <t>Thép cuộn cán nóng 2.00x1250 S275JR</t>
  </si>
  <si>
    <t>1251121495865</t>
  </si>
  <si>
    <t>Thép cuộn cán nóng 4.00x1219 S355JR II</t>
  </si>
  <si>
    <t>1251121495858</t>
  </si>
  <si>
    <t>Thép cuộn cán nóng 4.00x1219 S355JR</t>
  </si>
  <si>
    <t>1251121495841</t>
  </si>
  <si>
    <t>Thép cuộn cán nóng 1.50x1265 S235JR II</t>
  </si>
  <si>
    <t>1251121495834</t>
  </si>
  <si>
    <t>Thép cuộn cán nóng 1.50x1265 S235JR</t>
  </si>
  <si>
    <t>1251121495827</t>
  </si>
  <si>
    <t>Thép cuộn cán nóng 5.60x1215 S275JR II</t>
  </si>
  <si>
    <t>5.60×1215×C</t>
  </si>
  <si>
    <t>1251121495667</t>
  </si>
  <si>
    <t>Thép cuộn cán nóng 5.60x1215 S275JR</t>
  </si>
  <si>
    <t>1251121495650</t>
  </si>
  <si>
    <t>Thép cuộn cán nóng 4.65x1215 S275JR II</t>
  </si>
  <si>
    <t>4.65×1215×C</t>
  </si>
  <si>
    <t>1251121495643</t>
  </si>
  <si>
    <t>Thép cuộn cán nóng 4.65x1215 S275JR</t>
  </si>
  <si>
    <t>1251121495636</t>
  </si>
  <si>
    <t>Thép cuộn cán nóng 3.65x1215 S275JR II</t>
  </si>
  <si>
    <t>3.65×1215×C</t>
  </si>
  <si>
    <t>1251121495629</t>
  </si>
  <si>
    <t>Thép cuộn cán nóng 3.65x1215 S275JR</t>
  </si>
  <si>
    <t>1251121495612</t>
  </si>
  <si>
    <t>Thép cuộn cán nóng 2.80x1215 S275JR II</t>
  </si>
  <si>
    <t>2.80×1215×C</t>
  </si>
  <si>
    <t>1251121495605</t>
  </si>
  <si>
    <t>Thép cuộn cán nóng 2.80x1215 S275JR</t>
  </si>
  <si>
    <t>1251121495599</t>
  </si>
  <si>
    <t>Thép cuộn cán nóng 2.40x1215 SPHC II</t>
  </si>
  <si>
    <t>2.40×1215×C</t>
  </si>
  <si>
    <t>1251121495582</t>
  </si>
  <si>
    <t>Thép cuộn cán nóng 2.40x1215 SPHC</t>
  </si>
  <si>
    <t>1251121495575</t>
  </si>
  <si>
    <t>Thép cuộn cán nóng 2.00x1215 SPHC II</t>
  </si>
  <si>
    <t>1251121495568</t>
  </si>
  <si>
    <t>Thép cuộn cán nóng 2.00x1215 SPHC</t>
  </si>
  <si>
    <t>1251121495551</t>
  </si>
  <si>
    <t>Thép cuộn cán nóng 7.65x1520 S275JR II</t>
  </si>
  <si>
    <t>7.65×1520×C</t>
  </si>
  <si>
    <t>1251121495544</t>
  </si>
  <si>
    <t>Thép cuộn cán nóng 7.65x1520 S275JR</t>
  </si>
  <si>
    <t>1251121495537</t>
  </si>
  <si>
    <t>Thép cuộn cán nóng 4.65x1520 S275JR II</t>
  </si>
  <si>
    <t>4.65×1520×C</t>
  </si>
  <si>
    <t>1251121495520</t>
  </si>
  <si>
    <t>Thép cuộn cán nóng 4.65x1520 S275JR</t>
  </si>
  <si>
    <t>1251121495513</t>
  </si>
  <si>
    <t>Thép cuộn cán nóng 3.65x1520 S275JR II</t>
  </si>
  <si>
    <t>3.65×1520×C</t>
  </si>
  <si>
    <t>1251121495506</t>
  </si>
  <si>
    <t>Thép cuộn cán nóng 3.65x1520 S275JR</t>
  </si>
  <si>
    <t>1251121495490</t>
  </si>
  <si>
    <t>Thép cuộn cán nóng 2.80x1520 S275JR II</t>
  </si>
  <si>
    <t>1251121495483</t>
  </si>
  <si>
    <t>Thép cuộn cán nóng 2.80x1520 S275JR</t>
  </si>
  <si>
    <t>1251121495476</t>
  </si>
  <si>
    <t>Thép cuộn cán nóng 5.00x1500 S275JR II</t>
  </si>
  <si>
    <t>1251121495247</t>
  </si>
  <si>
    <t>Thép cuộn cán nóng 5.00x1500 S275JR</t>
  </si>
  <si>
    <t>1251121495230</t>
  </si>
  <si>
    <t>Thép cuộn cán nóng 4.50x1500 S275JR II</t>
  </si>
  <si>
    <t>1251121495223</t>
  </si>
  <si>
    <t>Thép cuộn cán nóng 4.50x1500 S275JR</t>
  </si>
  <si>
    <t>1251121495216</t>
  </si>
  <si>
    <t>Thép cuộn cán nóng 4.10x1520 S275JR II</t>
  </si>
  <si>
    <t>4.10×1520×C</t>
  </si>
  <si>
    <t>1251121495209</t>
  </si>
  <si>
    <t>Thép cuộn cán nóng 4.10x1520 S275JR</t>
  </si>
  <si>
    <t>1251121495193</t>
  </si>
  <si>
    <t>Thép cuộn cán nóng 10.00x1520 S275JR II</t>
  </si>
  <si>
    <t>10.00×1520×C</t>
  </si>
  <si>
    <t>1251121495186</t>
  </si>
  <si>
    <t>Thép cuộn cán nóng 10.00x1520 S275JR</t>
  </si>
  <si>
    <t>1251121495179</t>
  </si>
  <si>
    <t>Thép cuộn cán nóng 2.52x1275 S275JR II</t>
  </si>
  <si>
    <t>2.52×1275×C</t>
  </si>
  <si>
    <t>1251121495162</t>
  </si>
  <si>
    <t>Thép cuộn cán nóng 2.52x1275 S275JR</t>
  </si>
  <si>
    <t>1251121495155</t>
  </si>
  <si>
    <t>Thép cuộn cán nóng 9.60x1215 S275JR II</t>
  </si>
  <si>
    <t>9.60×1215×C</t>
  </si>
  <si>
    <t>1251121495148</t>
  </si>
  <si>
    <t>Thép cuộn cán nóng 9.60x1215 S275JR</t>
  </si>
  <si>
    <t>1251121495131</t>
  </si>
  <si>
    <t>Thép cuộn cán nóng 8.60x1215 S275JR II</t>
  </si>
  <si>
    <t>8.60×1215×C</t>
  </si>
  <si>
    <t>1251121495124</t>
  </si>
  <si>
    <t>Thép cuộn cán nóng 8.60x1215 S275JR</t>
  </si>
  <si>
    <t>1251121495117</t>
  </si>
  <si>
    <t>Thép cuộn cán nóng 6.90x1215 S275JR II</t>
  </si>
  <si>
    <t>6.90×1215×C</t>
  </si>
  <si>
    <t>1251121495100</t>
  </si>
  <si>
    <t>Thép cuộn cán nóng 6.90x1215 S275JR</t>
  </si>
  <si>
    <t>1251121495094</t>
  </si>
  <si>
    <t>Thép cuộn cán nóng 5.80x1215 S275JR II</t>
  </si>
  <si>
    <t>5.80×1215×C</t>
  </si>
  <si>
    <t>1251121495087</t>
  </si>
  <si>
    <t>Thép cuộn cán nóng 5.80x1215 S275JR</t>
  </si>
  <si>
    <t>1251121495070</t>
  </si>
  <si>
    <t>Thép cuộn cán nóng 4.50x1215 S275JR II</t>
  </si>
  <si>
    <t>4.50×1215×C</t>
  </si>
  <si>
    <t>1251121495063</t>
  </si>
  <si>
    <t>Thép cuộn cán nóng 4.50x1215 S275JR</t>
  </si>
  <si>
    <t>1251121495056</t>
  </si>
  <si>
    <t>Thép cuộn cán nóng 2.65x1215 SPHC II</t>
  </si>
  <si>
    <t>2.65×1215×C</t>
  </si>
  <si>
    <t>1251121495049</t>
  </si>
  <si>
    <t>Thép cuộn cán nóng 2.65x1215 SPHC</t>
  </si>
  <si>
    <t>1251121495032</t>
  </si>
  <si>
    <t>Thép cuộn cán nóng 8.75x1520 S275JR II</t>
  </si>
  <si>
    <t>8.75×1520×C</t>
  </si>
  <si>
    <t>1251121495025</t>
  </si>
  <si>
    <t>Thép cuộn cán nóng 8.75x1520 S275JR</t>
  </si>
  <si>
    <t>1251121495018</t>
  </si>
  <si>
    <t>Thép cuộn cán nóng 7.75x1520 S275JR II</t>
  </si>
  <si>
    <t>7.75×1520×C</t>
  </si>
  <si>
    <t>1251121495001</t>
  </si>
  <si>
    <t>Thép cuộn cán nóng 7.75x1520 S275JR</t>
  </si>
  <si>
    <t>1251121494998</t>
  </si>
  <si>
    <t>Thép cuộn cán nóng 5.75x1520 S275JR II</t>
  </si>
  <si>
    <t>5.75×1520×C</t>
  </si>
  <si>
    <t>1251121494981</t>
  </si>
  <si>
    <t>Thép cuộn cán nóng 5.75x1520 S275JR</t>
  </si>
  <si>
    <t>1251121494974</t>
  </si>
  <si>
    <t>Thép cuộn cán nóng 11.70x1215 S275JR II</t>
  </si>
  <si>
    <t>1251121494967</t>
  </si>
  <si>
    <t>Thép cuộn cán nóng 11.70x1215 S275JR</t>
  </si>
  <si>
    <t>1251121494950</t>
  </si>
  <si>
    <t>Thép cuộn cán nóng 5.70x1215 S275JR II</t>
  </si>
  <si>
    <t>5.70×1215×C</t>
  </si>
  <si>
    <t>1251121494943</t>
  </si>
  <si>
    <t>Thép cuộn cán nóng 5.70x1215 S275JR</t>
  </si>
  <si>
    <t>1251121494936</t>
  </si>
  <si>
    <t>Thép cuộn cán nóng 4.20x1215 S275JR II</t>
  </si>
  <si>
    <t>1251121494929</t>
  </si>
  <si>
    <t>Thép cuộn cán nóng 4.20x1215 S275JR</t>
  </si>
  <si>
    <t>1251121494912</t>
  </si>
  <si>
    <t>Thép cuộn cán nóng 11.80x1520 S275JR II</t>
  </si>
  <si>
    <t>11.80×1520×C</t>
  </si>
  <si>
    <t>1251121494905</t>
  </si>
  <si>
    <t>Thép cuộn cán nóng 11.80x1520 S275JR</t>
  </si>
  <si>
    <t>1251121494899</t>
  </si>
  <si>
    <t>Thép cuộn cán nóng 2.54x1524 ASTM A36 II</t>
  </si>
  <si>
    <t>2.54×1524×C</t>
  </si>
  <si>
    <t>1251121494882</t>
  </si>
  <si>
    <t>Thép cuộn cán nóng 2.54x1524 ASTM A36</t>
  </si>
  <si>
    <t>1251121494875</t>
  </si>
  <si>
    <t>Thép cuộn cán nóng 6.00x1360 BjPS II</t>
  </si>
  <si>
    <t>6.00×1360×C</t>
  </si>
  <si>
    <t>1251121494868</t>
  </si>
  <si>
    <t>Thép cuộn cán nóng 6.00x1360 BjPS</t>
  </si>
  <si>
    <t>1251121494851</t>
  </si>
  <si>
    <t>Thép cuộn cán nóng 6.00x1290 BjPS II</t>
  </si>
  <si>
    <t>1251121494844</t>
  </si>
  <si>
    <t>Thép cuộn cán nóng 6.00x1290 BjPS</t>
  </si>
  <si>
    <t>1251121494837</t>
  </si>
  <si>
    <t>Thép cuộn cán nóng 6.00x1190 BjPS II</t>
  </si>
  <si>
    <t>1251121494820</t>
  </si>
  <si>
    <t>Thép cuộn cán nóng 6.00x1190 BjPS</t>
  </si>
  <si>
    <t>1251121494813</t>
  </si>
  <si>
    <t>Thép cuộn cán nóng 5.00x1190 BjPS II</t>
  </si>
  <si>
    <t>1251121494806</t>
  </si>
  <si>
    <t>Thép cuộn cán nóng 5.00x1190 BjPS</t>
  </si>
  <si>
    <t>1251121494790</t>
  </si>
  <si>
    <t>Thép cuộn cán nóng 4.50x1070 BjPS II</t>
  </si>
  <si>
    <t>1251121494783</t>
  </si>
  <si>
    <t>Thép cuộn cán nóng 4.50x1070 BjPS</t>
  </si>
  <si>
    <t>1251121494776</t>
  </si>
  <si>
    <t>Thép cuộn cán nóng 4.00x1300 BjPS II</t>
  </si>
  <si>
    <t>1251121494769</t>
  </si>
  <si>
    <t>Thép cuộn cán nóng 4.00x1300 BjPS</t>
  </si>
  <si>
    <t>1251121494752</t>
  </si>
  <si>
    <t>Thép cuộn cán nóng 3.95x962 SS400 II</t>
  </si>
  <si>
    <t>3.95×962×C</t>
  </si>
  <si>
    <t>1251121494721</t>
  </si>
  <si>
    <t>Thép cuộn cán nóng 3.95x962 SS400</t>
  </si>
  <si>
    <t>1251121494714</t>
  </si>
  <si>
    <t>Thép HRC HSPM 2.45x125X SPHC II</t>
  </si>
  <si>
    <t>1251122104148</t>
  </si>
  <si>
    <t>Thép HRC HSPM 2.25x129X SS400 II</t>
  </si>
  <si>
    <t>1251122104162</t>
  </si>
  <si>
    <t>Thép HRC HSPM 2.45x129X SS400 II</t>
  </si>
  <si>
    <t>1251122104186</t>
  </si>
  <si>
    <t>Thép HRC HSPM 2.25x125X SS400 II</t>
  </si>
  <si>
    <t>1251122104209</t>
  </si>
  <si>
    <t>Thép HRC HSPM 5.70x151Y S275JR II</t>
  </si>
  <si>
    <t>1251122104223</t>
  </si>
  <si>
    <t>Thép HRC HSPM 2.30x122Y SAE1008 II</t>
  </si>
  <si>
    <t>1251122104247</t>
  </si>
  <si>
    <t>Thép HRC HSPM 2.80x122Y SAE1008 II</t>
  </si>
  <si>
    <t>1251122104261</t>
  </si>
  <si>
    <t>Thép HRC HSPM 4.50x122Y SAE1008 II</t>
  </si>
  <si>
    <t>1251122104285</t>
  </si>
  <si>
    <t>Thép HRC HSPM 2.26x121Y SAE1008 II</t>
  </si>
  <si>
    <t>1251122104308</t>
  </si>
  <si>
    <t>Thép HRC HSPM 2.92x121Y SAE1008 II</t>
  </si>
  <si>
    <t>1251122104322</t>
  </si>
  <si>
    <t>Thép HRC HSPM 2.54x121Y SAE1008 II</t>
  </si>
  <si>
    <t>2.54×1217×C</t>
  </si>
  <si>
    <t>1251122104346</t>
  </si>
  <si>
    <t>Thép HRC HSPM 1.80x121Y SAE1008 II</t>
  </si>
  <si>
    <t>1251122104360</t>
  </si>
  <si>
    <t>Thép HRC HSPM 1.83x121Y SAE1008 II</t>
  </si>
  <si>
    <t>1251122104384</t>
  </si>
  <si>
    <t>Thép HRC HSPM 1.85x121X SPHC II</t>
  </si>
  <si>
    <t>1.85×1212×C</t>
  </si>
  <si>
    <t>1251122104407</t>
  </si>
  <si>
    <t>Thép HRC HSPM 2.50x121X S275JR II</t>
  </si>
  <si>
    <t>1251122104421</t>
  </si>
  <si>
    <t>Thép HRC HSPM 3.70x151Y S275JR II</t>
  </si>
  <si>
    <t>1251122104445</t>
  </si>
  <si>
    <t>Thép HRC HSPM 2.40x121Y S275JR II</t>
  </si>
  <si>
    <t>1251122104469</t>
  </si>
  <si>
    <t>Thép HRC HSPM 5.75x152X S275JR II</t>
  </si>
  <si>
    <t>1251122104483</t>
  </si>
  <si>
    <t>Thép HRC HSPM 4.80x151Y S275JR II</t>
  </si>
  <si>
    <t>1251122104506</t>
  </si>
  <si>
    <t>Thép HRC HSPM 2.00x120X BjPC II</t>
  </si>
  <si>
    <t>1251122104520</t>
  </si>
  <si>
    <t>Thép HRC HSPM 2.50x120X BjPC II</t>
  </si>
  <si>
    <t>1251122104544</t>
  </si>
  <si>
    <t>Thép HRC HSPM 2.80x120X BjPC II</t>
  </si>
  <si>
    <t>1251122104568</t>
  </si>
  <si>
    <t>Thép HRC HSPM 3.00x120X BjPC II</t>
  </si>
  <si>
    <t>1251122104582</t>
  </si>
  <si>
    <t>Thép HRC HSPM 2.80x126X SAE1006 II</t>
  </si>
  <si>
    <t>1251122104674</t>
  </si>
  <si>
    <t>Thép HRC HSPM 2.80x121X SAE1006 II</t>
  </si>
  <si>
    <t>1251122105695</t>
  </si>
  <si>
    <t>Thép HRC HSPM 2.30x126X SAE1006 II</t>
  </si>
  <si>
    <t>1251122105718</t>
  </si>
  <si>
    <t>Thép HRC HSPM 2.50x126X SAE1006 II</t>
  </si>
  <si>
    <t>1251122105732</t>
  </si>
  <si>
    <t>Thép HRC HSPM 2.00x101X SAE1006 II</t>
  </si>
  <si>
    <t>1251122105756</t>
  </si>
  <si>
    <t>Thép HRC HSPM 2.30x101X SAE1006 II</t>
  </si>
  <si>
    <t>1251122105770</t>
  </si>
  <si>
    <t>Thép HRC HSPM 2.80x101X SAE1006 II</t>
  </si>
  <si>
    <t>1251122105794</t>
  </si>
  <si>
    <t>Thép HRC HSPM 2.06x123Y SAE1006 II</t>
  </si>
  <si>
    <t>1251122105817</t>
  </si>
  <si>
    <t>Thép HRC HSPM 2.28x123Y SAE1006 II</t>
  </si>
  <si>
    <t>1251122105831</t>
  </si>
  <si>
    <t>Thép HRC HSPM 1.90x121Y SAE1008 II</t>
  </si>
  <si>
    <t>1251122105855</t>
  </si>
  <si>
    <t>Thép HRC HSPM 2.40x121Y SPHC II</t>
  </si>
  <si>
    <t>1251122105879</t>
  </si>
  <si>
    <t>Thép HRC HSPM 3.00x121Y SPHC II</t>
  </si>
  <si>
    <t>1251122105893</t>
  </si>
  <si>
    <t>Thép HRC HSPM 3.25x121Y SPHC II</t>
  </si>
  <si>
    <t>3.25×1217×C</t>
  </si>
  <si>
    <t>1251122105916</t>
  </si>
  <si>
    <t>Thép HRC HSPM 2.00x121Y BjPC II</t>
  </si>
  <si>
    <t>1251122105930</t>
  </si>
  <si>
    <t>Thép HRC HSPM 2.25x121Y BjPC II</t>
  </si>
  <si>
    <t>1251122105954</t>
  </si>
  <si>
    <t>Thép HRC HSPM 3.00x121Y BjPC II</t>
  </si>
  <si>
    <t>1251122105978</t>
  </si>
  <si>
    <t>Thép HRC HSPM 2.50x121Y BjPC II</t>
  </si>
  <si>
    <t>1251122105992</t>
  </si>
  <si>
    <t>Thép HRC HSPM 3.60x121Y BjPC II</t>
  </si>
  <si>
    <t>1251122106012</t>
  </si>
  <si>
    <t>Thép HRC HSPM 4.00x121Y BjPC II</t>
  </si>
  <si>
    <t>4.00×1217×C</t>
  </si>
  <si>
    <t>1251122106036</t>
  </si>
  <si>
    <t>Thép HRC HSPM 3.20x121Y BjPC II</t>
  </si>
  <si>
    <t>1251122106050</t>
  </si>
  <si>
    <t>Thép HRC HSPM 3.10x125X SS400 II</t>
  </si>
  <si>
    <t>1251122106074</t>
  </si>
  <si>
    <t>Thép HRC HSPM 2.92x121X S275JR II</t>
  </si>
  <si>
    <t>2.92×1212×C</t>
  </si>
  <si>
    <t>1251122106098</t>
  </si>
  <si>
    <t>Thép HRC HSPM 4.18x121X S275JR II</t>
  </si>
  <si>
    <t>4.18×1212×C</t>
  </si>
  <si>
    <t>1251122106111</t>
  </si>
  <si>
    <t>Thép HRC HSPM 4.67x121X S275JR II</t>
  </si>
  <si>
    <t>4.67×1212×C</t>
  </si>
  <si>
    <t>1251122106135</t>
  </si>
  <si>
    <t>Thép HRC HSPM 4.10x150X S275JR II</t>
  </si>
  <si>
    <t>4.10×1502×C</t>
  </si>
  <si>
    <t>1251122106159</t>
  </si>
  <si>
    <t>Thép HRC HSPM 4.67x151Y S275JR II</t>
  </si>
  <si>
    <t>4.67×1517×C</t>
  </si>
  <si>
    <t>1251122106173</t>
  </si>
  <si>
    <t>Thép HRC HSPM 2.90x134X S275JR II</t>
  </si>
  <si>
    <t>2.90×1342×C</t>
  </si>
  <si>
    <t>1251122106197</t>
  </si>
  <si>
    <t>Thép HRC HSPM 2.25x152X S275JR II</t>
  </si>
  <si>
    <t>2.25×1522×C</t>
  </si>
  <si>
    <t>1251122106210</t>
  </si>
  <si>
    <t>Thép HRC HSPM 2.42x121Y S275JR II</t>
  </si>
  <si>
    <t>1251122106234</t>
  </si>
  <si>
    <t>Thép HRC HSPM 2.42x150X S275JR II</t>
  </si>
  <si>
    <t>2.42×1502×C</t>
  </si>
  <si>
    <t>1251122106258</t>
  </si>
  <si>
    <t>Thép HRC HSPM 2.50x150X S275JR II</t>
  </si>
  <si>
    <t>1251122106272</t>
  </si>
  <si>
    <t>Thép HRC HSPM 2.80x151Y S275JR II</t>
  </si>
  <si>
    <t>2.80×1517×C</t>
  </si>
  <si>
    <t>1251122106296</t>
  </si>
  <si>
    <t>Thép HRC HSPM 5.75x121X S275JR II</t>
  </si>
  <si>
    <t>5.75×1212×C</t>
  </si>
  <si>
    <t>1251122106319</t>
  </si>
  <si>
    <t>Thép HRC HSPM 5.75x151Y S275JR II</t>
  </si>
  <si>
    <t>1251122106333</t>
  </si>
  <si>
    <t>Thép HRC HSPM 4.35x152X S275JR II</t>
  </si>
  <si>
    <t>4.35×1522×C</t>
  </si>
  <si>
    <t>1251122106357</t>
  </si>
  <si>
    <t>Thép HRC HSPM 4.85x152X S275JR II</t>
  </si>
  <si>
    <t>1251122106371</t>
  </si>
  <si>
    <t>Thép HRC HSPM 2.90x150X S275JR II</t>
  </si>
  <si>
    <t>1251122106395</t>
  </si>
  <si>
    <t>Thép HRC HSPM 3.00x125X S275JR II</t>
  </si>
  <si>
    <t>1251122106418</t>
  </si>
  <si>
    <t>Thép HRC HSPM 3.84x125X S275JR II</t>
  </si>
  <si>
    <t>3.84×1252×C</t>
  </si>
  <si>
    <t>1251122106432</t>
  </si>
  <si>
    <t>Thép HRC HSPM 4.90x125X S275JR II</t>
  </si>
  <si>
    <t>1251122106456</t>
  </si>
  <si>
    <t>Thép HRC HSPM 5.90x125X S275JR II</t>
  </si>
  <si>
    <t>1251122106470</t>
  </si>
  <si>
    <t>Thép HRC HSPM 7.90x125X S275JR II</t>
  </si>
  <si>
    <t>1251122106494</t>
  </si>
  <si>
    <t>Thép HRC HSPM 3.00x150X S275JR II</t>
  </si>
  <si>
    <t>1251122106517</t>
  </si>
  <si>
    <t>Thép HRC HSPM 3.84x150X S275JR II</t>
  </si>
  <si>
    <t>3.84×1502×C</t>
  </si>
  <si>
    <t>1251122106531</t>
  </si>
  <si>
    <t>Thép HRC HSPM 4.90x150X S275JR II</t>
  </si>
  <si>
    <t>1251122106555</t>
  </si>
  <si>
    <t>Thép HRC HSPM 5.90x150X S275JR II</t>
  </si>
  <si>
    <t>1251122106579</t>
  </si>
  <si>
    <t>Thép HRC HSPM 7.90x150X S275JR II</t>
  </si>
  <si>
    <t>1251122106593</t>
  </si>
  <si>
    <t>Thép HRC HSPM 9.90x125X S275JR II</t>
  </si>
  <si>
    <t>1251122106616</t>
  </si>
  <si>
    <t>Thép HRC HSPM 11.90x125X S275JR II</t>
  </si>
  <si>
    <t>11.90×1252×C</t>
  </si>
  <si>
    <t>1251122106630</t>
  </si>
  <si>
    <t>Thép HRC HSPM 9.90x150X S275JR II</t>
  </si>
  <si>
    <t>1251122106654</t>
  </si>
  <si>
    <t>Thép HRC HSPM 11.90x150X S275JR II</t>
  </si>
  <si>
    <t>1251122106678</t>
  </si>
  <si>
    <t>Thép HRC HSPM 3.30x105X SAE1008 II</t>
  </si>
  <si>
    <t>3.30×1052×C</t>
  </si>
  <si>
    <t>1251122106692</t>
  </si>
  <si>
    <t>Thép HRC HSPM 3.50x112Y SAE1008 II</t>
  </si>
  <si>
    <t>1251122106715</t>
  </si>
  <si>
    <t>Thép HRC HSPM 2.60x120X SAE1008 II</t>
  </si>
  <si>
    <t>1251122106739</t>
  </si>
  <si>
    <t>Thép HRC HSPM 3.00x121Y SAE1008 II</t>
  </si>
  <si>
    <t>1251122106753</t>
  </si>
  <si>
    <t>Thép HRC HSPM 2.60x121Y SAE1008 II</t>
  </si>
  <si>
    <t>1251122106777</t>
  </si>
  <si>
    <t>Thép HRC HSPM 1.52x121Y SAE1008 II</t>
  </si>
  <si>
    <t>1251122106791</t>
  </si>
  <si>
    <t>Thép HRC HSPM 2.29x121Y SAE1008 II</t>
  </si>
  <si>
    <t>1251122106814</t>
  </si>
  <si>
    <t>Thép HRC HSPM 3.02x121Y SAE1008 II</t>
  </si>
  <si>
    <t>1251122106838</t>
  </si>
  <si>
    <t>Thép HRC HSPM 3.42x121Y SAE1008 II</t>
  </si>
  <si>
    <t>1251122106852</t>
  </si>
  <si>
    <t>Thép HRC HSPM 4.55x121Y SAE1008 II</t>
  </si>
  <si>
    <t>1251122106876</t>
  </si>
  <si>
    <t>Thép HRC HSPM 4.45x120X ASTM A36 II</t>
  </si>
  <si>
    <t>4.45×1202×C</t>
  </si>
  <si>
    <t>1251122106890</t>
  </si>
  <si>
    <t>Thép HRC HSPM 5.97x120X ASTM A36 II</t>
  </si>
  <si>
    <t>5.97×1202×C</t>
  </si>
  <si>
    <t>1251122106913</t>
  </si>
  <si>
    <t>Thép HRC HSPM 5.10x121X SPHT1 II</t>
  </si>
  <si>
    <t>1251122106937</t>
  </si>
  <si>
    <t>Thép HRC HSPM 1.80x121Y SPHC II</t>
  </si>
  <si>
    <t>1251122106951</t>
  </si>
  <si>
    <t>Thép HRC HSPM 1.56x121Y SPHC II</t>
  </si>
  <si>
    <t>1.56×1217×C</t>
  </si>
  <si>
    <t>1251122106975</t>
  </si>
  <si>
    <t>Thép HRC HSPM 1.80x121X SPHC II</t>
  </si>
  <si>
    <t>1251122106999</t>
  </si>
  <si>
    <t>Thép HRC HSPM 1.50x121Y CS type B II</t>
  </si>
  <si>
    <t>1251122107019</t>
  </si>
  <si>
    <t>Thép HRC HSPM 2.90x125X DD11 II</t>
  </si>
  <si>
    <t>1251122107033</t>
  </si>
  <si>
    <t>Thép HRC HSPM 2.25x121Y SS400 II</t>
  </si>
  <si>
    <t>1251122107057</t>
  </si>
  <si>
    <t>Thép HRC HSPM 6.00x152X S275JR II</t>
  </si>
  <si>
    <t>1251122107071</t>
  </si>
  <si>
    <t>Thép HRC HSPM 2.65x121Y SAE1008 II</t>
  </si>
  <si>
    <t>1251122107095</t>
  </si>
  <si>
    <t>Thép HRC HSPM 2.00x121X SPHC II</t>
  </si>
  <si>
    <t>1251122107118</t>
  </si>
  <si>
    <t>Thép HRC HSPM 4.18x121X S275JR</t>
  </si>
  <si>
    <t>1251122106104</t>
  </si>
  <si>
    <t>Thép HRC HSPM 4.67x121X S275JR</t>
  </si>
  <si>
    <t>1251122106128</t>
  </si>
  <si>
    <t>Thép HRC HSPM 4.10x150X S275JR</t>
  </si>
  <si>
    <t>1251122106142</t>
  </si>
  <si>
    <t>Thép HRC HSPM 4.67x151Y S275JR</t>
  </si>
  <si>
    <t>1251122106166</t>
  </si>
  <si>
    <t>Thép HRC HSPM 2.90x134X S275JR</t>
  </si>
  <si>
    <t>1251122106180</t>
  </si>
  <si>
    <t>Thép HRC HSPM 2.25x152X S275JR</t>
  </si>
  <si>
    <t>1251122106203</t>
  </si>
  <si>
    <t>Thép HRC HSPM 2.42x121Y S275JR</t>
  </si>
  <si>
    <t>1251122106227</t>
  </si>
  <si>
    <t>Thép HRC HSPM 2.42x150X S275JR</t>
  </si>
  <si>
    <t>1251122106241</t>
  </si>
  <si>
    <t>Thép HRC HSPM 2.50x150X S275JR</t>
  </si>
  <si>
    <t>1251122106265</t>
  </si>
  <si>
    <t>Thép HRC HSPM 5.75x121X S275JR</t>
  </si>
  <si>
    <t>1251122106302</t>
  </si>
  <si>
    <t>Thép HRC HSPM 5.75x151Y S275JR</t>
  </si>
  <si>
    <t>1251122106326</t>
  </si>
  <si>
    <t>Thép HRC HSPM 4.35x152X S275JR</t>
  </si>
  <si>
    <t>1251122106340</t>
  </si>
  <si>
    <t>Thép HRC HSPM 4.85x152X S275JR</t>
  </si>
  <si>
    <t>1251122106364</t>
  </si>
  <si>
    <t>Thép HRC HSPM 2.90x150X S275JR</t>
  </si>
  <si>
    <t>1251122106388</t>
  </si>
  <si>
    <t>Thép HRC HSPM 3.00x125X S275JR</t>
  </si>
  <si>
    <t>1251122106401</t>
  </si>
  <si>
    <t>Thép HRC HSPM 3.84x125X S275JR</t>
  </si>
  <si>
    <t>1251122106425</t>
  </si>
  <si>
    <t>Thép HRC HSPM 4.90x125X S275JR</t>
  </si>
  <si>
    <t>1251122106449</t>
  </si>
  <si>
    <t>Thép HRC HSPM 5.90x125X S275JR</t>
  </si>
  <si>
    <t>1251122106463</t>
  </si>
  <si>
    <t>Thép HRC HSPM 7.90x125X S275JR</t>
  </si>
  <si>
    <t>1251122106487</t>
  </si>
  <si>
    <t>Thép HRC HSPM 3.00x150X S275JR</t>
  </si>
  <si>
    <t>1251122106500</t>
  </si>
  <si>
    <t>Thép HRC HSPM 3.84x150X S275JR</t>
  </si>
  <si>
    <t>1251122106524</t>
  </si>
  <si>
    <t>Thép HRC HSPM 4.90x150X S275JR</t>
  </si>
  <si>
    <t>1251122106548</t>
  </si>
  <si>
    <t>Thép HRC HSPM 5.90x150X S275JR</t>
  </si>
  <si>
    <t>1251122106562</t>
  </si>
  <si>
    <t>Thép HRC HSPM 7.90x150X S275JR</t>
  </si>
  <si>
    <t>1251122106586</t>
  </si>
  <si>
    <t>Thép HRC HSPM 9.90x125X S275JR</t>
  </si>
  <si>
    <t>1251122106609</t>
  </si>
  <si>
    <t>Thép HRC HSPM 3.30x105X SAE1008</t>
  </si>
  <si>
    <t>1251122106685</t>
  </si>
  <si>
    <t>Thép HRC HSPM 3.50x112Y SAE1008</t>
  </si>
  <si>
    <t>1251122106708</t>
  </si>
  <si>
    <t>Thép HRC HSPM 2.60x120X SAE1008</t>
  </si>
  <si>
    <t>1251122106722</t>
  </si>
  <si>
    <t>Thép HRC HSPM 3.00x121Y SAE1008</t>
  </si>
  <si>
    <t>1251122106746</t>
  </si>
  <si>
    <t>Thép HRC HSPM 2.60x121Y SAE1008</t>
  </si>
  <si>
    <t>1251122106760</t>
  </si>
  <si>
    <t>Thép HRC HSPM 1.52x121Y SAE1008</t>
  </si>
  <si>
    <t>1251122106784</t>
  </si>
  <si>
    <t>Thép HRC HSPM 2.29x121Y SAE1008</t>
  </si>
  <si>
    <t>1251122106807</t>
  </si>
  <si>
    <t>Thép HRC HSPM 3.02x121Y SAE1008</t>
  </si>
  <si>
    <t>1251122106821</t>
  </si>
  <si>
    <t>Thép HRC HSPM 3.42x121Y SAE1008</t>
  </si>
  <si>
    <t>1251122106845</t>
  </si>
  <si>
    <t>Thép HRC HSPM 4.55x121Y SAE1008</t>
  </si>
  <si>
    <t>1251122106869</t>
  </si>
  <si>
    <t>Thép HRC HSPM 4.45x120X ASTM A36</t>
  </si>
  <si>
    <t>1251122106883</t>
  </si>
  <si>
    <t>Thép HRC HSPM 5.97x120X ASTM A36</t>
  </si>
  <si>
    <t>1251122106906</t>
  </si>
  <si>
    <t>Thép HRC HSPM 5.10x121X SPHT1</t>
  </si>
  <si>
    <t>1251122106920</t>
  </si>
  <si>
    <t>Thép HRC HSPM 1.80x121Y SPHC</t>
  </si>
  <si>
    <t>1251122106944</t>
  </si>
  <si>
    <t>Thép HRC HSPM 1.56x121Y SPHC</t>
  </si>
  <si>
    <t>1251122106968</t>
  </si>
  <si>
    <t>Thép HRC HSPM 1.80x121X SPHC</t>
  </si>
  <si>
    <t>1251122106982</t>
  </si>
  <si>
    <t>Thép HRC HSPM 1.50x121Y CS type B</t>
  </si>
  <si>
    <t>1251122107002</t>
  </si>
  <si>
    <t>Thép HRC HSPM 2.90x125X DD11</t>
  </si>
  <si>
    <t>1251122107026</t>
  </si>
  <si>
    <t>Thép HRC HSPM 2.92x121X S275JR</t>
  </si>
  <si>
    <t>1251122106081</t>
  </si>
  <si>
    <t>Thép HRC HSPM 2.80x151Y S275JR</t>
  </si>
  <si>
    <t>1251122106289</t>
  </si>
  <si>
    <t>Thép HRC HSPM 2.30x122Y SAE1008</t>
  </si>
  <si>
    <t>1251122104230</t>
  </si>
  <si>
    <t>Thép HRC HSPM 2.26x121Y SAE1008</t>
  </si>
  <si>
    <t>1251122104292</t>
  </si>
  <si>
    <t>Thép HRC HSPM 2.92x121Y SAE1008</t>
  </si>
  <si>
    <t>1251122104315</t>
  </si>
  <si>
    <t>Thép HRC HSPM 2.54x121Y SAE1008</t>
  </si>
  <si>
    <t>1251122104339</t>
  </si>
  <si>
    <t>Thép HRC HSPM 1.80x121Y SAE1008</t>
  </si>
  <si>
    <t>1251122104353</t>
  </si>
  <si>
    <t>Thép HRC HSPM 1.83x121Y SAE1008</t>
  </si>
  <si>
    <t>1251122104377</t>
  </si>
  <si>
    <t>Thép HRC HSPM 1.85x121X SPHC</t>
  </si>
  <si>
    <t>1251122104391</t>
  </si>
  <si>
    <t>Thép HRC HSPM 2.50x121X S275JR</t>
  </si>
  <si>
    <t>1251122104414</t>
  </si>
  <si>
    <t>Thép HRC HSPM 3.70x151Y S275JR</t>
  </si>
  <si>
    <t>1251122104438</t>
  </si>
  <si>
    <t>Thép HRC HSPM 2.40x121Y S275JR</t>
  </si>
  <si>
    <t>1251122104452</t>
  </si>
  <si>
    <t>Thép HRC HSPM 5.75x152X S275JR</t>
  </si>
  <si>
    <t>1251122104476</t>
  </si>
  <si>
    <t>Thép HRC HSPM 4.80x151Y S275JR</t>
  </si>
  <si>
    <t>1251122104490</t>
  </si>
  <si>
    <t>Thép HRC HSPM 2.45x125X SPHC</t>
  </si>
  <si>
    <t>1251122104131</t>
  </si>
  <si>
    <t>Thép HRC HSPM 2.25x129X SS400</t>
  </si>
  <si>
    <t>1251122104155</t>
  </si>
  <si>
    <t>Thép HRC HSPM 2.45x129X SS400</t>
  </si>
  <si>
    <t>1251122104179</t>
  </si>
  <si>
    <t>Thép HRC HSPM 2.25x125X SS400</t>
  </si>
  <si>
    <t>1251122104193</t>
  </si>
  <si>
    <t>Thép HRC HSPM 5.70x151Y S275JR</t>
  </si>
  <si>
    <t>1251122104216</t>
  </si>
  <si>
    <t>Thép HRC HSPM 2.00x120X BjPC</t>
  </si>
  <si>
    <t>1251122104513</t>
  </si>
  <si>
    <t>Thép HRC HSPM 2.50x120X BjPC</t>
  </si>
  <si>
    <t>1251122104537</t>
  </si>
  <si>
    <t>Thép HRC HSPM 2.80x120X BjPC</t>
  </si>
  <si>
    <t>1251122104551</t>
  </si>
  <si>
    <t>Thép HRC HSPM 3.00x120X BjPC</t>
  </si>
  <si>
    <t>1251122104575</t>
  </si>
  <si>
    <t>Thép HRC HSPM 2.80x126X SAE1006</t>
  </si>
  <si>
    <t>1251122104667</t>
  </si>
  <si>
    <t>Thép HRC HSPM 2.80x121X SAE1006</t>
  </si>
  <si>
    <t>1251122105688</t>
  </si>
  <si>
    <t>Thép HRC HSPM 2.30x126X SAE1006</t>
  </si>
  <si>
    <t>1251122105701</t>
  </si>
  <si>
    <t>Thép HRC HSPM 2.50x126X SAE1006</t>
  </si>
  <si>
    <t>1251122105725</t>
  </si>
  <si>
    <t>Thép HRC HSPM 2.00x101X SAE1006</t>
  </si>
  <si>
    <t>1251122105749</t>
  </si>
  <si>
    <t>Thép HRC HSPM 2.30x101X SAE1006</t>
  </si>
  <si>
    <t>1251122105763</t>
  </si>
  <si>
    <t>Thép HRC HSPM 2.80x101X SAE1006</t>
  </si>
  <si>
    <t>1251122105787</t>
  </si>
  <si>
    <t>Thép HRC HSPM 2.06x123Y SAE1006</t>
  </si>
  <si>
    <t>1251122105800</t>
  </si>
  <si>
    <t>Thép HRC HSPM 2.28x123Y SAE1006</t>
  </si>
  <si>
    <t>1251122105824</t>
  </si>
  <si>
    <t>Thép HRC HSPM 1.90x121Y SAE1008</t>
  </si>
  <si>
    <t>1251122105848</t>
  </si>
  <si>
    <t>Thép HRC HSPM 2.40x121Y SPHC</t>
  </si>
  <si>
    <t>1251122105862</t>
  </si>
  <si>
    <t>Thép HRC HSPM 3.25x121Y SPHC</t>
  </si>
  <si>
    <t>1251122105909</t>
  </si>
  <si>
    <t>Thép HRC HSPM 2.00x121Y BjPC</t>
  </si>
  <si>
    <t>1251122105923</t>
  </si>
  <si>
    <t>Thép HRC HSPM 2.25x121Y BjPC</t>
  </si>
  <si>
    <t>1251122105947</t>
  </si>
  <si>
    <t>Thép HRC HSPM 3.00x121Y BjPC</t>
  </si>
  <si>
    <t>1251122105961</t>
  </si>
  <si>
    <t>Thép HRC HSPM 2.50x121Y BjPC</t>
  </si>
  <si>
    <t>1251122105985</t>
  </si>
  <si>
    <t>Thép HRC HSPM 3.60x121Y BjPC</t>
  </si>
  <si>
    <t>1251122106005</t>
  </si>
  <si>
    <t>Thép HRC HSPM 4.00x121Y BjPC</t>
  </si>
  <si>
    <t>1251122106029</t>
  </si>
  <si>
    <t>Thép HRC HSPM 3.20x121Y BjPC</t>
  </si>
  <si>
    <t>1251122106043</t>
  </si>
  <si>
    <t>Thép HRC HSPM 3.10x125X SS400</t>
  </si>
  <si>
    <t>1251122106067</t>
  </si>
  <si>
    <t>Thép HRC HSPM 2.25x121Y SS400</t>
  </si>
  <si>
    <t>1251122107040</t>
  </si>
  <si>
    <t>Thép HRC HSPM 6.00x152X S275JR</t>
  </si>
  <si>
    <t>1251122107064</t>
  </si>
  <si>
    <t>Thép HRC HSPM 2.65x121Y SAE1008</t>
  </si>
  <si>
    <t>1251122107088</t>
  </si>
  <si>
    <t>Thép HRC HSPM 2.00x121X SPHC</t>
  </si>
  <si>
    <t>1251122107101</t>
  </si>
  <si>
    <t>Thép HRC HSPM 3.00x121Y SPHC</t>
  </si>
  <si>
    <t>1251122105886</t>
  </si>
  <si>
    <t>Thép HRC HSPM 11.90x125X S275JR</t>
  </si>
  <si>
    <t>1251122106623</t>
  </si>
  <si>
    <t>Thép HRC HSPM 9.90x150X S275JR</t>
  </si>
  <si>
    <t>1251122106647</t>
  </si>
  <si>
    <t>Thép HRC HSPM 11.90x150X S275JR</t>
  </si>
  <si>
    <t>1251122106661</t>
  </si>
  <si>
    <t>Thép HRC HSPM 2.80x122Y SAE1008</t>
  </si>
  <si>
    <t>1251122104254</t>
  </si>
  <si>
    <t>Thép HRC HSPM 4.50x122Y SAE1008</t>
  </si>
  <si>
    <t>1251122104278</t>
  </si>
  <si>
    <t>Thép cuộn cán nóng 3.95x1155 SAE1006 II</t>
  </si>
  <si>
    <t>3.95×1155×C</t>
  </si>
  <si>
    <t>1251122000693</t>
  </si>
  <si>
    <t>Thép cuộn cán nóng 2.75x1180 SAE1006 II</t>
  </si>
  <si>
    <t>2.75×1180×C</t>
  </si>
  <si>
    <t>1251122000686</t>
  </si>
  <si>
    <t>Thép cuộn cán nóng 2.75x1180 SAE1006</t>
  </si>
  <si>
    <t>1251122000679</t>
  </si>
  <si>
    <t>Thép cuộn cán nóng 1.83x1250 S235JR II</t>
  </si>
  <si>
    <t>1.83×1250×C</t>
  </si>
  <si>
    <t>1251122000662</t>
  </si>
  <si>
    <t>Thép cuộn cán nóng 1.83x1250 S235JR</t>
  </si>
  <si>
    <t>1251122000655</t>
  </si>
  <si>
    <t>Thép cuộn cán nóng 2.30x1250 S235JR II</t>
  </si>
  <si>
    <t>2.30×1250×C</t>
  </si>
  <si>
    <t>1251122000648</t>
  </si>
  <si>
    <t>Thép cuộn cán nóng 2.30x1250 S235JR</t>
  </si>
  <si>
    <t>1251122000631</t>
  </si>
  <si>
    <t>Thép cuộn cán nóng 2.65x121Y SAE1008 II</t>
  </si>
  <si>
    <t>1251121951026</t>
  </si>
  <si>
    <t>Thép cuộn cán nóng 2.65x121Y SAE1008</t>
  </si>
  <si>
    <t>1251121951019</t>
  </si>
  <si>
    <t>Thép cuộn cán nóng 2.45x126Y SAE1006</t>
  </si>
  <si>
    <t>1251121951002</t>
  </si>
  <si>
    <t>Thép cuộn cán nóng 2.45x126Y SAE1006 II</t>
  </si>
  <si>
    <t>1251121950999</t>
  </si>
  <si>
    <t>Thép cuộn cán nóng 4.50x150X S275JR II</t>
  </si>
  <si>
    <t>1251121950951</t>
  </si>
  <si>
    <t>Thép cuộn cán nóng 4.50x150X S275JR</t>
  </si>
  <si>
    <t>1251121950944</t>
  </si>
  <si>
    <t>Thép cuộn cán nóng 3.20x134Y SS400 II</t>
  </si>
  <si>
    <t>3.20×1347×C</t>
  </si>
  <si>
    <t>1251121950937</t>
  </si>
  <si>
    <t>Thép cuộn cán nóng 3.20x134Y SS400</t>
  </si>
  <si>
    <t>1251121950920</t>
  </si>
  <si>
    <t>Thép cuộn cán nóng 3.00x134Y SS400 II</t>
  </si>
  <si>
    <t>1251121950913</t>
  </si>
  <si>
    <t>Thép cuộn cán nóng 3.00x134Y SS400</t>
  </si>
  <si>
    <t>1251121950906</t>
  </si>
  <si>
    <t>Thép cuộn cán nóng 6.45x104Y SS400 II</t>
  </si>
  <si>
    <t>6.45×1047×C</t>
  </si>
  <si>
    <t>1251121950890</t>
  </si>
  <si>
    <t>Thép cuộn cán nóng 6.45x104Y SS400</t>
  </si>
  <si>
    <t>1251121950883</t>
  </si>
  <si>
    <t>Thép cuộn cán nóng 6.35x104Y SS400 II</t>
  </si>
  <si>
    <t>6.35×1047×C</t>
  </si>
  <si>
    <t>1251121950876</t>
  </si>
  <si>
    <t>Thép cuộn cán nóng 6.35x104Y SS400</t>
  </si>
  <si>
    <t>1251121950869</t>
  </si>
  <si>
    <t>Thép cuộn cán nóng 2.40x104Y SS400 II</t>
  </si>
  <si>
    <t>2.40×1047×C</t>
  </si>
  <si>
    <t>1251121950852</t>
  </si>
  <si>
    <t>Thép cuộn cán nóng 2.40x104Y SS400</t>
  </si>
  <si>
    <t>1251121950845</t>
  </si>
  <si>
    <t>Thép cuộn cán nóng 5.50x142X SS400 II</t>
  </si>
  <si>
    <t>5.50×1422×C</t>
  </si>
  <si>
    <t>1251121950838</t>
  </si>
  <si>
    <t>Thép cuộn cán nóng 5.50x142X SS400</t>
  </si>
  <si>
    <t>1251121950821</t>
  </si>
  <si>
    <t>Thép cuộn cán nóng 4.25x142X SS400 II</t>
  </si>
  <si>
    <t>4.25×1422×C</t>
  </si>
  <si>
    <t>1251121950814</t>
  </si>
  <si>
    <t>Thép cuộn cán nóng 4.25x142X SS400</t>
  </si>
  <si>
    <t>1251121950807</t>
  </si>
  <si>
    <t>Thép cuộn cán nóng 5.00x138X SS400 II</t>
  </si>
  <si>
    <t>5.00×1382×C</t>
  </si>
  <si>
    <t>1251121950791</t>
  </si>
  <si>
    <t>Thép cuộn cán nóng 5.00x138X SS400</t>
  </si>
  <si>
    <t>1251121950784</t>
  </si>
  <si>
    <t>Thép cuộn cán nóng 3.42x138X SS400 II</t>
  </si>
  <si>
    <t>3.42×1382×C</t>
  </si>
  <si>
    <t>1251121950777</t>
  </si>
  <si>
    <t>Thép cuộn cán nóng 3.42x138X SS400</t>
  </si>
  <si>
    <t>1251121950760</t>
  </si>
  <si>
    <t>Thép cuộn cán nóng 5.20x126X SS400 II</t>
  </si>
  <si>
    <t>5.20×1262×C</t>
  </si>
  <si>
    <t>1251121950753</t>
  </si>
  <si>
    <t>Thép cuộn cán nóng 5.20x126X SS400</t>
  </si>
  <si>
    <t>1251121950746</t>
  </si>
  <si>
    <t>Thép cuộn cán nóng 3.65x126X SS400 II</t>
  </si>
  <si>
    <t>3.65×1262×C</t>
  </si>
  <si>
    <t>1251121950739</t>
  </si>
  <si>
    <t>Thép cuộn cán nóng 3.65x126X SS400</t>
  </si>
  <si>
    <t>1251121950722</t>
  </si>
  <si>
    <t>Thép cuộn cán nóng 3.30x126X SS400 II</t>
  </si>
  <si>
    <t>1251121950715</t>
  </si>
  <si>
    <t>Thép cuộn cán nóng 3.30x126X SS400</t>
  </si>
  <si>
    <t>1251121950708</t>
  </si>
  <si>
    <t>Thép cuộn cán nóng 2.75x118X SAE1006 II</t>
  </si>
  <si>
    <t>2.75×1182×C</t>
  </si>
  <si>
    <t>1251121950692</t>
  </si>
  <si>
    <t>Thép cuộn cán nóng 2.75x118X SAE1006</t>
  </si>
  <si>
    <t>1251121950685</t>
  </si>
  <si>
    <t>Thép cuộn cán nóng 2.45x126X SAE1017 II</t>
  </si>
  <si>
    <t>1251121950678</t>
  </si>
  <si>
    <t>Thép cuộn cán nóng 2.45x126X SAE1017</t>
  </si>
  <si>
    <t>1251121950661</t>
  </si>
  <si>
    <t>Thép cuộn cán nóng 2.25x121Y SS400 II</t>
  </si>
  <si>
    <t>1251121950647</t>
  </si>
  <si>
    <t>Thép cuộn cán nóng 2.25x121Y SS400</t>
  </si>
  <si>
    <t>1251121950630</t>
  </si>
  <si>
    <t>Thép cuộn cán nóng 1.40x125X SAE1006 II</t>
  </si>
  <si>
    <t>1251121950623</t>
  </si>
  <si>
    <t>Thép cuộn cán nóng 1.40x125X SAE1006</t>
  </si>
  <si>
    <t>1251121950616</t>
  </si>
  <si>
    <t>Thép cuộn cán nóng 2.90x125X DD11 II</t>
  </si>
  <si>
    <t>1251121950609</t>
  </si>
  <si>
    <t>Thép cuộn cán nóng 2.90x125X DD11</t>
  </si>
  <si>
    <t>1251121950593</t>
  </si>
  <si>
    <t>Thép cuộn cán nóng 4.45x120X ASTM A36 II</t>
  </si>
  <si>
    <t>1251121950586</t>
  </si>
  <si>
    <t>Thép cuộn cán nóng 4.45x120X ASTM A36</t>
  </si>
  <si>
    <t>1251121950579</t>
  </si>
  <si>
    <t>Thép cuộn cán nóng 1.50x121Y CS typeB II</t>
  </si>
  <si>
    <t>1251121950562</t>
  </si>
  <si>
    <t>Thép cuộn cán nóng 1.50x121Y CS type B</t>
  </si>
  <si>
    <t>1251121950555</t>
  </si>
  <si>
    <t>Thép cuộn cán nóng 4.85x121X SPHC II</t>
  </si>
  <si>
    <t>MS 1705: 2003</t>
  </si>
  <si>
    <t>1251121950548</t>
  </si>
  <si>
    <t>Thép cuộn cán nóng 4.85x121X SPHC</t>
  </si>
  <si>
    <t>1251121950531</t>
  </si>
  <si>
    <t>Thép cuộn cán nóng 1.56x121Y SPHC II</t>
  </si>
  <si>
    <t>1251121950524</t>
  </si>
  <si>
    <t>Thép cuộn cán nóng 1.56x121Y SPHC</t>
  </si>
  <si>
    <t>1251121950517</t>
  </si>
  <si>
    <t>Thép cuộn cán nóng 2.60x121Y SAE1008 II</t>
  </si>
  <si>
    <t>1251121950500</t>
  </si>
  <si>
    <t>Thép cuộn cán nóng 2.60x121Y SAE1008</t>
  </si>
  <si>
    <t>1251121950494</t>
  </si>
  <si>
    <t>Thép cuộn cán nóng 2.60x120X SAE1008 II</t>
  </si>
  <si>
    <t>1251121950487</t>
  </si>
  <si>
    <t>Thép cuộn cán nóng 2.60x120X SAE1008</t>
  </si>
  <si>
    <t>1251121950470</t>
  </si>
  <si>
    <t>Thép cuộn cán nóng 3.50x112Y SAE1008 II</t>
  </si>
  <si>
    <t>1251121950463</t>
  </si>
  <si>
    <t>Thép cuộn cán nóng 3.50x112Y SAE1008</t>
  </si>
  <si>
    <t>1251121950456</t>
  </si>
  <si>
    <t>Thép cuộn cán nóng 3.30x105X SAE1008 II</t>
  </si>
  <si>
    <t>1251121950449</t>
  </si>
  <si>
    <t>Thép cuộn cán nóng 3.30x105X SAE1008</t>
  </si>
  <si>
    <t>1251121950432</t>
  </si>
  <si>
    <t>Thép cuộn cán nóng 3.80x121Y SAE1008 II</t>
  </si>
  <si>
    <t>1251121950425</t>
  </si>
  <si>
    <t>Thép cuộn cán nóng 3.80x121Y SAE1008</t>
  </si>
  <si>
    <t>1251121950418</t>
  </si>
  <si>
    <t>Thép cuộn cán nóng 4.50x121Y SAE1008 II</t>
  </si>
  <si>
    <t>1251121950401</t>
  </si>
  <si>
    <t>Thép cuộn cán nóng 4.50x121Y SAE1008</t>
  </si>
  <si>
    <t>1251121950395</t>
  </si>
  <si>
    <t>Thép cuộn cán nóng 7.10x151Y S275JR II</t>
  </si>
  <si>
    <t>7.10×1517×C</t>
  </si>
  <si>
    <t>1251121950388</t>
  </si>
  <si>
    <t>Thép cuộn cán nóng 7.10x151Y S275JR</t>
  </si>
  <si>
    <t>1251121950371</t>
  </si>
  <si>
    <t>Thép cuộn cán nóng 6.30x121X S275JR II</t>
  </si>
  <si>
    <t>6.30×1212×C</t>
  </si>
  <si>
    <t>1251121950364</t>
  </si>
  <si>
    <t>Thép cuộn cán nóng 6.30x121X S275JR</t>
  </si>
  <si>
    <t>1251121950357</t>
  </si>
  <si>
    <t>Thép cuộn cán nóng 3.84x150X S275JR II</t>
  </si>
  <si>
    <t>1251121950340</t>
  </si>
  <si>
    <t>Thép cuộn cán nóng 3.84x150X S275JR</t>
  </si>
  <si>
    <t>1251121950333</t>
  </si>
  <si>
    <t>Thép cuộn cán nóng 3.84x125X S275JR II</t>
  </si>
  <si>
    <t>1251121950326</t>
  </si>
  <si>
    <t>Thép cuộn cán nóng 3.84x125X S275JR</t>
  </si>
  <si>
    <t>1251121950319</t>
  </si>
  <si>
    <t>Thép cuộn cán nóng 9.40x121X S275JR II</t>
  </si>
  <si>
    <t>9.40×1212×C</t>
  </si>
  <si>
    <t>1251121950302</t>
  </si>
  <si>
    <t>Thép cuộn cán nóng 9.40x121X S275JR</t>
  </si>
  <si>
    <t>1251121950296</t>
  </si>
  <si>
    <t>Thép cuộn cán nóng 11.55x152X S275JR II</t>
  </si>
  <si>
    <t>11.55×1522×C</t>
  </si>
  <si>
    <t>1251121950289</t>
  </si>
  <si>
    <t>Thép cuộn cán nóng 11.55x152X S275JR</t>
  </si>
  <si>
    <t>1251121950272</t>
  </si>
  <si>
    <t>Thép cuộn cán nóng 4.35x152X S275JR II</t>
  </si>
  <si>
    <t>1251121950265</t>
  </si>
  <si>
    <t>Thép cuộn cán nóng 4.35x152X S275JR</t>
  </si>
  <si>
    <t>1251121950258</t>
  </si>
  <si>
    <t>Thép cuộn cán nóng 7.30x121X S275JR II</t>
  </si>
  <si>
    <t>7.30×1212×C</t>
  </si>
  <si>
    <t>1251121950241</t>
  </si>
  <si>
    <t>Thép cuộn cán nóng 7.30x121X S275JR</t>
  </si>
  <si>
    <t>1251121950234</t>
  </si>
  <si>
    <t>Thép cuộn cán nóng 5.75x121X S275JR II</t>
  </si>
  <si>
    <t>1251121950227</t>
  </si>
  <si>
    <t>Thép cuộn cán nóng 5.75x121X S275JR</t>
  </si>
  <si>
    <t>1251121950210</t>
  </si>
  <si>
    <t>Thép cuộn cán nóng 4.75x151Y S275JR II</t>
  </si>
  <si>
    <t>4.75×1517×C</t>
  </si>
  <si>
    <t>1251121950203</t>
  </si>
  <si>
    <t>Thép cuộn cán nóng 4.75x151Y S275JR</t>
  </si>
  <si>
    <t>1251121950197</t>
  </si>
  <si>
    <t>Thép cuộn cán nóng 3.85x150X S275JR II</t>
  </si>
  <si>
    <t>1251121950180</t>
  </si>
  <si>
    <t>Thép cuộn cán nóng 3.85x150X S275JR</t>
  </si>
  <si>
    <t>1251121950173</t>
  </si>
  <si>
    <t>Thép cuộn cán nóng 2.80x151Y S275JR II</t>
  </si>
  <si>
    <t>1251121950166</t>
  </si>
  <si>
    <t>Thép cuộn cán nóng 2.80x151Y S275JR</t>
  </si>
  <si>
    <t>1251121950159</t>
  </si>
  <si>
    <t>Thép cuộn cán nóng 2.42x150X S275JR II</t>
  </si>
  <si>
    <t>1251121950142</t>
  </si>
  <si>
    <t>Thép cuộn cán nóng 2.42x150X S275JR</t>
  </si>
  <si>
    <t>1251121950135</t>
  </si>
  <si>
    <t>Thép cuộn cán nóng 2.42x121Y S275JR II</t>
  </si>
  <si>
    <t>1251121950128</t>
  </si>
  <si>
    <t>Thép cuộn cán nóng 2.42x121Y S275JR</t>
  </si>
  <si>
    <t>1251121950111</t>
  </si>
  <si>
    <t>Thép cuộn cán nóng 11.40x152X S275JR II</t>
  </si>
  <si>
    <t>11.40×1522×C</t>
  </si>
  <si>
    <t>1251121950104</t>
  </si>
  <si>
    <t>Thép cuộn cán nóng 11.40x152X S275JR</t>
  </si>
  <si>
    <t>1251121950098</t>
  </si>
  <si>
    <t>Thép cuộn cán nóng 3.60x152X S275JR II</t>
  </si>
  <si>
    <t>1251121950081</t>
  </si>
  <si>
    <t>Thép cuộn cán nóng 3.60x152X S275JR</t>
  </si>
  <si>
    <t>1251121950074</t>
  </si>
  <si>
    <t>Thép cuộn cán nóng 4.15x121Y S275JR II</t>
  </si>
  <si>
    <t>1251121950067</t>
  </si>
  <si>
    <t>Thép cuộn cán nóng 4.15x121Y S275JR</t>
  </si>
  <si>
    <t>1251121950050</t>
  </si>
  <si>
    <t>Thép cuộn cán nóng 2.80x121Y S275JR II</t>
  </si>
  <si>
    <t>1251121950043</t>
  </si>
  <si>
    <t>Thép cuộn cán nóng 2.80x121Y S275JR</t>
  </si>
  <si>
    <t>1251121950036</t>
  </si>
  <si>
    <t>Thép cuộn cán nóng 5.63x152X S275JR II</t>
  </si>
  <si>
    <t>5.63×1522×C</t>
  </si>
  <si>
    <t>1251121950029</t>
  </si>
  <si>
    <t>Thép cuộn cán nóng 5.63x152X S275JR</t>
  </si>
  <si>
    <t>1251121950012</t>
  </si>
  <si>
    <t>Thép cuộn cán nóng 2.25x152X S275JR II</t>
  </si>
  <si>
    <t>1251121950005</t>
  </si>
  <si>
    <t>Thép cuộn cán nóng 2.25x152X S275JR</t>
  </si>
  <si>
    <t>1251121949993</t>
  </si>
  <si>
    <t>Thép cuộn cán nóng 2.90x134X S275JR II</t>
  </si>
  <si>
    <t>1251121949986</t>
  </si>
  <si>
    <t>Thép cuộn cán nóng 2.90x134X S275JR</t>
  </si>
  <si>
    <t>1251121949979</t>
  </si>
  <si>
    <t>Thép cuộn cán nóng 8.10x151Y S275JR II</t>
  </si>
  <si>
    <t>8.10×1517×C</t>
  </si>
  <si>
    <t>1251121949962</t>
  </si>
  <si>
    <t>Thép cuộn cán nóng 8.10x151Y S275JR</t>
  </si>
  <si>
    <t>1251121949955</t>
  </si>
  <si>
    <t>Thép cuộn cán nóng 5.45x151Y S275JR II</t>
  </si>
  <si>
    <t>5.45×1517×C</t>
  </si>
  <si>
    <t>1251121949948</t>
  </si>
  <si>
    <t>Thép cuộn cán nóng 5.45x151Y S275JR</t>
  </si>
  <si>
    <t>1251121949931</t>
  </si>
  <si>
    <t>Thép cuộn cán nóng 4.67x151Y S275JR II</t>
  </si>
  <si>
    <t>1251121949924</t>
  </si>
  <si>
    <t>Thép cuộn cán nóng 4.67x151Y S275JR</t>
  </si>
  <si>
    <t>1251121949917</t>
  </si>
  <si>
    <t>Thép cuộn cán nóng 4.10x150X S275JR II</t>
  </si>
  <si>
    <t>1251121949900</t>
  </si>
  <si>
    <t>Thép cuộn cán nóng 4.10x150X S275JR</t>
  </si>
  <si>
    <t>1251121949894</t>
  </si>
  <si>
    <t>Thép cuộn cán nóng 4.67x121X S275JR II</t>
  </si>
  <si>
    <t>1251121949887</t>
  </si>
  <si>
    <t>Thép cuộn cán nóng 4.67x121X S275JR</t>
  </si>
  <si>
    <t>1251121949870</t>
  </si>
  <si>
    <t>Thép cuộn cán nóng 4.18x121X S275JR II</t>
  </si>
  <si>
    <t>1251121949863</t>
  </si>
  <si>
    <t>Thép cuộn cán nóng 4.18x121X S275JR</t>
  </si>
  <si>
    <t>1251121949856</t>
  </si>
  <si>
    <t>Thép cuộn cán nóng 2.92x121X S275JR II</t>
  </si>
  <si>
    <t>1251121949849</t>
  </si>
  <si>
    <t>Thép cuộn cán nóng 2.92x121X S275JR</t>
  </si>
  <si>
    <t>1251121949832</t>
  </si>
  <si>
    <t>Thép cuộn cán nóng 4.50x126Y SPHC II</t>
  </si>
  <si>
    <t>1251121949825</t>
  </si>
  <si>
    <t>Thép cuộn cán nóng 4.50x126Y SPHC</t>
  </si>
  <si>
    <t>1251121949818</t>
  </si>
  <si>
    <t>Thép cuộn cán nóng 4.00x126Y SPHC II</t>
  </si>
  <si>
    <t>4.00×1267×C</t>
  </si>
  <si>
    <t>1251121949801</t>
  </si>
  <si>
    <t>Thép cuộn cán nóng 4.00x126Y SPHC</t>
  </si>
  <si>
    <t>1251121949795</t>
  </si>
  <si>
    <t>Thép cuộn cán nóng 4.55x137Y SS400 II</t>
  </si>
  <si>
    <t>4.55×1377×C</t>
  </si>
  <si>
    <t>1251121949788</t>
  </si>
  <si>
    <t>Thép cuộn cán nóng 4.55x137Y SS400</t>
  </si>
  <si>
    <t>1251121949771</t>
  </si>
  <si>
    <t>Thép cuộn cán nóng 4.35x137Y SS400 II</t>
  </si>
  <si>
    <t>4.35×1377×C</t>
  </si>
  <si>
    <t>1251121949764</t>
  </si>
  <si>
    <t>Thép cuộn cán nóng 4.35x137Y SS400</t>
  </si>
  <si>
    <t>1251121949757</t>
  </si>
  <si>
    <t>Thép cuộn cán nóng 3.65x137Y SS400 II</t>
  </si>
  <si>
    <t>3.65×1377×C</t>
  </si>
  <si>
    <t>1251121949740</t>
  </si>
  <si>
    <t>Thép cuộn cán nóng 3.65x137Y SS400</t>
  </si>
  <si>
    <t>1251121949733</t>
  </si>
  <si>
    <t>Thép cuộn cán nóng 4.50x131X SS400 II</t>
  </si>
  <si>
    <t>4.50×1312×C</t>
  </si>
  <si>
    <t>1251121949726</t>
  </si>
  <si>
    <t>Thép cuộn cán nóng 4.50x131X SS400</t>
  </si>
  <si>
    <t>1251121949719</t>
  </si>
  <si>
    <t>Thép cuộn cán nóng 4.20x131X SS400 II</t>
  </si>
  <si>
    <t>4.20×1312×C</t>
  </si>
  <si>
    <t>1251121949702</t>
  </si>
  <si>
    <t>Thép cuộn cán nóng 4.20x131X SS400</t>
  </si>
  <si>
    <t>1251121949696</t>
  </si>
  <si>
    <t>Thép cuộn cán nóng 5.25x125Y SS400 II</t>
  </si>
  <si>
    <t>5.25×1257×C</t>
  </si>
  <si>
    <t>1251121949689</t>
  </si>
  <si>
    <t>Thép cuộn cán nóng 5.25x125Y SS400</t>
  </si>
  <si>
    <t>1251121949672</t>
  </si>
  <si>
    <t>Thép cuộn cán nóng 5.15x125Y SS400 II</t>
  </si>
  <si>
    <t>5.15×1257×C</t>
  </si>
  <si>
    <t>1251121949665</t>
  </si>
  <si>
    <t>Thép cuộn cán nóng 5.15x125Y SS400</t>
  </si>
  <si>
    <t>1251121949658</t>
  </si>
  <si>
    <t>Thép cuộn cán nóng 3.75x125Y SS400 II</t>
  </si>
  <si>
    <t>3.75×1257×C</t>
  </si>
  <si>
    <t>1251121949641</t>
  </si>
  <si>
    <t>Thép cuộn cán nóng 3.75x125Y SS400</t>
  </si>
  <si>
    <t>1251121949634</t>
  </si>
  <si>
    <t>Thép cuộn cán nóng 3.65x125Y SS400 II</t>
  </si>
  <si>
    <t>3.65×1257×C</t>
  </si>
  <si>
    <t>1251121949627</t>
  </si>
  <si>
    <t>Thép cuộn cán nóng 3.65x125Y SS400</t>
  </si>
  <si>
    <t>1251121949610</t>
  </si>
  <si>
    <t>Thép cuộn cán nóng 4.20x120X SS400 II</t>
  </si>
  <si>
    <t>4.20×1202×C</t>
  </si>
  <si>
    <t>1251121949603</t>
  </si>
  <si>
    <t>Thép cuộn cán nóng 4.20x120X SS400</t>
  </si>
  <si>
    <t>1251121949597</t>
  </si>
  <si>
    <t>Thép cuộn cán nóng 3.25x120X SS400 II</t>
  </si>
  <si>
    <t>3.25×1202×C</t>
  </si>
  <si>
    <t>1251121949580</t>
  </si>
  <si>
    <t>Thép cuộn cán nóng 3.25x120X SS400</t>
  </si>
  <si>
    <t>1251121949573</t>
  </si>
  <si>
    <t>Thép cuộn cán nóng 2.70x120X SS400 II</t>
  </si>
  <si>
    <t>1251121949566</t>
  </si>
  <si>
    <t>Thép cuộn cán nóng 2.70x120X SS400</t>
  </si>
  <si>
    <t>1251121949559</t>
  </si>
  <si>
    <t>Thép cuộn cán nóng 4.55x104X SS400 II</t>
  </si>
  <si>
    <t>4.55×1042×C</t>
  </si>
  <si>
    <t>1251121949542</t>
  </si>
  <si>
    <t>Thép cuộn cán nóng 4.55x104X SS400</t>
  </si>
  <si>
    <t>1251121949535</t>
  </si>
  <si>
    <t>Thép cuộn cán nóng 3.10x104X SS400 II</t>
  </si>
  <si>
    <t>3.10×1042×C</t>
  </si>
  <si>
    <t>1251121949528</t>
  </si>
  <si>
    <t>Thép cuộn cán nóng 3.10x104X SS400</t>
  </si>
  <si>
    <t>1251121949511</t>
  </si>
  <si>
    <t>Thép cuộn cán nóng 3.50x131X SS400 II</t>
  </si>
  <si>
    <t>3.50×1312×C</t>
  </si>
  <si>
    <t>1251121949504</t>
  </si>
  <si>
    <t>Thép cuộn cán nóng 3.50x131X SS400</t>
  </si>
  <si>
    <t>1251121949498</t>
  </si>
  <si>
    <t>Thép cuộn cán nóng 10.60x100X SS400 II</t>
  </si>
  <si>
    <t>10.60×1002×C</t>
  </si>
  <si>
    <t>1251121949481</t>
  </si>
  <si>
    <t>Thép cuộn cán nóng 10.60x100X SS400</t>
  </si>
  <si>
    <t>1251121949474</t>
  </si>
  <si>
    <t>Thép cuộn cán nóng 4.90x121X SS400 II</t>
  </si>
  <si>
    <t>1251121949467</t>
  </si>
  <si>
    <t>Thép cuộn cán nóng 4.90x121X SS400</t>
  </si>
  <si>
    <t>1251121949450</t>
  </si>
  <si>
    <t>Thép cuộn cán nóng 1.90x121Y SAE1008 II</t>
  </si>
  <si>
    <t>1251121949443</t>
  </si>
  <si>
    <t>Thép cuộn cán nóng 1.90x121Y SAE1008</t>
  </si>
  <si>
    <t>1251121949436</t>
  </si>
  <si>
    <t>Thép cuộn cán nóng 2.29x121Y SAE1006 II</t>
  </si>
  <si>
    <t>1251121949412</t>
  </si>
  <si>
    <t>Thép cuộn cán nóng 2.29x121Y SAE1006</t>
  </si>
  <si>
    <t>1251121949405</t>
  </si>
  <si>
    <t>Thép cuộn cán nóng 3.02x121Y SAE1006 II</t>
  </si>
  <si>
    <t>1251121949399</t>
  </si>
  <si>
    <t>Thép cuộn cán nóng 3.02x121Y SAE1006</t>
  </si>
  <si>
    <t>1251121949382</t>
  </si>
  <si>
    <t>Thép cuộn cán nóng 3.42x121Y SAE1006 II</t>
  </si>
  <si>
    <t>1251121949375</t>
  </si>
  <si>
    <t>Thép cuộn cán nóng 3.42x121Y SAE1006</t>
  </si>
  <si>
    <t>1251121949368</t>
  </si>
  <si>
    <t>Thép cuộn cán nóng 4.55x121Y SAE1006 II</t>
  </si>
  <si>
    <t>1251121949351</t>
  </si>
  <si>
    <t>Thép cuộn cán nóng 4.55x121Y SAE1006</t>
  </si>
  <si>
    <t>1251121949344</t>
  </si>
  <si>
    <t>Thép cuộn cán nóng 3.15x121Y SAE1006 II</t>
  </si>
  <si>
    <t>3.15×1217×C</t>
  </si>
  <si>
    <t>1251121949337</t>
  </si>
  <si>
    <t>Thép cuộn cán nóng 3.15x121Y SAE1006</t>
  </si>
  <si>
    <t>1251121949320</t>
  </si>
  <si>
    <t>Thép cuộn cán nóng 3.00x152X SPHC II</t>
  </si>
  <si>
    <t>3.00X1522×C</t>
  </si>
  <si>
    <t>1251121949290</t>
  </si>
  <si>
    <t>Thép cuộn cán nóng 3.00x152X SPHC</t>
  </si>
  <si>
    <t>1251121949283</t>
  </si>
  <si>
    <t>Thép cuộn cán nóng 2.65x152X SPHC II</t>
  </si>
  <si>
    <t>2.65X1522×C</t>
  </si>
  <si>
    <t>1251121949276</t>
  </si>
  <si>
    <t>Thép cuộn cán nóng 2.65x152X SPHC</t>
  </si>
  <si>
    <t>1251121949269</t>
  </si>
  <si>
    <t>Thép cuộn cán nóng 3.60x121Y BjPC II</t>
  </si>
  <si>
    <t>1251121949245</t>
  </si>
  <si>
    <t>Thép cuộn cán nóng 3.60x121Y BjPC</t>
  </si>
  <si>
    <t>1251121949238</t>
  </si>
  <si>
    <t>Thép cuộn cán nóng 3.20x121Y BjPC II</t>
  </si>
  <si>
    <t>1251121949221</t>
  </si>
  <si>
    <t>Thép cuộn cán nóng 3.20x121Y BjPC</t>
  </si>
  <si>
    <t>1251121949214</t>
  </si>
  <si>
    <t>Thép cuộn cán nóng 3.00x121Y BjPC II</t>
  </si>
  <si>
    <t>1251121949207</t>
  </si>
  <si>
    <t>Thép cuộn cán nóng 3.00x121Y BjPC</t>
  </si>
  <si>
    <t>1251121949191</t>
  </si>
  <si>
    <t>Thép cuộn cán nóng 2.25x121Y BjPC II</t>
  </si>
  <si>
    <t>1251121949184</t>
  </si>
  <si>
    <t>Thép cuộn cán nóng 2.25x121Y BjPC</t>
  </si>
  <si>
    <t>1251121949177</t>
  </si>
  <si>
    <t>Thép cuộn cán nóng 2.00x121Y BjPC II</t>
  </si>
  <si>
    <t>1251121949160</t>
  </si>
  <si>
    <t>Thép cuộn cán nóng 2.00x121Y BjPC</t>
  </si>
  <si>
    <t>1251121949153</t>
  </si>
  <si>
    <t>Thép cuộn cán nóng 4.00x121Y BjPC II</t>
  </si>
  <si>
    <t>1251121949146</t>
  </si>
  <si>
    <t>Thép cuộn cán nóng 4.00x121Y BjPC</t>
  </si>
  <si>
    <t>1251121949139</t>
  </si>
  <si>
    <t>Thép cuộn cán nóng 2.50x121Y BjPC II</t>
  </si>
  <si>
    <t>1251121949122</t>
  </si>
  <si>
    <t>Thép cuộn cán nóng 2.50x121Y BjPC</t>
  </si>
  <si>
    <t>1251121949115</t>
  </si>
  <si>
    <t>Thép cuộn cán nóng 3.10x125X SPHC II</t>
  </si>
  <si>
    <t>1251121949108</t>
  </si>
  <si>
    <t>Thép cuộn cán nóng 3.10x125X SPHC</t>
  </si>
  <si>
    <t>1251121949092</t>
  </si>
  <si>
    <t>Thép cuộn cán nóng 3.25x121Y SPHC II</t>
  </si>
  <si>
    <t>1251121949085</t>
  </si>
  <si>
    <t>Thép cuộn cán nóng 3.25x121Y SPHC</t>
  </si>
  <si>
    <t>1251121949078</t>
  </si>
  <si>
    <t>Thép cuộn cán nóng 5.60x125X BjPS II</t>
  </si>
  <si>
    <t>5.60×1252×C</t>
  </si>
  <si>
    <t>1251121946299</t>
  </si>
  <si>
    <t>Thép cuộn cán nóng 5.60x125X BjPS</t>
  </si>
  <si>
    <t>1251121946282</t>
  </si>
  <si>
    <t>Thép cuộn cán nóng 3.60x125X BjPS II</t>
  </si>
  <si>
    <t>1251121946275</t>
  </si>
  <si>
    <t>Thép cuộn cán nóng 3.60x125X BjPS</t>
  </si>
  <si>
    <t>1251121946268</t>
  </si>
  <si>
    <t>Thép cuộn cán nóng 2.00x125X BjPS II</t>
  </si>
  <si>
    <t>1251121946251</t>
  </si>
  <si>
    <t>Thép cuộn cán nóng 2.00x125X BjPS</t>
  </si>
  <si>
    <t>1251121946244</t>
  </si>
  <si>
    <t>Thép cuộn cán nóng 5.60x120X BjPD II</t>
  </si>
  <si>
    <t>1251121946237</t>
  </si>
  <si>
    <t>Thép cuộn cán nóng 5.60x120X BjPD</t>
  </si>
  <si>
    <t>1251121946220</t>
  </si>
  <si>
    <t>Thép cuộn cán nóng 3.60x120X BjPD II</t>
  </si>
  <si>
    <t>1251121946213</t>
  </si>
  <si>
    <t>Thép cuộn cán nóng 3.60x120X BjPD</t>
  </si>
  <si>
    <t>1251121946206</t>
  </si>
  <si>
    <t>Thép cuộn cán nóng 2.50x120X BjPD II</t>
  </si>
  <si>
    <t>1251121946190</t>
  </si>
  <si>
    <t>Thép cuộn cán nóng 2.50x120X BjPD</t>
  </si>
  <si>
    <t>1251121946183</t>
  </si>
  <si>
    <t>Thép cuộn cán nóng 2.25x120X BjPD II</t>
  </si>
  <si>
    <t>1251121946176</t>
  </si>
  <si>
    <t>Thép cuộn cán nóng 2.25x120X BjPD</t>
  </si>
  <si>
    <t>1251121946169</t>
  </si>
  <si>
    <t>Thép cuộn cán nóng 5.60x120X BjPC II</t>
  </si>
  <si>
    <t>1251121946152</t>
  </si>
  <si>
    <t>Thép cuộn cán nóng 5.60x120X BjPC</t>
  </si>
  <si>
    <t>1251121946145</t>
  </si>
  <si>
    <t>Thép cuộn cán nóng 3.60x120X BjPC II</t>
  </si>
  <si>
    <t>1251121946138</t>
  </si>
  <si>
    <t>Thép cuộn cán nóng 3.60x120X BjPC</t>
  </si>
  <si>
    <t>1251121946121</t>
  </si>
  <si>
    <t>Thép cuộn cán nóng 5.90x125X BjPS II</t>
  </si>
  <si>
    <t>1251121946114</t>
  </si>
  <si>
    <t>Thép cuộn cán nóng 5.90x125X BjPS</t>
  </si>
  <si>
    <t>1251121946107</t>
  </si>
  <si>
    <t>Thép cuộn cán nóng 3.70x125X BjPS II</t>
  </si>
  <si>
    <t>3.70×1252×C</t>
  </si>
  <si>
    <t>1251121946091</t>
  </si>
  <si>
    <t>Thép cuộn cán nóng 3.70x125X BjPS</t>
  </si>
  <si>
    <t>1251121946084</t>
  </si>
  <si>
    <t>Thép cuộn cán nóng 2.80x125X BjPS II</t>
  </si>
  <si>
    <t>1251121946077</t>
  </si>
  <si>
    <t>Thép cuộn cán nóng 2.80x125X BjPS</t>
  </si>
  <si>
    <t>1251121946060</t>
  </si>
  <si>
    <t>Thép cuộn cán nóng 2.30x125X BjPS II</t>
  </si>
  <si>
    <t>1251121946053</t>
  </si>
  <si>
    <t>Thép cuộn cán nóng 2.30x125X BjPS</t>
  </si>
  <si>
    <t>1251121946046</t>
  </si>
  <si>
    <t>Thép cuộn cán nóng 4.50x120X BjPD II</t>
  </si>
  <si>
    <t>1251121946039</t>
  </si>
  <si>
    <t>Thép cuộn cán nóng 4.50x120X BjPD</t>
  </si>
  <si>
    <t>1251121946022</t>
  </si>
  <si>
    <t>Thép cuộn cán nóng 3.50x120X BjPD II</t>
  </si>
  <si>
    <t>1251121946015</t>
  </si>
  <si>
    <t>Thép cuộn cán nóng 3.50x120X BjPD</t>
  </si>
  <si>
    <t>1251121946008</t>
  </si>
  <si>
    <t>Thép cuộn cán nóng 2.80x120X BjPD II</t>
  </si>
  <si>
    <t>1251121945995</t>
  </si>
  <si>
    <t>Thép cuộn cán nóng 2.80x120X BjPD</t>
  </si>
  <si>
    <t>1251121945988</t>
  </si>
  <si>
    <t>Thép cuộn cán nóng 2.30x120X BjPD II</t>
  </si>
  <si>
    <t>1251121945971</t>
  </si>
  <si>
    <t>Thép cuộn cán nóng 2.30x120X BjPD</t>
  </si>
  <si>
    <t>1251121945964</t>
  </si>
  <si>
    <t>Thép cuộn cán nóng 4.50x120X BjPC II</t>
  </si>
  <si>
    <t>1251121945957</t>
  </si>
  <si>
    <t>Thép cuộn cán nóng 4.50x120X BjPC</t>
  </si>
  <si>
    <t>1251121945940</t>
  </si>
  <si>
    <t>Thép cuộn cán nóng 3.50x120X BjPC II</t>
  </si>
  <si>
    <t>1251121945933</t>
  </si>
  <si>
    <t>Thép cuộn cán nóng 3.50x120X BjPC</t>
  </si>
  <si>
    <t>1251121945926</t>
  </si>
  <si>
    <t>Thép cuộn cán nóng 3.50x134Y S275JR II</t>
  </si>
  <si>
    <t>1251121945889</t>
  </si>
  <si>
    <t>Thép cuộn cán nóng 3.50x134Y S275JR</t>
  </si>
  <si>
    <t>1251121945872</t>
  </si>
  <si>
    <t>Thép cuộn cán nóng 5.97x120X ASTM A36 II</t>
  </si>
  <si>
    <t>1251121945841</t>
  </si>
  <si>
    <t>Thép cuộn cán nóng 5.97x120X ASTM A36</t>
  </si>
  <si>
    <t>1251121945834</t>
  </si>
  <si>
    <t>Thép cuộn cán nóng 4.44x120X ASTM A36 II</t>
  </si>
  <si>
    <t>4.44×1202×C</t>
  </si>
  <si>
    <t>1251121945827</t>
  </si>
  <si>
    <t>Thép cuộn cán nóng 4.44x120X ASTM A36</t>
  </si>
  <si>
    <t>1251121945810</t>
  </si>
  <si>
    <t>Thép cuộn cán nóng 4.74x152X ASTM A36 II</t>
  </si>
  <si>
    <t>4.74×1522×C</t>
  </si>
  <si>
    <t>1251121945803</t>
  </si>
  <si>
    <t>Thép cuộn cán nóng 4.74x152X ASTM A36</t>
  </si>
  <si>
    <t>1251121945797</t>
  </si>
  <si>
    <t>Thép cuộn cán nóng 4.74x121Y ASTM A36 II</t>
  </si>
  <si>
    <t>4.74×1217×C</t>
  </si>
  <si>
    <t>1251121945780</t>
  </si>
  <si>
    <t>Thép cuộn cán nóng 4.74x121Y ASTM A36</t>
  </si>
  <si>
    <t>1251121945773</t>
  </si>
  <si>
    <t>Thép cuộn cán nóng 4.60x152X S275JR II</t>
  </si>
  <si>
    <t>4.60×1522×C</t>
  </si>
  <si>
    <t>1251121945766</t>
  </si>
  <si>
    <t>Thép cuộn cán nóng 4.60x152X S275JR</t>
  </si>
  <si>
    <t>1251121945759</t>
  </si>
  <si>
    <t>Thép cuộn cán nóng 4.15x152X S275JR II</t>
  </si>
  <si>
    <t>1251121945742</t>
  </si>
  <si>
    <t>Thép cuộn cán nóng 4.15x152X S275JR</t>
  </si>
  <si>
    <t>1251121945735</t>
  </si>
  <si>
    <t>Thép cuộn cán nóng 11.50x121Y S275JR II</t>
  </si>
  <si>
    <t>11.50×1217×C</t>
  </si>
  <si>
    <t>1251121945728</t>
  </si>
  <si>
    <t>Thép cuộn cán nóng 11.50x121Y S275JR</t>
  </si>
  <si>
    <t>1251121945711</t>
  </si>
  <si>
    <t>Thép cuộn cán nóng 8.50x121Y S275JR II</t>
  </si>
  <si>
    <t>8.50×1217×C</t>
  </si>
  <si>
    <t>1251121945704</t>
  </si>
  <si>
    <t>Thép cuộn cán nóng 8.50x121Y S275JR</t>
  </si>
  <si>
    <t>1251121945698</t>
  </si>
  <si>
    <t>Thép cuộn cán nóng 7.50x121Y S275JR II</t>
  </si>
  <si>
    <t>7.50×1217×C</t>
  </si>
  <si>
    <t>1251121945681</t>
  </si>
  <si>
    <t>Thép cuộn cán nóng 7.50x121Y S275JR</t>
  </si>
  <si>
    <t>1251121945674</t>
  </si>
  <si>
    <t>Thép cuộn cán nóng 2.50x121X S275JR II</t>
  </si>
  <si>
    <t>1251121945667</t>
  </si>
  <si>
    <t>Thép cuộn cán nóng 2.50x121X S275JR</t>
  </si>
  <si>
    <t>1251121945650</t>
  </si>
  <si>
    <t>Thép cuộn cán nóng 2.07x121X S275JR II</t>
  </si>
  <si>
    <t>2.07×1212×C</t>
  </si>
  <si>
    <t>1251121945643</t>
  </si>
  <si>
    <t>Thép cuộn cán nóng 2.07x121X S275JR</t>
  </si>
  <si>
    <t>1251121945636</t>
  </si>
  <si>
    <t>Thép cuộn cán nóng 10.10x152X S275JR II</t>
  </si>
  <si>
    <t>10.10×1522×C</t>
  </si>
  <si>
    <t>1251121945629</t>
  </si>
  <si>
    <t>Thép cuộn cán nóng 10.10x152X S275JR</t>
  </si>
  <si>
    <t>1251121945612</t>
  </si>
  <si>
    <t>Thép cuộn cán nóng 3.60x151Y S275JR II</t>
  </si>
  <si>
    <t>3.60×1517×C</t>
  </si>
  <si>
    <t>1251121945605</t>
  </si>
  <si>
    <t>Thép cuộn cán nóng 3.60x151Y S275JR</t>
  </si>
  <si>
    <t>1251121945599</t>
  </si>
  <si>
    <t>Thép cuộn cán nóng 2.48x121Y S275JR II</t>
  </si>
  <si>
    <t>1251121945582</t>
  </si>
  <si>
    <t>Thép cuộn cán nóng 2.48x121Y S275JR</t>
  </si>
  <si>
    <t>1251121945575</t>
  </si>
  <si>
    <t>Thép cuộn cán nóng 3.00x121X S275JR II</t>
  </si>
  <si>
    <t>3.00×1212×C</t>
  </si>
  <si>
    <t>1251121945568</t>
  </si>
  <si>
    <t>Thép cuộn cán nóng 3.00x121X S275JR</t>
  </si>
  <si>
    <t>1251121945551</t>
  </si>
  <si>
    <t>Thép cuộn cán nóng 6.85x121X S275JR II</t>
  </si>
  <si>
    <t>6.85×1212×C</t>
  </si>
  <si>
    <t>1251121945544</t>
  </si>
  <si>
    <t>Thép cuộn cán nóng 6.85x121X S275JR</t>
  </si>
  <si>
    <t>1251121945537</t>
  </si>
  <si>
    <t>Thép cuộn cán nóng 6.75x121X S275JR II</t>
  </si>
  <si>
    <t>6.75×1212×C</t>
  </si>
  <si>
    <t>1251121945520</t>
  </si>
  <si>
    <t>Thép cuộn cán nóng 6.75x121X S275JR</t>
  </si>
  <si>
    <t>1251121945513</t>
  </si>
  <si>
    <t>Thép cuộn cán nóng 5.65x121X S275JR II</t>
  </si>
  <si>
    <t>5.65×1212×C</t>
  </si>
  <si>
    <t>1251121945506</t>
  </si>
  <si>
    <t>Thép cuộn cán nóng 5.65x121X S275JR</t>
  </si>
  <si>
    <t>1251121945490</t>
  </si>
  <si>
    <t>Thép cuộn cán nóng 1.85x121X SPHC II</t>
  </si>
  <si>
    <t>1251121945483</t>
  </si>
  <si>
    <t>Thép cuộn cán nóng 1.85x121X SPHC</t>
  </si>
  <si>
    <t>1251121945476</t>
  </si>
  <si>
    <t>Thép cuộn cán nóng 2.54x121Y SAE1008 II</t>
  </si>
  <si>
    <t>1251121945469</t>
  </si>
  <si>
    <t>Thép cuộn cán nóng 2.54x121Y SAE1008</t>
  </si>
  <si>
    <t>1251121945452</t>
  </si>
  <si>
    <t>Thép cuộn cán nóng 2.92x121Y SAE1008 II</t>
  </si>
  <si>
    <t>1251121945445</t>
  </si>
  <si>
    <t>Thép cuộn cán nóng 2.92x121Y SAE1008</t>
  </si>
  <si>
    <t>1251121945438</t>
  </si>
  <si>
    <t>Thép cuộn cán nóng 2.66x121Y SAE1008 II</t>
  </si>
  <si>
    <t>1251121945421</t>
  </si>
  <si>
    <t>Thép cuộn cán nóng 2.66x121Y SAE1008</t>
  </si>
  <si>
    <t>1251121945414</t>
  </si>
  <si>
    <t>Thép cuộn cán nóng 4.50x122Y SAE1008 II</t>
  </si>
  <si>
    <t>1251121945407</t>
  </si>
  <si>
    <t>Thép cuộn cán nóng 4.50x122Y SAE1008</t>
  </si>
  <si>
    <t>1251121945391</t>
  </si>
  <si>
    <t>Thép cuộn cán nóng 2.80x122Y SAE1008 II</t>
  </si>
  <si>
    <t>1251121945384</t>
  </si>
  <si>
    <t>Thép cuộn cán nóng 2.80x122Y SAE1008</t>
  </si>
  <si>
    <t>1251121945377</t>
  </si>
  <si>
    <t>Thép cuộn cán nóng 2.30x122Y SAE1008 II</t>
  </si>
  <si>
    <t>1251121945360</t>
  </si>
  <si>
    <t>Thép cuộn cán nóng 2.30x122Y SAE1008</t>
  </si>
  <si>
    <t>1251121945353</t>
  </si>
  <si>
    <t>Thép cuộn cán nóng 3.79x121Y SAE1008 II</t>
  </si>
  <si>
    <t>3.79×1217×C</t>
  </si>
  <si>
    <t>1251121945346</t>
  </si>
  <si>
    <t>Thép cuộn cán nóng 3.79x121Y SAE1008</t>
  </si>
  <si>
    <t>1251121945339</t>
  </si>
  <si>
    <t>Thép cuộn cán nóng 2.20x126Y SAE1006 II</t>
  </si>
  <si>
    <t>1251121945322</t>
  </si>
  <si>
    <t>Thép cuộn cán nóng 2.20x126Y SAE1006</t>
  </si>
  <si>
    <t>1251121945315</t>
  </si>
  <si>
    <t>Thép cuộn cán nóng 3.95x119X SS400 II</t>
  </si>
  <si>
    <t>1251121945261</t>
  </si>
  <si>
    <t>Thép cuộn cán nóng 3.95x119X SS400</t>
  </si>
  <si>
    <t>1251121945254</t>
  </si>
  <si>
    <t>Thép cuộn cán nóng 3.40x121X SAE1006 II</t>
  </si>
  <si>
    <t>3.40×1212×C</t>
  </si>
  <si>
    <t>1251121945247</t>
  </si>
  <si>
    <t>Thép cuộn cán nóng 3.40x121X SAE1006</t>
  </si>
  <si>
    <t>1251121945230</t>
  </si>
  <si>
    <t>Thép cuộn cán nóng 3.00x143X S355JR II</t>
  </si>
  <si>
    <t>3.00×1432×C</t>
  </si>
  <si>
    <t>1251121945148</t>
  </si>
  <si>
    <t>Thép cuộn cán nóng 3.00x143X S355JR</t>
  </si>
  <si>
    <t>1251121945131</t>
  </si>
  <si>
    <t>Thép cuộn cán nóng 2.45x143X S355JR II</t>
  </si>
  <si>
    <t>2.45×1432×C</t>
  </si>
  <si>
    <t>1251121945124</t>
  </si>
  <si>
    <t>Thép cuộn cán nóng 2.45x143X S355JR</t>
  </si>
  <si>
    <t>1251121945117</t>
  </si>
  <si>
    <t>Thép cuộn cán nóng 2.75x125X SPHC II</t>
  </si>
  <si>
    <t>1251121945100</t>
  </si>
  <si>
    <t>Thép cuộn cán nóng 2.75x125X SPHC</t>
  </si>
  <si>
    <t>1251121945094</t>
  </si>
  <si>
    <t>Thép cuộn cán nóng 2.80x125X SS400 II</t>
  </si>
  <si>
    <t>1251121945087</t>
  </si>
  <si>
    <t>Thép cuộn cán nóng 2.80x125X SS400</t>
  </si>
  <si>
    <t>1251121945070</t>
  </si>
  <si>
    <t>Thép cuộn cán nóng 6.80x150X SS400 II</t>
  </si>
  <si>
    <t>6.80×1502×C</t>
  </si>
  <si>
    <t>1251121945063</t>
  </si>
  <si>
    <t>Thép cuộn cán nóng 6.80x150X SS400</t>
  </si>
  <si>
    <t>1251121945056</t>
  </si>
  <si>
    <t>Thép cuộn cán nóng 5.20x150X SS400 II</t>
  </si>
  <si>
    <t>5.20×1502×C</t>
  </si>
  <si>
    <t>1251121945049</t>
  </si>
  <si>
    <t>Thép cuộn cán nóng 5.20x150X SS400</t>
  </si>
  <si>
    <t>1251121945032</t>
  </si>
  <si>
    <t>Thép cuộn cán nóng 3.50x150X SS400 II</t>
  </si>
  <si>
    <t>1251121945025</t>
  </si>
  <si>
    <t>Thép cuộn cán nóng 3.50x150X SS400</t>
  </si>
  <si>
    <t>1251121945018</t>
  </si>
  <si>
    <t>Thép cuộn cán nóng 3.20x150X SS400 II</t>
  </si>
  <si>
    <t>3.20×1502×C</t>
  </si>
  <si>
    <t>1251121945001</t>
  </si>
  <si>
    <t>Thép cuộn cán nóng 3.20x150X SS400</t>
  </si>
  <si>
    <t>1251121944998</t>
  </si>
  <si>
    <t>Thép cuộn cán nóng 3.00x150X SS400 II</t>
  </si>
  <si>
    <t>1251121944981</t>
  </si>
  <si>
    <t>Thép cuộn cán nóng 3.00x150X SS400</t>
  </si>
  <si>
    <t>1251121944974</t>
  </si>
  <si>
    <t>Thép cuộn cán nóng 5.90x125X SS400 II</t>
  </si>
  <si>
    <t>1251121944967</t>
  </si>
  <si>
    <t>Thép cuộn cán nóng 5.90x125X SS400</t>
  </si>
  <si>
    <t>1251121944950</t>
  </si>
  <si>
    <t>Thép cuộn cán nóng 6.00x131X SS400 II</t>
  </si>
  <si>
    <t>6.00×1312×C</t>
  </si>
  <si>
    <t>1251121944943</t>
  </si>
  <si>
    <t>Thép cuộn cán nóng 6.00x131X SS400</t>
  </si>
  <si>
    <t>1251121944936</t>
  </si>
  <si>
    <t>Thép cuộn cán nóng 2.32x131X SS400 II</t>
  </si>
  <si>
    <t>2.32×1312×C</t>
  </si>
  <si>
    <t>1251121944929</t>
  </si>
  <si>
    <t>Thép cuộn cán nóng 2.32x131X SS400</t>
  </si>
  <si>
    <t>1251121944912</t>
  </si>
  <si>
    <t>Thép cuộn cán nóng 3.45x120X SS400 II</t>
  </si>
  <si>
    <t>3.45×1202×C</t>
  </si>
  <si>
    <t>1251121944905</t>
  </si>
  <si>
    <t>Thép cuộn cán nóng 3.45x120X SS400</t>
  </si>
  <si>
    <t>1251121944899</t>
  </si>
  <si>
    <t>Thép cuộn cán nóng 3.20x120X SS400 II</t>
  </si>
  <si>
    <t>1251121944882</t>
  </si>
  <si>
    <t>Thép cuộn cán nóng 3.20x120X SS400</t>
  </si>
  <si>
    <t>1251121944875</t>
  </si>
  <si>
    <t>Thép cuộn cán nóng 3.15x125X SS400 II</t>
  </si>
  <si>
    <t>1251121944868</t>
  </si>
  <si>
    <t>Thép cuộn cán nóng 3.15x125X SS400</t>
  </si>
  <si>
    <t>1251121944851</t>
  </si>
  <si>
    <t>Thép cuộn cán nóng 2.10x121X SAE1006 II</t>
  </si>
  <si>
    <t>1251121944844</t>
  </si>
  <si>
    <t>Thép cuộn cán nóng 2.10x121X SAE1006</t>
  </si>
  <si>
    <t>1251121944837</t>
  </si>
  <si>
    <t>Thép cuộn cán nóng 4.50x126Y SAE1006 II</t>
  </si>
  <si>
    <t>1251121944820</t>
  </si>
  <si>
    <t>Thép cuộn cán nóng 4.50x126Y SAE1006</t>
  </si>
  <si>
    <t>1251121944813</t>
  </si>
  <si>
    <t>Thép cuộn cán nóng 2.30x120X SAE1006 II</t>
  </si>
  <si>
    <t>1251121944806</t>
  </si>
  <si>
    <t>Thép cuộn cán nóng 2.30x120X SAE1006</t>
  </si>
  <si>
    <t>1251121944790</t>
  </si>
  <si>
    <t>Thép cuộn cán nóng 2.20x120X SAE1006 II</t>
  </si>
  <si>
    <t>1251121944783</t>
  </si>
  <si>
    <t>Thép cuộn cán nóng 2.20x120X SAE1006</t>
  </si>
  <si>
    <t>1251121944776</t>
  </si>
  <si>
    <t>Thép cuộn cán nóng 2.10x120X SAE1006 II</t>
  </si>
  <si>
    <t>1251121944769</t>
  </si>
  <si>
    <t>Thép cuộn cán nóng 2.10x120X SAE1006</t>
  </si>
  <si>
    <t>1251121944752</t>
  </si>
  <si>
    <t>Thép cuộn cán nóng 2.40x121Y SAE1006 II</t>
  </si>
  <si>
    <t>1251121944745</t>
  </si>
  <si>
    <t>Thép cuộn cán nóng 2.40x121Y SAE1006</t>
  </si>
  <si>
    <t>1251121944738</t>
  </si>
  <si>
    <t>Thép cuộn cán nóng 2.50x118X SAE1006 II</t>
  </si>
  <si>
    <t>1251121944721</t>
  </si>
  <si>
    <t>Thép cuộn cán nóng 2.50x118X SAE1006</t>
  </si>
  <si>
    <t>1251121944714</t>
  </si>
  <si>
    <t>Thép cuộn cán nóng 2.30x118X SAE1006 II</t>
  </si>
  <si>
    <t>2.30×1182×C</t>
  </si>
  <si>
    <t>1251121944707</t>
  </si>
  <si>
    <t>Thép cuộn cán nóng 2.30x118X SAE1006</t>
  </si>
  <si>
    <t>1251121944691</t>
  </si>
  <si>
    <t>Thép cuộn cán nóng 2.00x118X SAE1006 II</t>
  </si>
  <si>
    <t>1251121944684</t>
  </si>
  <si>
    <t>Thép cuộn cán nóng 2.00x118X SAE1006</t>
  </si>
  <si>
    <t>1251121944677</t>
  </si>
  <si>
    <t>Thép cuộn cán nóng 3.20x125X SAE1006 II</t>
  </si>
  <si>
    <t>1251121944660</t>
  </si>
  <si>
    <t>Thép cuộn cán nóng 3.20x125X SAE1006</t>
  </si>
  <si>
    <t>1251121944653</t>
  </si>
  <si>
    <t>Thép cuộn cán nóng 2.80x125X SAE1006 II</t>
  </si>
  <si>
    <t>1251121944646</t>
  </si>
  <si>
    <t>Thép cuộn cán nóng 2.80x125X SAE1006</t>
  </si>
  <si>
    <t>1251121944639</t>
  </si>
  <si>
    <t>Thép cuộn cán nóng 3.20x112X SAE1006 II</t>
  </si>
  <si>
    <t>1251121944622</t>
  </si>
  <si>
    <t>Thép cuộn cán nóng 3.20x112X SAE1006</t>
  </si>
  <si>
    <t>1251121944615</t>
  </si>
  <si>
    <t>Thép cuộn cán nóng 2.80x112X SAE1006 II</t>
  </si>
  <si>
    <t>2.80×1122×C</t>
  </si>
  <si>
    <t>1251121944608</t>
  </si>
  <si>
    <t>Thép cuộn cán nóng 2.80x112X SAE1006</t>
  </si>
  <si>
    <t>1251121944592</t>
  </si>
  <si>
    <t>Thép cuộn cán nóng 3.50x108Y SAE1006 II</t>
  </si>
  <si>
    <t>3.50×1087×C</t>
  </si>
  <si>
    <t>1251121944554</t>
  </si>
  <si>
    <t>Thép cuộn cán nóng 3.50x108Y SAE1006</t>
  </si>
  <si>
    <t>1251121944547</t>
  </si>
  <si>
    <t>Thép cuộn cán nóng 3.00x121X SAE1006 II</t>
  </si>
  <si>
    <t>1251121944530</t>
  </si>
  <si>
    <t>Thép cuộn cán nóng 3.00x121X SAE1006</t>
  </si>
  <si>
    <t>1251121944523</t>
  </si>
  <si>
    <t>Thép cuộn cán nóng 4.90x1210 S275JR II</t>
  </si>
  <si>
    <t>4.90×1210×C</t>
  </si>
  <si>
    <t>1251121911877</t>
  </si>
  <si>
    <t>Thép cuộn cán nóng 4.90x1210 S275JR</t>
  </si>
  <si>
    <t>1251121911860</t>
  </si>
  <si>
    <t>Thép cuộn cán nóng 4.70x1210 S275JR II</t>
  </si>
  <si>
    <t>4.70×1210×C</t>
  </si>
  <si>
    <t>1251121911853</t>
  </si>
  <si>
    <t>Thép cuộn cán nóng 4.70x1210 S275JR</t>
  </si>
  <si>
    <t>1251121911846</t>
  </si>
  <si>
    <t>Thép cuộn cán nóng 4.20x1210 S275JR II</t>
  </si>
  <si>
    <t>4.20×1210×C</t>
  </si>
  <si>
    <t>1251121911839</t>
  </si>
  <si>
    <t>Thép cuộn cán nóng 4.20x1210 S275JR</t>
  </si>
  <si>
    <t>1251121911822</t>
  </si>
  <si>
    <t>Thép cuộn cán nóng 3.70x1210 S275JR II</t>
  </si>
  <si>
    <t>3.70×1210×C</t>
  </si>
  <si>
    <t>1251121911815</t>
  </si>
  <si>
    <t>Thép cuộn cán nóng 3.70x1210 S275JR</t>
  </si>
  <si>
    <t>1251121911808</t>
  </si>
  <si>
    <t>Thép cuộn cán nóng 2.95x1210 S275JR II</t>
  </si>
  <si>
    <t>2.95×1210×C</t>
  </si>
  <si>
    <t>1251121911792</t>
  </si>
  <si>
    <t>Thép cuộn cán nóng 2.95x1210 S275JR</t>
  </si>
  <si>
    <t>1251121911785</t>
  </si>
  <si>
    <t>Thép cuộn cán nóng 2.85x1210 S275JR II</t>
  </si>
  <si>
    <t>2.85×1210×C</t>
  </si>
  <si>
    <t>1251121911778</t>
  </si>
  <si>
    <t>Thép cuộn cán nóng 2.85x1210 S275JR</t>
  </si>
  <si>
    <t>1251121911761</t>
  </si>
  <si>
    <t>Thép cuộn cán nóng 2.50x1225 S275JR II</t>
  </si>
  <si>
    <t>1251121911693</t>
  </si>
  <si>
    <t>Thép cuộn cán nóng 2.50x1225 S275JR</t>
  </si>
  <si>
    <t>1251121911686</t>
  </si>
  <si>
    <t>Thép cuộn cán nóng 2.05x1225 S275JR II</t>
  </si>
  <si>
    <t>1251121911679</t>
  </si>
  <si>
    <t>Thép cuộn cán nóng 2.05x1225 S275JR</t>
  </si>
  <si>
    <t>1251121911662</t>
  </si>
  <si>
    <t>Thép cuộn cán nóng 7.40x1520 S275JR II</t>
  </si>
  <si>
    <t>7.40×1520×C</t>
  </si>
  <si>
    <t>1251121911655</t>
  </si>
  <si>
    <t>Thép cuộn cán nóng 7.40x1520 S275JR</t>
  </si>
  <si>
    <t>1251121911648</t>
  </si>
  <si>
    <t>Thép cuộn cán nóng 6.30x1200 S275JR II</t>
  </si>
  <si>
    <t>6.30×1200×C</t>
  </si>
  <si>
    <t>1251121911631</t>
  </si>
  <si>
    <t>Thép cuộn cán nóng 3.50x1239 SAE1006</t>
  </si>
  <si>
    <t>3.50×1239×C</t>
  </si>
  <si>
    <t>1251121910665</t>
  </si>
  <si>
    <t>Thép cuộn cán nóng 2.60x1239 SAE1006 II</t>
  </si>
  <si>
    <t>2.60×1239×C</t>
  </si>
  <si>
    <t>1251121910658</t>
  </si>
  <si>
    <t>Thép cuộn cán nóng 2.60x1239 SAE1006</t>
  </si>
  <si>
    <t>1251121910641</t>
  </si>
  <si>
    <t>Thép cuộn cán nóng 2.30x1239 SAE1006 II</t>
  </si>
  <si>
    <t>2.30×1239×C</t>
  </si>
  <si>
    <t>1251121910634</t>
  </si>
  <si>
    <t>Thép cuộn cán nóng 2.90x1230 SAE1006</t>
  </si>
  <si>
    <t>2.90×1230×C</t>
  </si>
  <si>
    <t>1251121910580</t>
  </si>
  <si>
    <t>Thép cuộn cán nóng 2.75x1158 SAE1006 II</t>
  </si>
  <si>
    <t>2.75×1158×C</t>
  </si>
  <si>
    <t>1251121910573</t>
  </si>
  <si>
    <t>Thép cuộn cán nóng 2.75x1158 SAE1006</t>
  </si>
  <si>
    <t>1251121910566</t>
  </si>
  <si>
    <t>Thép cuộn cán nóng 2.50x1158 SAE1006 II</t>
  </si>
  <si>
    <t>2.50×1158×C</t>
  </si>
  <si>
    <t>1251121910559</t>
  </si>
  <si>
    <t>Thép cuộn cán nóng 2.50x1158 SAE1006</t>
  </si>
  <si>
    <t>1251121910542</t>
  </si>
  <si>
    <t>Thép cuộn cán nóng 4.00x1125 SAE1006 II</t>
  </si>
  <si>
    <t>4.00×1125×C</t>
  </si>
  <si>
    <t>1251121910535</t>
  </si>
  <si>
    <t>Thép cuộn cán nóng 4.00x1125 SAE1006</t>
  </si>
  <si>
    <t>1251121910528</t>
  </si>
  <si>
    <t>Thép cuộn cán nóng 3.80x1212 SAE1006 II</t>
  </si>
  <si>
    <t>1251121910511</t>
  </si>
  <si>
    <t>Thép cuộn cán nóng 3.80x1212 SAE1006</t>
  </si>
  <si>
    <t>1251121910504</t>
  </si>
  <si>
    <t>Thép cuộn cán nóng 4.00x1250 S355JR II</t>
  </si>
  <si>
    <t>1251121909478</t>
  </si>
  <si>
    <t>Thép cuộn cán nóng 4.00x1250 S355JR</t>
  </si>
  <si>
    <t>1251121909461</t>
  </si>
  <si>
    <t>Thép cuộn cán nóng 4.50x1250 S355JR II</t>
  </si>
  <si>
    <t>4.50×1250×C</t>
  </si>
  <si>
    <t>1251121909454</t>
  </si>
  <si>
    <t>Thép cuộn cán nóng 4.50x1250 S355JR</t>
  </si>
  <si>
    <t>1251121909447</t>
  </si>
  <si>
    <t>Thép cuộn cán nóng 3.50x1250 S355JR II</t>
  </si>
  <si>
    <t>1251121909430</t>
  </si>
  <si>
    <t>Thép cuộn cán nóng 3.50x1250 S355JR</t>
  </si>
  <si>
    <t>1251121909423</t>
  </si>
  <si>
    <t>Thép cuộn cán nóng 3.90x1250 S355JR II</t>
  </si>
  <si>
    <t>1251121909416</t>
  </si>
  <si>
    <t>Thép cuộn cán nóng 3.90x1250 S355JR</t>
  </si>
  <si>
    <t>1251121909409</t>
  </si>
  <si>
    <t>Thép cuộn cán nóng 4.00x1010 SAE1006 II</t>
  </si>
  <si>
    <t>4.00×1010×C</t>
  </si>
  <si>
    <t>1251121909393</t>
  </si>
  <si>
    <t>Thép cuộn cán nóng 4.00x1010 SAE1006</t>
  </si>
  <si>
    <t>1251121909386</t>
  </si>
  <si>
    <t>Thép cuộn cán nóng 3.80x1010 SAE1006 II</t>
  </si>
  <si>
    <t>3.80×1010×C</t>
  </si>
  <si>
    <t>1251121909379</t>
  </si>
  <si>
    <t>Thép cuộn cán nóng 3.80x1010 SAE1006</t>
  </si>
  <si>
    <t>1251121909362</t>
  </si>
  <si>
    <t>Thép cuộn cán nóng 3.20x1010 SAE1006 II</t>
  </si>
  <si>
    <t>3.20×1010×C</t>
  </si>
  <si>
    <t>1251121909355</t>
  </si>
  <si>
    <t>Thép cuộn cán nóng 3.20x1010 SAE1006</t>
  </si>
  <si>
    <t>1251121909348</t>
  </si>
  <si>
    <t>Thép cuộn cán nóng 2.80x1010 SAE1006 II</t>
  </si>
  <si>
    <t>2.80×1010×C</t>
  </si>
  <si>
    <t>1251121909331</t>
  </si>
  <si>
    <t>Thép cuộn cán nóng 2.80x1010 SAE1006</t>
  </si>
  <si>
    <t>1251121909324</t>
  </si>
  <si>
    <t>Thép cuộn cán nóng 2.50x1010 SAE1006 II</t>
  </si>
  <si>
    <t>2.50×1010×C</t>
  </si>
  <si>
    <t>1251121909317</t>
  </si>
  <si>
    <t>Thép cuộn cán nóng 2.50x1010 SAE1006</t>
  </si>
  <si>
    <t>1251121909300</t>
  </si>
  <si>
    <t>Thép cuộn cán nóng 2.30x1010 SAE1006 II</t>
  </si>
  <si>
    <t>2.30×1010×C</t>
  </si>
  <si>
    <t>1251121909294</t>
  </si>
  <si>
    <t>Thép cuộn cán nóng 2.30x1010 SAE1006</t>
  </si>
  <si>
    <t>1251121909287</t>
  </si>
  <si>
    <t>Thép cuộn cán nóng 3.95x1269 SAE1006 II</t>
  </si>
  <si>
    <t>3.95×1269×C</t>
  </si>
  <si>
    <t>1251121909270</t>
  </si>
  <si>
    <t>Thép cuộn cán nóng 3.95x1269 SAE1006</t>
  </si>
  <si>
    <t>1251121909263</t>
  </si>
  <si>
    <t>Thép cuộn cán nóng 5.00x1310 S355JR II</t>
  </si>
  <si>
    <t>5.00×1310×C</t>
  </si>
  <si>
    <t>1251121909256</t>
  </si>
  <si>
    <t>Thép cuộn cán nóng 5.00x1310 S355JR</t>
  </si>
  <si>
    <t>1251121909249</t>
  </si>
  <si>
    <t>Thép cuộn cán nóng 2.78x1219 S275JR II</t>
  </si>
  <si>
    <t>2.78×1219×C</t>
  </si>
  <si>
    <t>1251121909232</t>
  </si>
  <si>
    <t>Thép cuộn cán nóng 2.78x1219 S275JR</t>
  </si>
  <si>
    <t>1251121909225</t>
  </si>
  <si>
    <t>Thép cuộn cán nóng 4.74x1000 S235JR II</t>
  </si>
  <si>
    <t>4.74×1000×C</t>
  </si>
  <si>
    <t>1251121909218</t>
  </si>
  <si>
    <t>Thép cuộn cán nóng 4.74x1000 S235JR</t>
  </si>
  <si>
    <t>1251121909201</t>
  </si>
  <si>
    <t>Thép cuộn cán nóng 2.78x1500 S235JR II</t>
  </si>
  <si>
    <t>2.78×1500×C</t>
  </si>
  <si>
    <t>1251121909195</t>
  </si>
  <si>
    <t>Thép cuộn cán nóng 2.78x1500 S235JR</t>
  </si>
  <si>
    <t>1251121909188</t>
  </si>
  <si>
    <t>Thép cuộn cán nóng 1.81x1250 S235JR II</t>
  </si>
  <si>
    <t>1.81×1250×C</t>
  </si>
  <si>
    <t>1251121909171</t>
  </si>
  <si>
    <t>Thép cuộn cán nóng 1.81x1250 S235JR</t>
  </si>
  <si>
    <t>1251121909164</t>
  </si>
  <si>
    <t>Thép cuộn cán nóng 3.95x1240 SAE1006 II</t>
  </si>
  <si>
    <t>3.95×1240×C</t>
  </si>
  <si>
    <t>1251121909157</t>
  </si>
  <si>
    <t>Thép cuộn cán nóng 3.95x1240 SAE1006</t>
  </si>
  <si>
    <t>1251121909140</t>
  </si>
  <si>
    <t>Thép cuộn cán nóng 3.45x1210 SAE1006 II</t>
  </si>
  <si>
    <t>3.45×1210×C</t>
  </si>
  <si>
    <t>1251121909133</t>
  </si>
  <si>
    <t>Thép cuộn cán nóng 3.45x1210 SAE1006</t>
  </si>
  <si>
    <t>1251121909126</t>
  </si>
  <si>
    <t>Thép cuộn cán nóng 3.45x1104 SAE1017 II</t>
  </si>
  <si>
    <t>3.45×1104×C</t>
  </si>
  <si>
    <t>1251121909119</t>
  </si>
  <si>
    <t>Thép cuộn cán nóng 3.45x1104 SAE1017</t>
  </si>
  <si>
    <t>1251121909102</t>
  </si>
  <si>
    <t>Thép cuộn cán nóng 3.00x1210 SAE1017 II</t>
  </si>
  <si>
    <t>3.00×1210×C</t>
  </si>
  <si>
    <t>1251121909096</t>
  </si>
  <si>
    <t>Thép cuộn cán nóng 3.00x1210 SAE1017</t>
  </si>
  <si>
    <t>1251121909089</t>
  </si>
  <si>
    <t>Thép cuộn cán nóng 5.90x1500 S355JR II</t>
  </si>
  <si>
    <t>1251121909072</t>
  </si>
  <si>
    <t>Thép cuộn cán nóng 5.90x1500 S355JR</t>
  </si>
  <si>
    <t>1251121909065</t>
  </si>
  <si>
    <t>Thép cuộn cán nóng 5.50x1500 S355JR II</t>
  </si>
  <si>
    <t>1251121909058</t>
  </si>
  <si>
    <t>Thép cuộn cán nóng 5.50x1500 S355JR</t>
  </si>
  <si>
    <t>1251121909041</t>
  </si>
  <si>
    <t>Thép cuộn cán nóng 4.60x1500 S355JR II</t>
  </si>
  <si>
    <t>1251121909034</t>
  </si>
  <si>
    <t>Thép cuộn cán nóng 4.60x1500 S355JR</t>
  </si>
  <si>
    <t>1251121909027</t>
  </si>
  <si>
    <t>Thép cuộn cán nóng 4.30x1500 S355JR II</t>
  </si>
  <si>
    <t>4.30×1500×C</t>
  </si>
  <si>
    <t>1251121909010</t>
  </si>
  <si>
    <t>Thép cuộn cán nóng 4.30x1500 S355JR</t>
  </si>
  <si>
    <t>1251121909003</t>
  </si>
  <si>
    <t>Thép cuộn cán nóng 3.80x1500 S355JR II</t>
  </si>
  <si>
    <t>1251121908990</t>
  </si>
  <si>
    <t>Thép cuộn cán nóng 3.80x1500 S355JR</t>
  </si>
  <si>
    <t>1251121908983</t>
  </si>
  <si>
    <t>Thép cuộn cán nóng 3.80x1250 S355JR II</t>
  </si>
  <si>
    <t>3.80×1250×C</t>
  </si>
  <si>
    <t>1251121908976</t>
  </si>
  <si>
    <t>Thép cuộn cán nóng 3.80x1250 S355JR</t>
  </si>
  <si>
    <t>1251121908969</t>
  </si>
  <si>
    <t>Thép cuộn cán nóng 3.30x1500 S355JR II</t>
  </si>
  <si>
    <t>1251121908952</t>
  </si>
  <si>
    <t>Thép cuộn cán nóng 3.30x1500 S355JR</t>
  </si>
  <si>
    <t>1251121908945</t>
  </si>
  <si>
    <t>Thép cuộn cán nóng 3.30x1250 S355JR II</t>
  </si>
  <si>
    <t>1251121908938</t>
  </si>
  <si>
    <t>Thép cuộn cán nóng 3.30x1250 S355JR</t>
  </si>
  <si>
    <t>1251121908921</t>
  </si>
  <si>
    <t>Thép cuộn cán nóng 4.00x1180 S355JR II</t>
  </si>
  <si>
    <t>4.00×1180×C</t>
  </si>
  <si>
    <t>1251121908914</t>
  </si>
  <si>
    <t>Thép cuộn cán nóng 4.00x1180 S355JR</t>
  </si>
  <si>
    <t>1251121908907</t>
  </si>
  <si>
    <t>Thép cuộn cán nóng 5.00x1395 S355JR II</t>
  </si>
  <si>
    <t>5.00×1395×C</t>
  </si>
  <si>
    <t>1251121908891</t>
  </si>
  <si>
    <t>Thép cuộn cán nóng 5.00x1395 S355JR</t>
  </si>
  <si>
    <t>1251121908884</t>
  </si>
  <si>
    <t>Thép cuộn cán nóng 11.99x1500 S235JR II</t>
  </si>
  <si>
    <t>11.99×1500×C</t>
  </si>
  <si>
    <t>1251121908877</t>
  </si>
  <si>
    <t>Thép cuộn cán nóng 11.99x1500 S235JR</t>
  </si>
  <si>
    <t>1251121908860</t>
  </si>
  <si>
    <t>Thép cuộn cán nóng 3.30x1466 S235JR II</t>
  </si>
  <si>
    <t>3.30×1466×C</t>
  </si>
  <si>
    <t>1251121908853</t>
  </si>
  <si>
    <t>Thép cuộn cán nóng 3.30x1466 S235JR</t>
  </si>
  <si>
    <t>1251121908846</t>
  </si>
  <si>
    <t>Thép cuộn cán nóng 1.85x1000 S235JR II</t>
  </si>
  <si>
    <t>1.85×1000×C</t>
  </si>
  <si>
    <t>1251121908839</t>
  </si>
  <si>
    <t>Thép cuộn cán nóng 1.85x1000 S235JR</t>
  </si>
  <si>
    <t>1251121908822</t>
  </si>
  <si>
    <t>Thép cuộn cán nóng 5.00x1310 S235JR II</t>
  </si>
  <si>
    <t>1251121908815</t>
  </si>
  <si>
    <t>Thép cuộn cán nóng 5.00x1310 S235JR</t>
  </si>
  <si>
    <t>1251121908808</t>
  </si>
  <si>
    <t>Thép cuộn cán nóng 2.75x1260 S235JR II</t>
  </si>
  <si>
    <t>1251121908792</t>
  </si>
  <si>
    <t>Thép cuộn cán nóng 2.75x1260 S235JR</t>
  </si>
  <si>
    <t>1251121908785</t>
  </si>
  <si>
    <t>Thép cuộn cán nóng 2.73x1250 S235JR II</t>
  </si>
  <si>
    <t>2.73×1250×C</t>
  </si>
  <si>
    <t>1251121908778</t>
  </si>
  <si>
    <t>Thép cuộn cán nóng 2.73x1250 S235JR</t>
  </si>
  <si>
    <t>1251121908761</t>
  </si>
  <si>
    <t>Thép cuộn cán nóng 4.00x1060 S235JR II</t>
  </si>
  <si>
    <t>4.00×1060×C</t>
  </si>
  <si>
    <t>1251121908754</t>
  </si>
  <si>
    <t>Thép cuộn cán nóng 4.00x1060 S235JR</t>
  </si>
  <si>
    <t>1251121908747</t>
  </si>
  <si>
    <t>Thép cuộn cán nóng 3.00x1425 S235JR II</t>
  </si>
  <si>
    <t>3.00×1425×C</t>
  </si>
  <si>
    <t>1251121908730</t>
  </si>
  <si>
    <t>Thép cuộn cán nóng 3.00x1425 S235JR</t>
  </si>
  <si>
    <t>1251121908723</t>
  </si>
  <si>
    <t>Thép cuộn cán nóng 5.00x1395 S235JR II</t>
  </si>
  <si>
    <t>1251121908716</t>
  </si>
  <si>
    <t>Thép cuộn cán nóng 5.00x1395 S235JR</t>
  </si>
  <si>
    <t>1251121908709</t>
  </si>
  <si>
    <t>Thép cuộn cán nóng 4.00x1180 S235JR II</t>
  </si>
  <si>
    <t>1251121908693</t>
  </si>
  <si>
    <t>Thép cuộn cán nóng 4.00x1180 S235JR</t>
  </si>
  <si>
    <t>1251121908686</t>
  </si>
  <si>
    <t>Thép cuộn cán nóng 3.00x1310 S235JR II</t>
  </si>
  <si>
    <t>1251121908679</t>
  </si>
  <si>
    <t>Thép cuộn cán nóng 3.00x1310 S235JR</t>
  </si>
  <si>
    <t>1251121908662</t>
  </si>
  <si>
    <t>Thép cuộn cán nóng 2.20x1020 S235JR II</t>
  </si>
  <si>
    <t>2.20×1020×C</t>
  </si>
  <si>
    <t>1251121908655</t>
  </si>
  <si>
    <t>Thép cuộn cán nóng 2.20x1020 S235JR</t>
  </si>
  <si>
    <t>1251121908648</t>
  </si>
  <si>
    <t>Thép cuộn cán nóng 2.50x1215 SPHC II</t>
  </si>
  <si>
    <t>1251121908631</t>
  </si>
  <si>
    <t>Thép cuộn cán nóng 2.50x1215 SPHC</t>
  </si>
  <si>
    <t>1251121908624</t>
  </si>
  <si>
    <t>Thép cuộn cán nóng 4.70x1215 SPHC II</t>
  </si>
  <si>
    <t>1251121908617</t>
  </si>
  <si>
    <t>Thép cuộn cán nóng 4.70x1215 SPHC</t>
  </si>
  <si>
    <t>1251121908600</t>
  </si>
  <si>
    <t>Thép cuộn cán nóng 4.20x1215 SPHC II</t>
  </si>
  <si>
    <t>1251121908594</t>
  </si>
  <si>
    <t>Thép cuộn cán nóng 4.20x1215 SPHC</t>
  </si>
  <si>
    <t>1251121908587</t>
  </si>
  <si>
    <t>Thép cuộn cán nóng 3.70x1215 SPHC II</t>
  </si>
  <si>
    <t>1251121908570</t>
  </si>
  <si>
    <t>Thép cuộn cán nóng 3.70x1215 SPHC</t>
  </si>
  <si>
    <t>1251121908563</t>
  </si>
  <si>
    <t>Thép cuộn cán nóng 1.81x1250 DD11 II</t>
  </si>
  <si>
    <t>1251121908556</t>
  </si>
  <si>
    <t>Thép cuộn cán nóng 1.81x1250 DD11</t>
  </si>
  <si>
    <t>1251121908549</t>
  </si>
  <si>
    <t>Thép cuộn cán nóng 2.80x1438 S275JR II</t>
  </si>
  <si>
    <t>2.80×1438×C</t>
  </si>
  <si>
    <t>1251121908532</t>
  </si>
  <si>
    <t>Thép cuộn cán nóng 2.80x1438 S275JR</t>
  </si>
  <si>
    <t>1251121908525</t>
  </si>
  <si>
    <t>Thép cuộn cán nóng 6.10x1520 S275JR II</t>
  </si>
  <si>
    <t>6.10×1520×C</t>
  </si>
  <si>
    <t>1251121908518</t>
  </si>
  <si>
    <t>Thép cuộn cán nóng 6.10x1520 S275JR</t>
  </si>
  <si>
    <t>1251121908501</t>
  </si>
  <si>
    <t>Thép cuộn cán nóng 9.70x1515 S275JR II</t>
  </si>
  <si>
    <t>9.70×1515×C</t>
  </si>
  <si>
    <t>1251121908495</t>
  </si>
  <si>
    <t>Thép cuộn cán nóng 9.70x1515 S275JR</t>
  </si>
  <si>
    <t>1251121908488</t>
  </si>
  <si>
    <t>Thép cuộn cán nóng 6.00x1515 S275JR II</t>
  </si>
  <si>
    <t>1251121908471</t>
  </si>
  <si>
    <t>Thép cuộn cán nóng 6.00x1515 S275JR</t>
  </si>
  <si>
    <t>1251121908464</t>
  </si>
  <si>
    <t>Thép cuộn cán nóng 5.00x1515 S275JR II</t>
  </si>
  <si>
    <t>1251121908457</t>
  </si>
  <si>
    <t>Thép cuộn cán nóng 5.00x1515 S275JR</t>
  </si>
  <si>
    <t>1251121908440</t>
  </si>
  <si>
    <t>Thép cuộn cán nóng 4.80x1515 S275JR II</t>
  </si>
  <si>
    <t>4.80×1515×C</t>
  </si>
  <si>
    <t>1251121908433</t>
  </si>
  <si>
    <t>Thép cuộn cán nóng 4.80x1515 S275JR</t>
  </si>
  <si>
    <t>1251121908426</t>
  </si>
  <si>
    <t>Thép cuộn cán nóng 9.70x1210 S275JR II</t>
  </si>
  <si>
    <t>9.70×1210×C</t>
  </si>
  <si>
    <t>1251121908419</t>
  </si>
  <si>
    <t>Thép cuộn cán nóng 9.70x1210 S275JR</t>
  </si>
  <si>
    <t>1251121908402</t>
  </si>
  <si>
    <t>Thép cuộn cán nóng 5.80x1340 S275JR II</t>
  </si>
  <si>
    <t>5.80×1340×C</t>
  </si>
  <si>
    <t>1251121908396</t>
  </si>
  <si>
    <t>Thép cuộn cán nóng 5.80x1340 S275JR</t>
  </si>
  <si>
    <t>1251121908389</t>
  </si>
  <si>
    <t>Thép cuộn cán nóng 11.75x1215 S275JR II</t>
  </si>
  <si>
    <t>11.75×1215×C</t>
  </si>
  <si>
    <t>1251121908372</t>
  </si>
  <si>
    <t>Thép cuộn cán nóng 11.75x1215 S275JR</t>
  </si>
  <si>
    <t>1251121908365</t>
  </si>
  <si>
    <t>Thép cuộn cán nóng 5.65x1215 S275JR II</t>
  </si>
  <si>
    <t>5.65×1215×C</t>
  </si>
  <si>
    <t>1251121908358</t>
  </si>
  <si>
    <t>Thép cuộn cán nóng 5.65x1215 S275JR</t>
  </si>
  <si>
    <t>1251121908341</t>
  </si>
  <si>
    <t>Thép cuộn cán nóng 2.25x1215 S275JR II</t>
  </si>
  <si>
    <t>1251121908334</t>
  </si>
  <si>
    <t>Thép cuộn cán nóng 2.25x1215 S275JR</t>
  </si>
  <si>
    <t>1251121908327</t>
  </si>
  <si>
    <t>Thép cuộn cán nóng 2.00x1215 S275JR II</t>
  </si>
  <si>
    <t>1251121908310</t>
  </si>
  <si>
    <t>Thép cuộn cán nóng 2.00x1215 S275JR</t>
  </si>
  <si>
    <t>1251121908303</t>
  </si>
  <si>
    <t>Thép cuộn cán nóng 4.75x1520 S275JR II</t>
  </si>
  <si>
    <t>4.75×1520×C</t>
  </si>
  <si>
    <t>1251121908297</t>
  </si>
  <si>
    <t>Thép cuộn cán nóng 4.75x1520 S275JR</t>
  </si>
  <si>
    <t>1251121908280</t>
  </si>
  <si>
    <t>Thép cuộn cán nóng 7.70x1215 S275JR II</t>
  </si>
  <si>
    <t>7.70×1215×C</t>
  </si>
  <si>
    <t>1251121908273</t>
  </si>
  <si>
    <t>Thép cuộn cán nóng 7.70x1215 S275JR</t>
  </si>
  <si>
    <t>1251121908266</t>
  </si>
  <si>
    <t>Thép cuộn cán nóng 4.25x1215 S275JR II</t>
  </si>
  <si>
    <t>4.25×1215×C</t>
  </si>
  <si>
    <t>1251121908259</t>
  </si>
  <si>
    <t>Thép cuộn cán nóng 4.25x1215 S275JR</t>
  </si>
  <si>
    <t>1251121908242</t>
  </si>
  <si>
    <t>Thép cuộn cán nóng 4.55x1400 S275JR II</t>
  </si>
  <si>
    <t>4.55×1400×C</t>
  </si>
  <si>
    <t>1251121908235</t>
  </si>
  <si>
    <t>Thép cuộn cán nóng 4.55x1400 S275JR</t>
  </si>
  <si>
    <t>1251121908228</t>
  </si>
  <si>
    <t>Thép cuộn cán nóng 4.55x1250 S275JR II</t>
  </si>
  <si>
    <t>4.55×1250×C</t>
  </si>
  <si>
    <t>1251121908211</t>
  </si>
  <si>
    <t>Thép cuộn cán nóng 4.55x1250 S275JR</t>
  </si>
  <si>
    <t>1251121908204</t>
  </si>
  <si>
    <t>Thép cuộn cán nóng 2.75x1500 S275JR II</t>
  </si>
  <si>
    <t>1251121908198</t>
  </si>
  <si>
    <t>Thép cuộn cán nóng 2.75x1500 S275JR</t>
  </si>
  <si>
    <t>1251121908181</t>
  </si>
  <si>
    <t>Thép cuộn cán nóng 10.00x1250 S275JR II</t>
  </si>
  <si>
    <t>1251121908174</t>
  </si>
  <si>
    <t>Thép cuộn cán nóng 10.00x1250 S275JR</t>
  </si>
  <si>
    <t>1251121908167</t>
  </si>
  <si>
    <t>Thép cuộn cán nóng 8.00x1250 S275JR II</t>
  </si>
  <si>
    <t>1251121908150</t>
  </si>
  <si>
    <t>Thép cuộn cán nóng 8.00x1250 S275JR</t>
  </si>
  <si>
    <t>1251121908143</t>
  </si>
  <si>
    <t>Thép cuộn cán nóng 6.00x1250 S275JR II</t>
  </si>
  <si>
    <t>1251121908136</t>
  </si>
  <si>
    <t>Thép cuộn cán nóng 6.00x1250 S275JR</t>
  </si>
  <si>
    <t>1251121908129</t>
  </si>
  <si>
    <t>Thép cuộn cán nóng 11.85x1500 S275JR II</t>
  </si>
  <si>
    <t>11.85×1500×C</t>
  </si>
  <si>
    <t>1251121908112</t>
  </si>
  <si>
    <t>Thép cuộn cán nóng 11.85x1500 S275JR</t>
  </si>
  <si>
    <t>1251121908105</t>
  </si>
  <si>
    <t>Thép cuộn cán nóng 5.85x1500 S275JR II</t>
  </si>
  <si>
    <t>5.85×1500×C</t>
  </si>
  <si>
    <t>1251121908099</t>
  </si>
  <si>
    <t>Thép cuộn cán nóng 5.85x1500 S275JR</t>
  </si>
  <si>
    <t>1251121908082</t>
  </si>
  <si>
    <t>Thép cuộn cán nóng 4.85x1500 S275JR II</t>
  </si>
  <si>
    <t>4.85×1500×C</t>
  </si>
  <si>
    <t>1251121908075</t>
  </si>
  <si>
    <t>Thép cuộn cán nóng 4.85x1500 S275JR</t>
  </si>
  <si>
    <t>1251121908068</t>
  </si>
  <si>
    <t>Thép cuộn cán nóng 3.85x1500 S275JR II</t>
  </si>
  <si>
    <t>3.85×1500×C</t>
  </si>
  <si>
    <t>1251121908051</t>
  </si>
  <si>
    <t>Thép cuộn cán nóng 3.85x1500 S275JR</t>
  </si>
  <si>
    <t>1251121908044</t>
  </si>
  <si>
    <t>Thép cuộn cán nóng 2.85x1500 S275JR II</t>
  </si>
  <si>
    <t>1251121908037</t>
  </si>
  <si>
    <t>Thép cuộn cán nóng 2.85x1500 S275JR</t>
  </si>
  <si>
    <t>1251121908020</t>
  </si>
  <si>
    <t>Thép cuộn cán nóng 3.85x1250 S275JR II</t>
  </si>
  <si>
    <t>3.85×1250×C</t>
  </si>
  <si>
    <t>1251121908013</t>
  </si>
  <si>
    <t>Thép cuộn cán nóng 3.85x1250 S275JR</t>
  </si>
  <si>
    <t>1251121908006</t>
  </si>
  <si>
    <t>Thép cuộn cán nóng 12.00x1250 S275JR II</t>
  </si>
  <si>
    <t>1251121907993</t>
  </si>
  <si>
    <t>Thép cuộn cán nóng 12.00x1250 S275JR</t>
  </si>
  <si>
    <t>1251121907986</t>
  </si>
  <si>
    <t>Thép cuộn cán nóng 5.00x1250 S275JR II</t>
  </si>
  <si>
    <t>1251121907979</t>
  </si>
  <si>
    <t>Thép cuộn cán nóng 5.00x1250 S275JR</t>
  </si>
  <si>
    <t>1251121907962</t>
  </si>
  <si>
    <t>Thép cuộn cán nóng 4.74x1000 S275JR II</t>
  </si>
  <si>
    <t>1251121907955</t>
  </si>
  <si>
    <t>Thép cuộn cán nóng 4.74x1000 S275JR</t>
  </si>
  <si>
    <t>1251121907948</t>
  </si>
  <si>
    <t>Thép cuộn cán nóng 2.78x1500 S275JR II</t>
  </si>
  <si>
    <t>1251121907931</t>
  </si>
  <si>
    <t>Thép cuộn cán nóng 2.78x1500 S275JR</t>
  </si>
  <si>
    <t>1251121907924</t>
  </si>
  <si>
    <t>Thép cuộn cán nóng 1.81x1250 S275JR II</t>
  </si>
  <si>
    <t>1251121907917</t>
  </si>
  <si>
    <t>Thép cuộn cán nóng 1.81x1250 S275JR</t>
  </si>
  <si>
    <t>1251121907900</t>
  </si>
  <si>
    <t>Thép cuộn cán nóng 4.50x1219 ASTM A36 II</t>
  </si>
  <si>
    <t>4.50×1219×C</t>
  </si>
  <si>
    <t>1251121907894</t>
  </si>
  <si>
    <t>Thép cuộn cán nóng 4.50x1219 ASTM A36</t>
  </si>
  <si>
    <t>1251121907887</t>
  </si>
  <si>
    <t>Thép cuộn cán nóng 3.77x1219 ASTM A36 II</t>
  </si>
  <si>
    <t>3.77×1219×C</t>
  </si>
  <si>
    <t>1251121907870</t>
  </si>
  <si>
    <t>Thép cuộn cán nóng 3.77x1219 ASTM A36</t>
  </si>
  <si>
    <t>1251121907863</t>
  </si>
  <si>
    <t>Thép cuộn cán nóng 3.46x1219 ASTM A36 II</t>
  </si>
  <si>
    <t>3.46×1219×C</t>
  </si>
  <si>
    <t>1251121907856</t>
  </si>
  <si>
    <t>Thép cuộn cán nóng 3.46x1219 ASTM A36</t>
  </si>
  <si>
    <t>1251121907849</t>
  </si>
  <si>
    <t>Thép cuộn cán nóng 6.08x1200 ASTM A36 II</t>
  </si>
  <si>
    <t>6.08×1200×C</t>
  </si>
  <si>
    <t>1251121907832</t>
  </si>
  <si>
    <t>Thép cuộn cán nóng 6.08x1200 ASTM A36</t>
  </si>
  <si>
    <t>1251121907825</t>
  </si>
  <si>
    <t>Thép cuộn cán nóng 7.92x1524 ASTM A36 II</t>
  </si>
  <si>
    <t>7.92×1524×C</t>
  </si>
  <si>
    <t>1251121907818</t>
  </si>
  <si>
    <t>Thép cuộn cán nóng 7.92x1524 ASTM A36</t>
  </si>
  <si>
    <t>1251121907801</t>
  </si>
  <si>
    <t>Thép cuộn cán nóng 9.52x1524 ASTM A36 II</t>
  </si>
  <si>
    <t>9.52×1524×C</t>
  </si>
  <si>
    <t>1251121907795</t>
  </si>
  <si>
    <t>Thép cuộn cán nóng 9.52x1524 ASTM A36</t>
  </si>
  <si>
    <t>1251121907788</t>
  </si>
  <si>
    <t>Thép cuộn cán nóng 9.52x1219 ASTM A36 II</t>
  </si>
  <si>
    <t>9.52×1219×C</t>
  </si>
  <si>
    <t>1251121907771</t>
  </si>
  <si>
    <t>Thép cuộn cán nóng 9.52x1219 ASTM A36</t>
  </si>
  <si>
    <t>1251121907764</t>
  </si>
  <si>
    <t>Thép cuộn cán nóng 7.93x1219 ASTM A36 II</t>
  </si>
  <si>
    <t>7.93×1219×C</t>
  </si>
  <si>
    <t>1251121907757</t>
  </si>
  <si>
    <t>Thép cuộn cán nóng 7.93x1219 ASTM A36</t>
  </si>
  <si>
    <t>1251121907740</t>
  </si>
  <si>
    <t>Thép cuộn cán nóng 2.90x1524 ASTM A36 II</t>
  </si>
  <si>
    <t>2.90×1524×C</t>
  </si>
  <si>
    <t>1251121907733</t>
  </si>
  <si>
    <t>Thép cuộn cán nóng 2.90x1524 ASTM A36</t>
  </si>
  <si>
    <t>1251121907726</t>
  </si>
  <si>
    <t>Thép cuộn cán nóng 2.90x1219 ASTM A36 II</t>
  </si>
  <si>
    <t>1251121907719</t>
  </si>
  <si>
    <t>Thép cuộn cán nóng 2.90x1219 ASTM A36</t>
  </si>
  <si>
    <t>1251121907702</t>
  </si>
  <si>
    <t>Thép cuộn cán nóng 3.20x1524 ASTM A36 II</t>
  </si>
  <si>
    <t>3.20×1524×C</t>
  </si>
  <si>
    <t>1251121907696</t>
  </si>
  <si>
    <t>Thép cuộn cán nóng 3.20x1524 ASTM A36</t>
  </si>
  <si>
    <t>1251121907689</t>
  </si>
  <si>
    <t>Thép cuộn cán nóng 2.60x1524 ASTM A36 II</t>
  </si>
  <si>
    <t>2.60×1524×C</t>
  </si>
  <si>
    <t>1251121907672</t>
  </si>
  <si>
    <t>Thép cuộn cán nóng 2.60x1524 ASTM A36</t>
  </si>
  <si>
    <t>1251121907665</t>
  </si>
  <si>
    <t>Thép cuộn cán nóng 6.35x1219 SAE1008 II</t>
  </si>
  <si>
    <t>6.35×1219×C</t>
  </si>
  <si>
    <t>1251121907658</t>
  </si>
  <si>
    <t>Thép cuộn cán nóng 6.35x1219 SAE1008</t>
  </si>
  <si>
    <t>1251121907641</t>
  </si>
  <si>
    <t>Thép cuộn cán nóng 5.18x1219 SAE1008 II</t>
  </si>
  <si>
    <t>5.18×1219×C</t>
  </si>
  <si>
    <t>1251121907634</t>
  </si>
  <si>
    <t>Thép cuộn cán nóng 5.18x1219 SAE1008</t>
  </si>
  <si>
    <t>1251121907627</t>
  </si>
  <si>
    <t>Thép cuộn cán nóng 4.76x1219 SAE1008 II</t>
  </si>
  <si>
    <t>1251121907610</t>
  </si>
  <si>
    <t>Thép cuộn cán nóng 4.76x1219 SAE1008</t>
  </si>
  <si>
    <t>1251121907603</t>
  </si>
  <si>
    <t>Thép cuộn cán nóng 3.04x1219 SAE1008 II</t>
  </si>
  <si>
    <t>1251121907597</t>
  </si>
  <si>
    <t>Thép cuộn cán nóng 3.04x1219 SAE1008</t>
  </si>
  <si>
    <t>1251121907580</t>
  </si>
  <si>
    <t>Thép cuộn cán nóng 2.67x1219 SAE1008 II</t>
  </si>
  <si>
    <t>1251121907573</t>
  </si>
  <si>
    <t>Thép cuộn cán nóng 2.67x1219 SAE1008</t>
  </si>
  <si>
    <t>1251121907566</t>
  </si>
  <si>
    <t>Thép cuộn cán nóng 3.42x1219 SAE1008 II</t>
  </si>
  <si>
    <t>1251121907559</t>
  </si>
  <si>
    <t>Thép cuộn cán nóng 3.42x1219 SAE1008</t>
  </si>
  <si>
    <t>1251121907542</t>
  </si>
  <si>
    <t>Thép cuộn cán nóng 1.78x1219 SAE1008 II</t>
  </si>
  <si>
    <t>1.78×1219×C</t>
  </si>
  <si>
    <t>1251121907535</t>
  </si>
  <si>
    <t>Thép cuộn cán nóng 1.78x1219 SAE1008</t>
  </si>
  <si>
    <t>1251121907528</t>
  </si>
  <si>
    <t>Thép cuộn cán nóng 4.55x1219 SAE1008 II</t>
  </si>
  <si>
    <t>4.55×1219×C</t>
  </si>
  <si>
    <t>1251121907511</t>
  </si>
  <si>
    <t>Thép cuộn cán nóng 4.55x1219 SAE1008</t>
  </si>
  <si>
    <t>1251121907504</t>
  </si>
  <si>
    <t>Thép cuộn cán nóng 5.00x1111 SAE1008 II</t>
  </si>
  <si>
    <t>5.00×1111×C</t>
  </si>
  <si>
    <t>1251121907498</t>
  </si>
  <si>
    <t>Thép cuộn cán nóng 5.00x1111 SAE1008</t>
  </si>
  <si>
    <t>1251121907481</t>
  </si>
  <si>
    <t>Thép cuộn cán nóng 5.59x1111 SAE1008 II</t>
  </si>
  <si>
    <t>5.59×1111×C</t>
  </si>
  <si>
    <t>1251121907474</t>
  </si>
  <si>
    <t>Thép cuộn cán nóng 5.59x1111 SAE1008</t>
  </si>
  <si>
    <t>1251121907467</t>
  </si>
  <si>
    <t>Thép cuộn cán nóng 2.28x1219 SAE1008 II</t>
  </si>
  <si>
    <t>1251121907450</t>
  </si>
  <si>
    <t>Thép cuộn cán nóng 2.28x1219 SAE1008</t>
  </si>
  <si>
    <t>1251121907443</t>
  </si>
  <si>
    <t>Thép cuộn cán nóng 5.50x1219 S355JR II</t>
  </si>
  <si>
    <t>1251121907405</t>
  </si>
  <si>
    <t>Thép cuộn cán nóng 5.50x1219 S355JR</t>
  </si>
  <si>
    <t>1251121907399</t>
  </si>
  <si>
    <t>Thép cuộn cán nóng 3.80x1219 S355JR II</t>
  </si>
  <si>
    <t>1251121907382</t>
  </si>
  <si>
    <t>Thép cuộn cán nóng 3.80x1219 S355JR</t>
  </si>
  <si>
    <t>1251121907375</t>
  </si>
  <si>
    <t>Thép cuộn cán nóng 7.70x1250 S275JR II</t>
  </si>
  <si>
    <t>7.70×1250×C</t>
  </si>
  <si>
    <t>1251121907368</t>
  </si>
  <si>
    <t>Thép cuộn cán nóng 7.70x1250 S275JR</t>
  </si>
  <si>
    <t>1251121907351</t>
  </si>
  <si>
    <t>Thép cuộn cán nóng 2.10x1020 SAE1006 II</t>
  </si>
  <si>
    <t>2.10×1020×C</t>
  </si>
  <si>
    <t>1251121907344</t>
  </si>
  <si>
    <t>Thép cuộn cán nóng 2.10x1020 SAE1006</t>
  </si>
  <si>
    <t>1251121907337</t>
  </si>
  <si>
    <t>Thép cuộn cán nóng 1.65x1225 SAE1006 II</t>
  </si>
  <si>
    <t>1.65×1225×C</t>
  </si>
  <si>
    <t>1251121907320</t>
  </si>
  <si>
    <t>Thép cuộn cán nóng 1.65x1225 SAE1006</t>
  </si>
  <si>
    <t>1251121907313</t>
  </si>
  <si>
    <t>Thép cuộn cán nóng 2.25x1225 S275JR II</t>
  </si>
  <si>
    <t>1251121907306</t>
  </si>
  <si>
    <t>Thép cuộn cán nóng 2.25x1225 S275JR</t>
  </si>
  <si>
    <t>1251121907290</t>
  </si>
  <si>
    <t>Thép cuộn cán nóng 6.25x1380 SS400 II</t>
  </si>
  <si>
    <t>6.25×1380×C</t>
  </si>
  <si>
    <t>1251121907283</t>
  </si>
  <si>
    <t>Thép cuộn cán nóng 6.25x1380 SS400</t>
  </si>
  <si>
    <t>1251121907276</t>
  </si>
  <si>
    <t>Thép cuộn cán nóng 3.80x1380 SS400 II</t>
  </si>
  <si>
    <t>3.80×1380×C</t>
  </si>
  <si>
    <t>1251121907269</t>
  </si>
  <si>
    <t>Thép cuộn cán nóng 3.80x1380 SS400</t>
  </si>
  <si>
    <t>1251121907252</t>
  </si>
  <si>
    <t>Thép cuộn cán nóng 7.40x1200 SS400 II</t>
  </si>
  <si>
    <t>7.40×1200×C</t>
  </si>
  <si>
    <t>1251121907245</t>
  </si>
  <si>
    <t>Thép cuộn cán nóng 7.40x1200 SS400</t>
  </si>
  <si>
    <t>1251121907238</t>
  </si>
  <si>
    <t>Thép cuộn cán nóng 5.16x1380 SS400 II</t>
  </si>
  <si>
    <t>5.16×1380×C</t>
  </si>
  <si>
    <t>1251121907221</t>
  </si>
  <si>
    <t>Thép cuộn cán nóng 5.16x1380 SS400</t>
  </si>
  <si>
    <t>1251121907214</t>
  </si>
  <si>
    <t>Thép cuộn cán nóng 11.00x1500 SS400 II</t>
  </si>
  <si>
    <t>11.00×1500×C</t>
  </si>
  <si>
    <t>1251121907207</t>
  </si>
  <si>
    <t>Thép cuộn cán nóng 11.00x1500 SS400</t>
  </si>
  <si>
    <t>1251121907191</t>
  </si>
  <si>
    <t>Thép cuộn cán nóng 2.70x1180 SAE1006 II</t>
  </si>
  <si>
    <t>2.70×1180×C</t>
  </si>
  <si>
    <t>1251121907085</t>
  </si>
  <si>
    <t>Thép cuộn cán nóng 2.70x1180 SAE1006</t>
  </si>
  <si>
    <t>1251121907078</t>
  </si>
  <si>
    <t>Thép cuộn cán nóng 2.30x931 SAE1006 II</t>
  </si>
  <si>
    <t>2.30×931×C</t>
  </si>
  <si>
    <t>1251121907061</t>
  </si>
  <si>
    <t>Thép cuộn cán nóng 2.30x931 SAE1006</t>
  </si>
  <si>
    <t>1251121907054</t>
  </si>
  <si>
    <t>Thép cuộn cán nóng 2.00x931 SAE1006 II</t>
  </si>
  <si>
    <t>2.00×931×C</t>
  </si>
  <si>
    <t>1251121907047</t>
  </si>
  <si>
    <t>Thép cuộn cán nóng 2.00x931 SAE1006</t>
  </si>
  <si>
    <t>1251121907030</t>
  </si>
  <si>
    <t>Thép cuộn cán nóng 2.50x1520 SAE1006 II</t>
  </si>
  <si>
    <t>2.50×1520×C</t>
  </si>
  <si>
    <t>1251121907023</t>
  </si>
  <si>
    <t>Thép cuộn cán nóng 2.50x1520 SAE1006</t>
  </si>
  <si>
    <t>1251121907016</t>
  </si>
  <si>
    <t>Thép cuộn cán nóng 4.00x1020 SAE1006 II</t>
  </si>
  <si>
    <t>4.00×1020×C</t>
  </si>
  <si>
    <t>1251121907009</t>
  </si>
  <si>
    <t>Thép cuộn cán nóng 4.00x1020 SAE1006</t>
  </si>
  <si>
    <t>1251121906996</t>
  </si>
  <si>
    <t>Thép cuộn cán nóng 3.00x1020 SAE1006 II</t>
  </si>
  <si>
    <t>3.00×1020×C</t>
  </si>
  <si>
    <t>1251121906989</t>
  </si>
  <si>
    <t>Thép cuộn cán nóng 3.00x1020 SAE1006</t>
  </si>
  <si>
    <t>1251121906972</t>
  </si>
  <si>
    <t>Thép cuộn cán nóng 2.50x1020 SAE1006 II</t>
  </si>
  <si>
    <t>2.50×1020×C</t>
  </si>
  <si>
    <t>1251121906965</t>
  </si>
  <si>
    <t>Thép cuộn cán nóng 2.72x1500 S355JR II</t>
  </si>
  <si>
    <t>2.72×1500×C</t>
  </si>
  <si>
    <t>1251121906958</t>
  </si>
  <si>
    <t>Thép cuộn cán nóng 2.72x1500 S355JR</t>
  </si>
  <si>
    <t>1251121906941</t>
  </si>
  <si>
    <t>Thép cuộn cán nóng 11.99x1500 S275JR II</t>
  </si>
  <si>
    <t>1251121906934</t>
  </si>
  <si>
    <t>Thép cuộn cán nóng 11.99x1500 S275JR</t>
  </si>
  <si>
    <t>1251121906927</t>
  </si>
  <si>
    <t>Thép cuộn cán nóng 5.68x1500 S275JR II</t>
  </si>
  <si>
    <t>5.68×1500×C</t>
  </si>
  <si>
    <t>1251121906910</t>
  </si>
  <si>
    <t>Thép cuộn cán nóng 5.68x1500 S275JR</t>
  </si>
  <si>
    <t>1251121906903</t>
  </si>
  <si>
    <t>Thép cuộn cán nóng 4.68x1500 S275JR II</t>
  </si>
  <si>
    <t>4.68×1500×C</t>
  </si>
  <si>
    <t>1251121906897</t>
  </si>
  <si>
    <t>Thép cuộn cán nóng 4.68x1500 S275JR</t>
  </si>
  <si>
    <t>1251121906880</t>
  </si>
  <si>
    <t>Thép cuộn cán nóng 2.72x1500 S275JR II</t>
  </si>
  <si>
    <t>1251121906873</t>
  </si>
  <si>
    <t>Thép cuộn cán nóng 2.72x1500 S275JR</t>
  </si>
  <si>
    <t>1251121906866</t>
  </si>
  <si>
    <t>Thép cuộn cán nóng 2.50x1270 S235JR II</t>
  </si>
  <si>
    <t>1251121906859</t>
  </si>
  <si>
    <t>Thép cuộn cán nóng 2.50x1270 S235JR</t>
  </si>
  <si>
    <t>1251121906842</t>
  </si>
  <si>
    <t>Thép cuộn cán nóng 2.20x1270 S235JR II</t>
  </si>
  <si>
    <t>2.20×1270×C</t>
  </si>
  <si>
    <t>1251121906835</t>
  </si>
  <si>
    <t>Thép cuộn cán nóng 2.20x1270 S235JR</t>
  </si>
  <si>
    <t>1251121906828</t>
  </si>
  <si>
    <t>Thép cuộn cán nóng 2.00x1270 S235JR II</t>
  </si>
  <si>
    <t>2.00×1270×C</t>
  </si>
  <si>
    <t>1251121906811</t>
  </si>
  <si>
    <t>Thép cuộn cán nóng 2.00x1270 S235JR</t>
  </si>
  <si>
    <t>1251121906804</t>
  </si>
  <si>
    <t>Thép cuộn cán nóng 2.50x1020 S235JR II</t>
  </si>
  <si>
    <t>1251121906798</t>
  </si>
  <si>
    <t>Thép cuộn cán nóng 2.50x1020 S235JR</t>
  </si>
  <si>
    <t>1251121906781</t>
  </si>
  <si>
    <t>Thép cuộn cán nóng 2.00x1020 S235JR II</t>
  </si>
  <si>
    <t>2.00×1020×C</t>
  </si>
  <si>
    <t>1251121906774</t>
  </si>
  <si>
    <t>Thép cuộn cán nóng 2.00x1020 S235JR</t>
  </si>
  <si>
    <t>1251121906767</t>
  </si>
  <si>
    <t>Thép cuộn cán nóng 2.50x1000 S235JR II</t>
  </si>
  <si>
    <t>1251121906750</t>
  </si>
  <si>
    <t>Thép cuộn cán nóng 2.50x1000 S235JR</t>
  </si>
  <si>
    <t>1251121906743</t>
  </si>
  <si>
    <t>Thép cuộn cán nóng 4.50x1260 SPHC II</t>
  </si>
  <si>
    <t>4.50×1260×C</t>
  </si>
  <si>
    <t>1251121906736</t>
  </si>
  <si>
    <t>Thép cuộn cán nóng 4.50x1260 SPHC</t>
  </si>
  <si>
    <t>1251121906729</t>
  </si>
  <si>
    <t>Thép cuộn cán nóng 3.90x1260 SPHC II</t>
  </si>
  <si>
    <t>1251121906712</t>
  </si>
  <si>
    <t>Thép cuộn cán nóng 3.90x1260 SPHC</t>
  </si>
  <si>
    <t>1251121906705</t>
  </si>
  <si>
    <t>Thép cuộn cán nóng 3.40x1260 SPHC II</t>
  </si>
  <si>
    <t>3.40×1260×C</t>
  </si>
  <si>
    <t>1251121906699</t>
  </si>
  <si>
    <t>Thép cuộn cán nóng 3.40x1260 SPHC</t>
  </si>
  <si>
    <t>1251121906682</t>
  </si>
  <si>
    <t>Thép cuộn cán nóng 4.50x1260 SAE1008 II</t>
  </si>
  <si>
    <t>1251121906675</t>
  </si>
  <si>
    <t>Thép cuộn cán nóng 4.50x1260 SAE1008</t>
  </si>
  <si>
    <t>1251121906668</t>
  </si>
  <si>
    <t>Thép cuộn cán nóng 3.90x1260 SAE1008 II</t>
  </si>
  <si>
    <t>1251121906651</t>
  </si>
  <si>
    <t>Thép cuộn cán nóng 3.90x1260 SAE1008</t>
  </si>
  <si>
    <t>1251121906644</t>
  </si>
  <si>
    <t>Thép cuộn cán nóng 3.40x1260 SAE1008 II</t>
  </si>
  <si>
    <t>1251121906637</t>
  </si>
  <si>
    <t>Thép cuộn cán nóng 3.40x1260 SAE1008</t>
  </si>
  <si>
    <t>1251121906620</t>
  </si>
  <si>
    <t>Thép cuộn cán nóng 4.30x1315 SS400 II</t>
  </si>
  <si>
    <t>4.30×1315×C</t>
  </si>
  <si>
    <t>1251121906613</t>
  </si>
  <si>
    <t>Thép cuộn cán nóng 4.30x1315 SS400</t>
  </si>
  <si>
    <t>1251121906606</t>
  </si>
  <si>
    <t>Thép cuộn cán nóng 3.60x1260 SS400 II</t>
  </si>
  <si>
    <t>3.60×1260×C</t>
  </si>
  <si>
    <t>1251121906590</t>
  </si>
  <si>
    <t>Thép cuộn cán nóng 3.60x1260 SS400</t>
  </si>
  <si>
    <t>1251121906583</t>
  </si>
  <si>
    <t>Thép cuộn cán nóng 3.00x1260 SS400 II</t>
  </si>
  <si>
    <t>1251121906576</t>
  </si>
  <si>
    <t>Thép cuộn cán nóng 3.00x1260 SS400</t>
  </si>
  <si>
    <t>1251121906569</t>
  </si>
  <si>
    <t>Thép cuộn cán nóng 2.70x1260 SS400 II</t>
  </si>
  <si>
    <t>2.70×1260×C</t>
  </si>
  <si>
    <t>1251121906552</t>
  </si>
  <si>
    <t>Thép cuộn cán nóng 2.70x1260 SS400</t>
  </si>
  <si>
    <t>1251121906545</t>
  </si>
  <si>
    <t>Thép cuộn cán nóng 2.40x1260 SS400 II</t>
  </si>
  <si>
    <t>2.40×1260×C</t>
  </si>
  <si>
    <t>1251121906538</t>
  </si>
  <si>
    <t>Thép cuộn cán nóng 2.40x1260 SS400</t>
  </si>
  <si>
    <t>1251121906521</t>
  </si>
  <si>
    <t>Thép cuộn cán nóng 2.25x1200 BjPC II</t>
  </si>
  <si>
    <t>2.25×1200×C</t>
  </si>
  <si>
    <t>1251121906514</t>
  </si>
  <si>
    <t>Thép cuộn cán nóng 2.25x1200 BjPC</t>
  </si>
  <si>
    <t>1251121906507</t>
  </si>
  <si>
    <t>Thép cuộn cán nóng 2.00x914 SAE1006 II</t>
  </si>
  <si>
    <t>2.00×914×C</t>
  </si>
  <si>
    <t>1251121906187</t>
  </si>
  <si>
    <t>Thép cuộn cán nóng 2.00x914 SAE1006</t>
  </si>
  <si>
    <t>1251121906170</t>
  </si>
  <si>
    <t>Thép cuộn cán nóng 2.20x914 SAE1006 II</t>
  </si>
  <si>
    <t>2.20×914×C</t>
  </si>
  <si>
    <t>1251121906163</t>
  </si>
  <si>
    <t>Thép cuộn cán nóng 2.20x914 SAE1006</t>
  </si>
  <si>
    <t>1251121906156</t>
  </si>
  <si>
    <t>Thép cuộn cán nóng 2.45x914 SAE1006 II</t>
  </si>
  <si>
    <t>2.45×914×C</t>
  </si>
  <si>
    <t>1251121906149</t>
  </si>
  <si>
    <t>Thép cuộn cán nóng 2.45x914 SAE1006</t>
  </si>
  <si>
    <t>1251121906132</t>
  </si>
  <si>
    <t>Thép cuộn cán nóng 3.70x1520 S275JR II</t>
  </si>
  <si>
    <t>1251121906125</t>
  </si>
  <si>
    <t>Thép cuộn cán nóng 3.70x1520 S275JR</t>
  </si>
  <si>
    <t>1251121906118</t>
  </si>
  <si>
    <t>Thép cuộn cán nóng 8.70x1215 S275JR II</t>
  </si>
  <si>
    <t>1251121906101</t>
  </si>
  <si>
    <t>Thép cuộn cán nóng 8.70x1215 S275JR</t>
  </si>
  <si>
    <t>1251121906095</t>
  </si>
  <si>
    <t>Thép cuộn cán nóng 3.70x1215 S275JR II</t>
  </si>
  <si>
    <t>1251121906088</t>
  </si>
  <si>
    <t>Thép cuộn cán nóng 3.70x1215 S275JR</t>
  </si>
  <si>
    <t>1251121906071</t>
  </si>
  <si>
    <t>Thép cuộn cán nóng 2.80x1200 BjPC II</t>
  </si>
  <si>
    <t>2.80×1200×C</t>
  </si>
  <si>
    <t>1251121906064</t>
  </si>
  <si>
    <t>Thép cuộn cán nóng 2.80x1200 BjPC</t>
  </si>
  <si>
    <t>1251121906057</t>
  </si>
  <si>
    <t>Thép cuộn cán nóng 3.90x1500 S355JR II</t>
  </si>
  <si>
    <t>1251121906040</t>
  </si>
  <si>
    <t>Thép cuộn cán nóng 3.90x1500 S355JR</t>
  </si>
  <si>
    <t>1251121906033</t>
  </si>
  <si>
    <t>Thép cuộn cán nóng 2.90x1500 S355JR II</t>
  </si>
  <si>
    <t>1251121906026</t>
  </si>
  <si>
    <t>Thép cuộn cán nóng 2.90x1500 S355JR</t>
  </si>
  <si>
    <t>1251121906019</t>
  </si>
  <si>
    <t>Thép cuộn cán nóng 1.80x1250 S355JR II</t>
  </si>
  <si>
    <t>1251121906002</t>
  </si>
  <si>
    <t>Thép cuộn cán nóng 1.80x1250 S355JR</t>
  </si>
  <si>
    <t>1251121905999</t>
  </si>
  <si>
    <t>Thép cuộn cán nóng 5.60x1450 S275JR</t>
  </si>
  <si>
    <t>1251121900611</t>
  </si>
  <si>
    <t>Thép cuộn cán nóng 5.60x1250 S275JR II</t>
  </si>
  <si>
    <t>5.60×1250×C</t>
  </si>
  <si>
    <t>1251121900604</t>
  </si>
  <si>
    <t>Thép cuộn cán nóng 5.60x1250 S275JR</t>
  </si>
  <si>
    <t>1251121900598</t>
  </si>
  <si>
    <t>Thép cuộn cán nóng 4.60x1500 S275JR II</t>
  </si>
  <si>
    <t>1251121900581</t>
  </si>
  <si>
    <t>Thép cuộn cán nóng 4.60x1500 S275JR</t>
  </si>
  <si>
    <t>1251121900574</t>
  </si>
  <si>
    <t>Thép cuộn cán nóng 3.65x1300 S275JR II</t>
  </si>
  <si>
    <t>3.65×1300×C</t>
  </si>
  <si>
    <t>1251121900567</t>
  </si>
  <si>
    <t>Thép cuộn cán nóng 3.65x1300 S275JR</t>
  </si>
  <si>
    <t>1251121900550</t>
  </si>
  <si>
    <t>Thép cuộn cán nóng 2.75x1250 S275JR II</t>
  </si>
  <si>
    <t>1251121900543</t>
  </si>
  <si>
    <t>Thép cuộn cán nóng 2.75x1250 S275JR</t>
  </si>
  <si>
    <t>1251121900536</t>
  </si>
  <si>
    <t>Thép cuộn cán nóng 4.00x1500 S275JR II</t>
  </si>
  <si>
    <t>1251121900529</t>
  </si>
  <si>
    <t>Thép cuộn cán nóng 4.00x1500 S275JR</t>
  </si>
  <si>
    <t>1251121900512</t>
  </si>
  <si>
    <t>Thép cuộn cán nóng 3.00x1500 S275JR II</t>
  </si>
  <si>
    <t>1251121900505</t>
  </si>
  <si>
    <t>Thép cuộn cán nóng 3.00x1500 S275JR</t>
  </si>
  <si>
    <t>1251121900499</t>
  </si>
  <si>
    <t>Thép cuộn cán nóng 10.00x1500 S275JR II</t>
  </si>
  <si>
    <t>1251121900482</t>
  </si>
  <si>
    <t>Thép cuộn cán nóng 10.00x1500 S275JR</t>
  </si>
  <si>
    <t>1251121900475</t>
  </si>
  <si>
    <t>Thép cuộn cán nóng 8.00x1500 S275JR II</t>
  </si>
  <si>
    <t>1251121900468</t>
  </si>
  <si>
    <t>Thép cuộn cán nóng 8.00x1500 S275JR</t>
  </si>
  <si>
    <t>1251121900451</t>
  </si>
  <si>
    <t>Thép cuộn cán nóng 9.85x1500 S275JR II</t>
  </si>
  <si>
    <t>9.85×1500×C</t>
  </si>
  <si>
    <t>1251121900444</t>
  </si>
  <si>
    <t>Thép cuộn cán nóng 9.85x1500 S275JR</t>
  </si>
  <si>
    <t>1251121900437</t>
  </si>
  <si>
    <t>Thép cuộn cán nóng 7.85x1500 S275JR II</t>
  </si>
  <si>
    <t>7.85×1500×C</t>
  </si>
  <si>
    <t>1251121900420</t>
  </si>
  <si>
    <t>Thép cuộn cán nóng 7.85x1500 S275JR</t>
  </si>
  <si>
    <t>1251121900413</t>
  </si>
  <si>
    <t>Thép cuộn cán nóng 3.25x1500 S235JR II</t>
  </si>
  <si>
    <t>3.25×1500×C</t>
  </si>
  <si>
    <t>1251121900345</t>
  </si>
  <si>
    <t>Thép cuộn cán nóng 3.25x1500 S235JR</t>
  </si>
  <si>
    <t>1251121900338</t>
  </si>
  <si>
    <t>Thép cuộn cán nóng 10.00x1520 S235JR II</t>
  </si>
  <si>
    <t>1251121900321</t>
  </si>
  <si>
    <t>Thép cuộn cán nóng 10.00x1520 S235JR</t>
  </si>
  <si>
    <t>1251121900314</t>
  </si>
  <si>
    <t>Thép cuộn cán nóng 6.00x1520 S235JR II</t>
  </si>
  <si>
    <t>1251121900307</t>
  </si>
  <si>
    <t>Thép cuộn cán nóng 6.00x1520 S235JR</t>
  </si>
  <si>
    <t>1251121900291</t>
  </si>
  <si>
    <t>Thép cuộn cán nóng 6.00x1270 S235JR II</t>
  </si>
  <si>
    <t>6.00×1270×C</t>
  </si>
  <si>
    <t>1251121900284</t>
  </si>
  <si>
    <t>Thép cuộn cán nóng 6.00x1270 S235JR</t>
  </si>
  <si>
    <t>1251121900277</t>
  </si>
  <si>
    <t>Thép cuộn cán nóng 6.00x1020 S235JR II</t>
  </si>
  <si>
    <t>6.00×1020×C</t>
  </si>
  <si>
    <t>1251121900260</t>
  </si>
  <si>
    <t>Thép cuộn cán nóng 6.00x1020 S235JR</t>
  </si>
  <si>
    <t>1251121900253</t>
  </si>
  <si>
    <t>Thép cuộn cán nóng 5.00x1520 S235JR II</t>
  </si>
  <si>
    <t>1251121900246</t>
  </si>
  <si>
    <t>Thép cuộn cán nóng 5.00x1520 S235JR</t>
  </si>
  <si>
    <t>1251121900239</t>
  </si>
  <si>
    <t>Thép cuộn cán nóng 4.00x1020 S235JR II</t>
  </si>
  <si>
    <t>1251121900222</t>
  </si>
  <si>
    <t>Thép cuộn cán nóng 4.00x1020 S235JR</t>
  </si>
  <si>
    <t>1251121900215</t>
  </si>
  <si>
    <t>Thép cuộn cán nóng 3.00x1520 S235JR II</t>
  </si>
  <si>
    <t>1251121900208</t>
  </si>
  <si>
    <t>Thép cuộn cán nóng 3.00x1520 S235JR</t>
  </si>
  <si>
    <t>1251121900192</t>
  </si>
  <si>
    <t>Thép cuộn cán nóng 3.00x1120 S235JR II</t>
  </si>
  <si>
    <t>1251121900185</t>
  </si>
  <si>
    <t>Thép cuộn cán nóng 3.00x1120 S235JR</t>
  </si>
  <si>
    <t>1251121900178</t>
  </si>
  <si>
    <t>Thép cuộn cán nóng 3.00x1020 S235JR II</t>
  </si>
  <si>
    <t>1251121900161</t>
  </si>
  <si>
    <t>Thép cuộn cán nóng 3.00x1020 S235JR</t>
  </si>
  <si>
    <t>1251121900154</t>
  </si>
  <si>
    <t>Thép cuộn cán nóng 2.50x1520 S235JR II</t>
  </si>
  <si>
    <t>1251121900147</t>
  </si>
  <si>
    <t>Thép cuộn cán nóng 2.50x1520 S235JR</t>
  </si>
  <si>
    <t>1251121900130</t>
  </si>
  <si>
    <t>Thép cuộn cán nóng 10.00x1515 S235JR II</t>
  </si>
  <si>
    <t>10.00×1515×C</t>
  </si>
  <si>
    <t>1251121900123</t>
  </si>
  <si>
    <t>Thép cuộn cán nóng 10.00x1515 S235JR</t>
  </si>
  <si>
    <t>1251121900116</t>
  </si>
  <si>
    <t>Thép cuộn cán nóng 3.75x1450 S235JR II</t>
  </si>
  <si>
    <t>3.75×1450×C</t>
  </si>
  <si>
    <t>1251121900109</t>
  </si>
  <si>
    <t>Thép cuộn cán nóng 3.75x1450 S235JR</t>
  </si>
  <si>
    <t>1251121900093</t>
  </si>
  <si>
    <t>Thép cuộn cán nóng 3.35x1450 S235JR II</t>
  </si>
  <si>
    <t>3.35×1450×C</t>
  </si>
  <si>
    <t>1251121900086</t>
  </si>
  <si>
    <t>Thép cuộn cán nóng 3.35x1450 S235JR</t>
  </si>
  <si>
    <t>1251121900079</t>
  </si>
  <si>
    <t>Thép cuộn cán nóng 2.95x1450 S235JR II</t>
  </si>
  <si>
    <t>2.95×1450×C</t>
  </si>
  <si>
    <t>1251121900062</t>
  </si>
  <si>
    <t>Thép cuộn cán nóng 2.95x1450 S235JR</t>
  </si>
  <si>
    <t>1251121900055</t>
  </si>
  <si>
    <t>Thép cuộn cán nóng 2.75x1225 S235JR II</t>
  </si>
  <si>
    <t>2.75×1225×C</t>
  </si>
  <si>
    <t>1251121900048</t>
  </si>
  <si>
    <t>Thép cuộn cán nóng 2.75x1225 S235JR</t>
  </si>
  <si>
    <t>1251121900031</t>
  </si>
  <si>
    <t>Thép cuộn cán nóng 2.55x1225 S235JR II</t>
  </si>
  <si>
    <t>2.55×1225×C</t>
  </si>
  <si>
    <t>1251121900024</t>
  </si>
  <si>
    <t>Thép cuộn cán nóng 2.55x1225 S235JR</t>
  </si>
  <si>
    <t>1251121900017</t>
  </si>
  <si>
    <t>Thép cuộn cán nóng 2.35x1225 S235JR II</t>
  </si>
  <si>
    <t>2.35×1225×C</t>
  </si>
  <si>
    <t>1251121499610</t>
  </si>
  <si>
    <t>Thép cuộn cán nóng 2.35x1225 S235JR</t>
  </si>
  <si>
    <t>1251121499603</t>
  </si>
  <si>
    <t>Thép cuộn cán nóng 2.15x1225 S235JR II</t>
  </si>
  <si>
    <t>2.15×1225×C</t>
  </si>
  <si>
    <t>1251121499597</t>
  </si>
  <si>
    <t>Thép cuộn cán nóng 2.15x1225 S235JR</t>
  </si>
  <si>
    <t>1251121499580</t>
  </si>
  <si>
    <t>Thép cuộn cán nóng 2.00x1225 S235JR II</t>
  </si>
  <si>
    <t>1251121499573</t>
  </si>
  <si>
    <t>Thép cuộn cán nóng 2.00x1225 S235JR</t>
  </si>
  <si>
    <t>1251121499566</t>
  </si>
  <si>
    <t>Thép cuộn cán nóng 1.80x1225 S235JR II</t>
  </si>
  <si>
    <t>1251121499559</t>
  </si>
  <si>
    <t>Thép cuộn cán nóng 1.80x1225 S235JR</t>
  </si>
  <si>
    <t>1251121499542</t>
  </si>
  <si>
    <t>Thép cuộn cán nóng 3.80x1250 S235JR II</t>
  </si>
  <si>
    <t>1251121499535</t>
  </si>
  <si>
    <t>Thép cuộn cán nóng 3.80x1250 S235JR</t>
  </si>
  <si>
    <t>1251121499528</t>
  </si>
  <si>
    <t>Thép cuộn cán nóng 1.90x1250 S235JR II</t>
  </si>
  <si>
    <t>1251121499511</t>
  </si>
  <si>
    <t>Thép cuộn cán nóng 1.90x1250 S235JR</t>
  </si>
  <si>
    <t>1251121499504</t>
  </si>
  <si>
    <t>Thép cuộn cán nóng 2.50x1500 S235JR II</t>
  </si>
  <si>
    <t>1251121499498</t>
  </si>
  <si>
    <t>Thép cuộn cán nóng 2.50x1500 S235JR</t>
  </si>
  <si>
    <t>1251121499481</t>
  </si>
  <si>
    <t>Thép cuộn cán nóng 5.00x1100 S235JR II</t>
  </si>
  <si>
    <t>5.00×1100×C</t>
  </si>
  <si>
    <t>1251121499474</t>
  </si>
  <si>
    <t>Thép cuộn cán nóng 5.00x1100 S235JR</t>
  </si>
  <si>
    <t>1251121499467</t>
  </si>
  <si>
    <t>Thép cuộn cán nóng 4.00x1100 S235JR II</t>
  </si>
  <si>
    <t>4.00×1100×C</t>
  </si>
  <si>
    <t>1251121499450</t>
  </si>
  <si>
    <t>Thép cuộn cán nóng 4.00x1100 S235JR</t>
  </si>
  <si>
    <t>1251121499443</t>
  </si>
  <si>
    <t>Thép cuộn cán nóng 3.85x1100 S235JR II</t>
  </si>
  <si>
    <t>3.85×1100×C</t>
  </si>
  <si>
    <t>1251121499436</t>
  </si>
  <si>
    <t>Thép cuộn cán nóng 3.85x1100 S235JR</t>
  </si>
  <si>
    <t>1251121499429</t>
  </si>
  <si>
    <t>Thép cuộn cán nóng 3.00x1100 S235JR II</t>
  </si>
  <si>
    <t>1251121499412</t>
  </si>
  <si>
    <t>Thép cuộn cán nóng 3.00x1100 S235JR</t>
  </si>
  <si>
    <t>1251121499405</t>
  </si>
  <si>
    <t>Thép cuộn cán nóng 2.70x1250 S235JR II</t>
  </si>
  <si>
    <t>1251121499399</t>
  </si>
  <si>
    <t>Thép cuộn cán nóng 2.70x1250 S235JR</t>
  </si>
  <si>
    <t>1251121499382</t>
  </si>
  <si>
    <t>Thép cuộn cán nóng 2.50x1020 SAE1006</t>
  </si>
  <si>
    <t>1251121492611</t>
  </si>
  <si>
    <t>Thép cuộn cán nóng 3.95x1155 SAE1006</t>
  </si>
  <si>
    <t>1251121459737</t>
  </si>
  <si>
    <t>Thép HRC HSPM 4.60x134X S275JR II</t>
  </si>
  <si>
    <t>1251122107132</t>
  </si>
  <si>
    <t>Thép HRC HSPM 5.90x134X S275JR II</t>
  </si>
  <si>
    <t>1251122107156</t>
  </si>
  <si>
    <t>Thép HRC HSPM 5.50x152X S275JR II</t>
  </si>
  <si>
    <t>1251122107170</t>
  </si>
  <si>
    <t>Thép HRC HSPM 4.35x134X S275JR II</t>
  </si>
  <si>
    <t>4.35×1342×C</t>
  </si>
  <si>
    <t>1251122107194</t>
  </si>
  <si>
    <t>Thép HRC HSPM 2.23x121Y S275JR II</t>
  </si>
  <si>
    <t>2.23×1217×C</t>
  </si>
  <si>
    <t>1251122107217</t>
  </si>
  <si>
    <t>Thép HRC HSPM 2.43x152X S275JR II</t>
  </si>
  <si>
    <t>2.43×1522×C</t>
  </si>
  <si>
    <t>1251122107231</t>
  </si>
  <si>
    <t>Thép HRC HSPM 2.73x121Y S275JR II</t>
  </si>
  <si>
    <t>2.73×1217×C</t>
  </si>
  <si>
    <t>1251122107255</t>
  </si>
  <si>
    <t>Thép HRC HSPM 2.93x121Y S275JR II</t>
  </si>
  <si>
    <t>2.93×1217×C</t>
  </si>
  <si>
    <t>1251122107279</t>
  </si>
  <si>
    <t>Thép HRC HSPM 4.35x151Y S275JR II</t>
  </si>
  <si>
    <t>4.35×1517×C</t>
  </si>
  <si>
    <t>1251122107293</t>
  </si>
  <si>
    <t>Thép HRC HSPM 1.77x121Y SPHC II</t>
  </si>
  <si>
    <t>1.77×1217×C</t>
  </si>
  <si>
    <t>1251122107316</t>
  </si>
  <si>
    <t>Thép HRC HSPM 3.20x121Y SPHC II</t>
  </si>
  <si>
    <t>1251122107330</t>
  </si>
  <si>
    <t>Thép HRC HSPM 4.00x121Y SPHC II</t>
  </si>
  <si>
    <t>1251122107354</t>
  </si>
  <si>
    <t>Thép HRC HSPM 3.20x126X SAE1006 II</t>
  </si>
  <si>
    <t>1251122107392</t>
  </si>
  <si>
    <t>Thép HRC HSPM 3.80x126X SAE1006 II</t>
  </si>
  <si>
    <t>1251122107415</t>
  </si>
  <si>
    <t>Thép HRC HSPM 4.30x151Y S275JR II</t>
  </si>
  <si>
    <t>1251122107439</t>
  </si>
  <si>
    <t>Thép HRC HSPM 3.00x126X SAE1006 II</t>
  </si>
  <si>
    <t>1251122107453</t>
  </si>
  <si>
    <t>Thép HRC HSPM 4.60x134X S275JR</t>
  </si>
  <si>
    <t>1251122107125</t>
  </si>
  <si>
    <t>Thép HRC HSPM 5.90x134X S275JR</t>
  </si>
  <si>
    <t>1251122107149</t>
  </si>
  <si>
    <t>Thép HRC HSPM 5.50x152X S275JR</t>
  </si>
  <si>
    <t>1251122107163</t>
  </si>
  <si>
    <t>Thép HRC HSPM 4.35x134X S275JR</t>
  </si>
  <si>
    <t>1251122107187</t>
  </si>
  <si>
    <t>Thép HRC HSPM 2.23x121Y S275JR</t>
  </si>
  <si>
    <t>1251122107200</t>
  </si>
  <si>
    <t>Thép HRC HSPM 2.43x152X S275JR</t>
  </si>
  <si>
    <t>1251122107224</t>
  </si>
  <si>
    <t>Thép HRC HSPM 2.73x121Y S275JR</t>
  </si>
  <si>
    <t>1251122107248</t>
  </si>
  <si>
    <t>Thép HRC HSPM 2.93x121Y S275JR</t>
  </si>
  <si>
    <t>1251122107262</t>
  </si>
  <si>
    <t>Thép HRC HSPM 4.35x151Y S275JR</t>
  </si>
  <si>
    <t>1251122107286</t>
  </si>
  <si>
    <t>Thép HRC HSPM 1.77x121Y SPHC</t>
  </si>
  <si>
    <t>1251122107309</t>
  </si>
  <si>
    <t>Thép HRC HSPM 3.20x121Y SPHC</t>
  </si>
  <si>
    <t>1251122107323</t>
  </si>
  <si>
    <t>Thép HRC HSPM 4.00x121Y SPHC</t>
  </si>
  <si>
    <t>1251122107347</t>
  </si>
  <si>
    <t>Thép HRC HSPM 3.20x126X SAE1006</t>
  </si>
  <si>
    <t>1251122107385</t>
  </si>
  <si>
    <t>Thép HRC HSPM 3.80x126X SAE1006</t>
  </si>
  <si>
    <t>1251122107408</t>
  </si>
  <si>
    <t>Thép HRC HSPM 4.30x151Y S275JR</t>
  </si>
  <si>
    <t>1251122107422</t>
  </si>
  <si>
    <t>Thép HRC HSPM 3.00x126X SAE1006</t>
  </si>
  <si>
    <t>1251122107446</t>
  </si>
  <si>
    <t>Thép cuộn cán nóng 2.70x127X SAE1006 II</t>
  </si>
  <si>
    <t>2.70×1272×C</t>
  </si>
  <si>
    <t>1251121951934</t>
  </si>
  <si>
    <t>Thép cuộn cán nóng 2.70x127X SAE1006</t>
  </si>
  <si>
    <t>1251121951927</t>
  </si>
  <si>
    <t>Thép cuộn cán nóng 3.85x125X SS400 II</t>
  </si>
  <si>
    <t>1251121951910</t>
  </si>
  <si>
    <t>Thép cuộn cán nóng 3.85x125X SS400</t>
  </si>
  <si>
    <t>1251121951903</t>
  </si>
  <si>
    <t>Thép cuộn cán nóng 3.40x125X SS400 II</t>
  </si>
  <si>
    <t>1251121951897</t>
  </si>
  <si>
    <t>Thép cuộn cán nóng 3.40x125X SS400</t>
  </si>
  <si>
    <t>1251121951880</t>
  </si>
  <si>
    <t>Thép cuộn cán nóng 3.95x101X SAE1017 II</t>
  </si>
  <si>
    <t>3.95×1012×C</t>
  </si>
  <si>
    <t>1251121951873</t>
  </si>
  <si>
    <t>Thép cuộn cán nóng 3.95x101X SAE1017</t>
  </si>
  <si>
    <t>1251121951866</t>
  </si>
  <si>
    <t>Thép cuộn cán nóng 2.95x120X SS400 II</t>
  </si>
  <si>
    <t>1251121951859</t>
  </si>
  <si>
    <t>Thép cuộn cán nóng 2.95x120X SS400</t>
  </si>
  <si>
    <t>1251121951842</t>
  </si>
  <si>
    <t>Thép cuộn cán nóng 1.75x120X SPHC II</t>
  </si>
  <si>
    <t>1251121951835</t>
  </si>
  <si>
    <t>Thép cuộn cán nóng 1.75x120X SPHC</t>
  </si>
  <si>
    <t>1251121951828</t>
  </si>
  <si>
    <t>Thép cuộn cán nóng 4.00x122X SAE1006 II</t>
  </si>
  <si>
    <t>4.00×1222×C</t>
  </si>
  <si>
    <t>1251121951811</t>
  </si>
  <si>
    <t>Thép cuộn cán nóng 4.00x122X SAE1006</t>
  </si>
  <si>
    <t>1251121951804</t>
  </si>
  <si>
    <t>Thép cuộn cán nóng 3.00x116X SAE1006 II</t>
  </si>
  <si>
    <t>3.00×1162×C</t>
  </si>
  <si>
    <t>1251121951798</t>
  </si>
  <si>
    <t>Thép cuộn cán nóng 3.00x116X SAE1006</t>
  </si>
  <si>
    <t>1251121951781</t>
  </si>
  <si>
    <t>Thép cuộn cán nóng 3.30x121X SAE1006 II</t>
  </si>
  <si>
    <t>3.30×1212×C</t>
  </si>
  <si>
    <t>1251121951774</t>
  </si>
  <si>
    <t>Thép cuộn cán nóng 3.30x121X SAE1006</t>
  </si>
  <si>
    <t>1251121951767</t>
  </si>
  <si>
    <t>Thép cuộn cán nóng 2.50x142X SAE1006 II</t>
  </si>
  <si>
    <t>2.50×1422×C</t>
  </si>
  <si>
    <t>1251121951743</t>
  </si>
  <si>
    <t>Thép cuộn cán nóng 2.50x142X SAE1006</t>
  </si>
  <si>
    <t>1251121951736</t>
  </si>
  <si>
    <t>Thép cuộn cán nóng 2.30x142X SAE1006 II</t>
  </si>
  <si>
    <t>2.30×1422×C</t>
  </si>
  <si>
    <t>1251121951729</t>
  </si>
  <si>
    <t>Thép cuộn cán nóng 2.30x142X SAE1006</t>
  </si>
  <si>
    <t>1251121951712</t>
  </si>
  <si>
    <t>Thép cuộn cán nóng 3.67x134X S275JR II</t>
  </si>
  <si>
    <t>3.67×1342×C</t>
  </si>
  <si>
    <t>1251121951705</t>
  </si>
  <si>
    <t>Thép cuộn cán nóng 3.67x134X S275JR</t>
  </si>
  <si>
    <t>1251121951699</t>
  </si>
  <si>
    <t>Thép cuộn cán nóng 2.50x120Y S235JR II</t>
  </si>
  <si>
    <t>1251121951682</t>
  </si>
  <si>
    <t>Thép cuộn cán nóng 2.50x120Y S235JR</t>
  </si>
  <si>
    <t>1251121951675</t>
  </si>
  <si>
    <t>Thép cuộn cán nóng 6.35x121Y SS50 II</t>
  </si>
  <si>
    <t>1251121951668</t>
  </si>
  <si>
    <t>Thép cuộn cán nóng 6.35x121Y SS50</t>
  </si>
  <si>
    <t>1251121951651</t>
  </si>
  <si>
    <t>Thép cuộn cán nóng 4.76x121Y SS50 II</t>
  </si>
  <si>
    <t>1251121951644</t>
  </si>
  <si>
    <t>Thép cuộn cán nóng 4.76x121Y SS50</t>
  </si>
  <si>
    <t>1251121951637</t>
  </si>
  <si>
    <t>Thép cuộn cán nóng 6.35x152X SS50 II</t>
  </si>
  <si>
    <t>1251121951620</t>
  </si>
  <si>
    <t>Thép cuộn cán nóng 6.35x152X SS50</t>
  </si>
  <si>
    <t>1251121951613</t>
  </si>
  <si>
    <t>Thép cuộn cán nóng 4.76x152X SS50 II</t>
  </si>
  <si>
    <t>1251121951606</t>
  </si>
  <si>
    <t>Thép cuộn cán nóng 4.76x152X SS50</t>
  </si>
  <si>
    <t>1251121951590</t>
  </si>
  <si>
    <t>Thép cuộn cán nóng 2.65x152X SS50 II</t>
  </si>
  <si>
    <t>1251121951583</t>
  </si>
  <si>
    <t>Thép cuộn cán nóng 2.65x152X SS50</t>
  </si>
  <si>
    <t>1251121951576</t>
  </si>
  <si>
    <t>Thép cuộn cán nóng 4.17x121Y ASTM A36 II</t>
  </si>
  <si>
    <t>4.17×1217×C</t>
  </si>
  <si>
    <t>1251121951569</t>
  </si>
  <si>
    <t>Thép cuộn cán nóng 4.17x121Y ASTM A36</t>
  </si>
  <si>
    <t>1251121951552</t>
  </si>
  <si>
    <t>Thép cuộn cán nóng 6.25x121Y ASTM A36 II</t>
  </si>
  <si>
    <t>6.25×1217×C</t>
  </si>
  <si>
    <t>1251121951545</t>
  </si>
  <si>
    <t>Thép cuộn cán nóng 6.25x121Y ASTM A36</t>
  </si>
  <si>
    <t>1251121951538</t>
  </si>
  <si>
    <t>Thép cuộn cán nóng 4.00x121Y SPHC II</t>
  </si>
  <si>
    <t>1251121951521</t>
  </si>
  <si>
    <t>Thép cuộn cán nóng 4.00x121Y SPHC</t>
  </si>
  <si>
    <t>1251121951514</t>
  </si>
  <si>
    <t>Thép cuộn cán nóng 3.20x121Y SPHC II</t>
  </si>
  <si>
    <t>1251121951507</t>
  </si>
  <si>
    <t>Thép cuộn cán nóng 3.20x121Y SPHC</t>
  </si>
  <si>
    <t>1251121951491</t>
  </si>
  <si>
    <t>Thép cuộn cán nóng 1.77x121Y SPHC II</t>
  </si>
  <si>
    <t>1251121951484</t>
  </si>
  <si>
    <t>Thép cuộn cán nóng 1.77x121Y SPHC</t>
  </si>
  <si>
    <t>1251121951477</t>
  </si>
  <si>
    <t>Thép cuộn cán nóng 2.70x121Y SPHT1 II</t>
  </si>
  <si>
    <t>1251121951460</t>
  </si>
  <si>
    <t>Thép cuộn cán nóng 2.70x121Y SPHT1</t>
  </si>
  <si>
    <t>1251121951453</t>
  </si>
  <si>
    <t>Thép cuộn cán nóng 3.45x120X SAE1006 II</t>
  </si>
  <si>
    <t>1251121951446</t>
  </si>
  <si>
    <t>Thép cuộn cán nóng 3.45x120X SAE1006</t>
  </si>
  <si>
    <t>1251121951439</t>
  </si>
  <si>
    <t>Thép cuộn cán nóng 2.58x121Y SAE1008 II</t>
  </si>
  <si>
    <t>1251121951422</t>
  </si>
  <si>
    <t>Thép cuộn cán nóng 2.58x121Y SAE1008</t>
  </si>
  <si>
    <t>1251121951415</t>
  </si>
  <si>
    <t>Thép cuộn cán nóng 4.35x151Y S275JR II</t>
  </si>
  <si>
    <t>1251121951408</t>
  </si>
  <si>
    <t>Thép cuộn cán nóng 4.35x151Y S275JR</t>
  </si>
  <si>
    <t>1251121951392</t>
  </si>
  <si>
    <t>Thép cuộn cán nóng 2.93x121Y S275JR II</t>
  </si>
  <si>
    <t>1251121951385</t>
  </si>
  <si>
    <t>Thép cuộn cán nóng 2.93x121Y S275JR</t>
  </si>
  <si>
    <t>1251121951378</t>
  </si>
  <si>
    <t>Thép cuộn cán nóng 2.73x121Y S275JR II</t>
  </si>
  <si>
    <t>1251121951361</t>
  </si>
  <si>
    <t>Thép cuộn cán nóng 2.73x121Y S275JR</t>
  </si>
  <si>
    <t>1251121951354</t>
  </si>
  <si>
    <t>Thép cuộn cán nóng 2.43x152X S275JR II</t>
  </si>
  <si>
    <t>1251121951347</t>
  </si>
  <si>
    <t>Thép cuộn cán nóng 2.43x152X S275JR</t>
  </si>
  <si>
    <t>1251121951330</t>
  </si>
  <si>
    <t>Thép cuộn cán nóng 2.23x121Y S275JR II</t>
  </si>
  <si>
    <t>1251121951323</t>
  </si>
  <si>
    <t>Thép cuộn cán nóng 2.23x121Y S275JR</t>
  </si>
  <si>
    <t>1251121951316</t>
  </si>
  <si>
    <t>Thép cuộn cán nóng 4.35x134X S275JR II</t>
  </si>
  <si>
    <t>1251121951309</t>
  </si>
  <si>
    <t>Thép cuộn cán nóng 4.35x134X S275JR</t>
  </si>
  <si>
    <t>1251121951293</t>
  </si>
  <si>
    <t>Thép cuộn cán nóng 4.85x134X S275JR II</t>
  </si>
  <si>
    <t>4.85×1342×C</t>
  </si>
  <si>
    <t>1251121951286</t>
  </si>
  <si>
    <t>Thép cuộn cán nóng 4.85x134X S275JR</t>
  </si>
  <si>
    <t>1251121951279</t>
  </si>
  <si>
    <t>Thép cuộn cán nóng 5.72x151Y S275JR II</t>
  </si>
  <si>
    <t>1251121951262</t>
  </si>
  <si>
    <t>Thép cuộn cán nóng 5.72x151Y S275JR</t>
  </si>
  <si>
    <t>1251121951255</t>
  </si>
  <si>
    <t>Thép cuộn cán nóng 2.45x122Y S275JR II</t>
  </si>
  <si>
    <t>2.45×1227×C</t>
  </si>
  <si>
    <t>1251121951248</t>
  </si>
  <si>
    <t>Thép cuộn cán nóng 2.45x122Y S275JR</t>
  </si>
  <si>
    <t>1251121951231</t>
  </si>
  <si>
    <t>Thép cuộn cán nóng 2.25x122Y S275JR II</t>
  </si>
  <si>
    <t>1251121951224</t>
  </si>
  <si>
    <t>Thép cuộn cán nóng 2.25x122Y S275JR</t>
  </si>
  <si>
    <t>1251121951217</t>
  </si>
  <si>
    <t>Thép cuộn cán nóng 2.00x122Y S275JR II</t>
  </si>
  <si>
    <t>1251121951200</t>
  </si>
  <si>
    <t>Thép cuộn cán nóng 2.00x122Y S275JR</t>
  </si>
  <si>
    <t>1251121951194</t>
  </si>
  <si>
    <t>Thép cuộn cán nóng 2.50x108X SAE1006 II</t>
  </si>
  <si>
    <t>2.50×1082×C</t>
  </si>
  <si>
    <t>1251121951163</t>
  </si>
  <si>
    <t>Thép cuộn cán nóng 2.50x108X SAE1006</t>
  </si>
  <si>
    <t>1251121951156</t>
  </si>
  <si>
    <t>Thép cuộn cán nóng 3.45x125X SPHC II</t>
  </si>
  <si>
    <t>1251121951149</t>
  </si>
  <si>
    <t>Thép cuộn cán nóng 3.45x125X SPHC</t>
  </si>
  <si>
    <t>1251121951132</t>
  </si>
  <si>
    <t>Thép cuộn cán nóng 3.15x125X SPHC II</t>
  </si>
  <si>
    <t>1251121951125</t>
  </si>
  <si>
    <t>Thép cuộn cán nóng 3.15x125X SPHC</t>
  </si>
  <si>
    <t>1251121951118</t>
  </si>
  <si>
    <t>Thép cuộn cán nóng 5.00x150X SS400 II</t>
  </si>
  <si>
    <t>1251121951088</t>
  </si>
  <si>
    <t>Thép cuộn cán nóng 5.00x150X SS400</t>
  </si>
  <si>
    <t>1251121951071</t>
  </si>
  <si>
    <t>Thép cuộn cán nóng 2.60x125X SS400 II</t>
  </si>
  <si>
    <t>2.60×1252×C</t>
  </si>
  <si>
    <t>1251121951064</t>
  </si>
  <si>
    <t>Thép cuộn cán nóng 2.60x125X SS400</t>
  </si>
  <si>
    <t>1251121951057</t>
  </si>
  <si>
    <t>Thép cuộn cán nóng 2.55x1225 S275JR II</t>
  </si>
  <si>
    <t>1251121912973</t>
  </si>
  <si>
    <t>Thép cuộn cán nóng 2.55x1225 S275JR</t>
  </si>
  <si>
    <t>1251121912966</t>
  </si>
  <si>
    <t>Thép cuộn cán nóng 1.78x1225 SAE1006 II</t>
  </si>
  <si>
    <t>1.78×1225×C</t>
  </si>
  <si>
    <t>1251121912959</t>
  </si>
  <si>
    <t>Thép cuộn cán nóng 1.78x1225 SAE1006</t>
  </si>
  <si>
    <t>1251121912942</t>
  </si>
  <si>
    <t>Thép cuộn cán nóng 2.30x1135 SAE1006 II</t>
  </si>
  <si>
    <t>2.30×1135×C</t>
  </si>
  <si>
    <t>1251121912935</t>
  </si>
  <si>
    <t>Thép cuộn cán nóng 2.30x1135 SAE1006</t>
  </si>
  <si>
    <t>1251121912928</t>
  </si>
  <si>
    <t>Thép cuộn cán nóng 3.45x1335 SS400 II</t>
  </si>
  <si>
    <t>3.45×1335×C</t>
  </si>
  <si>
    <t>1251121912911</t>
  </si>
  <si>
    <t>Thép cuộn cán nóng 3.45x1335 SS400</t>
  </si>
  <si>
    <t>1251121912904</t>
  </si>
  <si>
    <t>Thép cuộn cán nóng 3.45x1300 S275JR II</t>
  </si>
  <si>
    <t>3.45×1300×C</t>
  </si>
  <si>
    <t>1251121912898</t>
  </si>
  <si>
    <t>Thép cuộn cán nóng 3.45x1300 S275JR</t>
  </si>
  <si>
    <t>1251121912881</t>
  </si>
  <si>
    <t>Thép cuộn cán nóng 3.45x1400 S275JR II</t>
  </si>
  <si>
    <t>3.45×1400×C</t>
  </si>
  <si>
    <t>1251121912874</t>
  </si>
  <si>
    <t>Thép cuộn cán nóng 3.45x1400 S275JR</t>
  </si>
  <si>
    <t>1251121912867</t>
  </si>
  <si>
    <t>Thép cuộn cán nóng 3.45x1360 S275JR II</t>
  </si>
  <si>
    <t>3.45×1360×C</t>
  </si>
  <si>
    <t>1251121912850</t>
  </si>
  <si>
    <t>Thép cuộn cán nóng 3.45x1360 S275JR</t>
  </si>
  <si>
    <t>1251121912843</t>
  </si>
  <si>
    <t>Thép cuộn cán nóng 2.70x1500 S275JR II</t>
  </si>
  <si>
    <t>1251121912836</t>
  </si>
  <si>
    <t>Thép cuộn cán nóng 2.70x1500 S275JR</t>
  </si>
  <si>
    <t>1251121912829</t>
  </si>
  <si>
    <t>Thép cuộn cán nóng 2.70x1250 SPHT3 II</t>
  </si>
  <si>
    <t>1251121912812</t>
  </si>
  <si>
    <t>Thép cuộn cán nóng 2.70x1250 SPHT3</t>
  </si>
  <si>
    <t>1251121912805</t>
  </si>
  <si>
    <t>Thép cuộn cán nóng 3.50x1450 SS400 II</t>
  </si>
  <si>
    <t>3.50×1450×C</t>
  </si>
  <si>
    <t>1251121912799</t>
  </si>
  <si>
    <t>Thép cuộn cán nóng 3.50x1450 SS400</t>
  </si>
  <si>
    <t>1251121912782</t>
  </si>
  <si>
    <t>Thép cuộn cán nóng 4.40x1290 SS400 II</t>
  </si>
  <si>
    <t>4.40×1290×C</t>
  </si>
  <si>
    <t>1251121912775</t>
  </si>
  <si>
    <t>Thép cuộn cán nóng 4.40x1290 SS400</t>
  </si>
  <si>
    <t>1251121912768</t>
  </si>
  <si>
    <t>Thép cuộn cán nóng 2.42x1360 SPHT3 II</t>
  </si>
  <si>
    <t>2.42×1360×C</t>
  </si>
  <si>
    <t>1251121912720</t>
  </si>
  <si>
    <t>Thép cuộn cán nóng 2.42x1360 SPHT3</t>
  </si>
  <si>
    <t>1251121912713</t>
  </si>
  <si>
    <t>Thép cuộn cán nóng 5.20x1360 SPHT3 II</t>
  </si>
  <si>
    <t>5.20×1360×C</t>
  </si>
  <si>
    <t>1251121912706</t>
  </si>
  <si>
    <t>Thép cuộn cán nóng 5.20x1360 SPHT3</t>
  </si>
  <si>
    <t>1251121912690</t>
  </si>
  <si>
    <t>Thép cuộn cán nóng 2.70x1250 SS400 II</t>
  </si>
  <si>
    <t>1251121912652</t>
  </si>
  <si>
    <t>Thép cuộn cán nóng 2.70x1250 SS400</t>
  </si>
  <si>
    <t>1251121912645</t>
  </si>
  <si>
    <t>Thép cuộn cán nóng 6.00x1350 BjPS II</t>
  </si>
  <si>
    <t>6.00×1350×C</t>
  </si>
  <si>
    <t>1251121912638</t>
  </si>
  <si>
    <t>Thép cuộn cán nóng 6.00x1350 BjPS</t>
  </si>
  <si>
    <t>1251121912621</t>
  </si>
  <si>
    <t>Thép cuộn cán nóng 4.00x1350 BjPS II</t>
  </si>
  <si>
    <t>4.00×1350×C</t>
  </si>
  <si>
    <t>1251121912614</t>
  </si>
  <si>
    <t>Thép cuộn cán nóng 4.00x1350 BjPS</t>
  </si>
  <si>
    <t>1251121912607</t>
  </si>
  <si>
    <t>Thép cuộn cán nóng 8.00x1190 BjPS II</t>
  </si>
  <si>
    <t>8.00×1190×C</t>
  </si>
  <si>
    <t>1251121912591</t>
  </si>
  <si>
    <t>Thép cuộn cán nóng 8.00x1190 BjPS</t>
  </si>
  <si>
    <t>1251121912584</t>
  </si>
  <si>
    <t>Thép cuộn cán nóng 7.00x1360 BjPS II</t>
  </si>
  <si>
    <t>7.00×1360×C</t>
  </si>
  <si>
    <t>1251121912577</t>
  </si>
  <si>
    <t>Thép cuộn cán nóng 7.00x1360 BjPS</t>
  </si>
  <si>
    <t>1251121912560</t>
  </si>
  <si>
    <t>Thép cuộn cán nóng 4.50x1035 BjPS II</t>
  </si>
  <si>
    <t>4.50×1035×C</t>
  </si>
  <si>
    <t>1251121912553</t>
  </si>
  <si>
    <t>Thép cuộn cán nóng 4.50x1035 BjPS</t>
  </si>
  <si>
    <t>1251121912546</t>
  </si>
  <si>
    <t>Thép cuộn cán nóng 4.70x1515 SPHC II</t>
  </si>
  <si>
    <t>4.70×1515×C</t>
  </si>
  <si>
    <t>1251121912539</t>
  </si>
  <si>
    <t>Thép cuộn cán nóng 4.70x1515 SPHC</t>
  </si>
  <si>
    <t>1251121912522</t>
  </si>
  <si>
    <t>Thép cuộn cán nóng 4.70x1219 SPHC II</t>
  </si>
  <si>
    <t>4.70×1219×C</t>
  </si>
  <si>
    <t>1251121912515</t>
  </si>
  <si>
    <t>Thép cuộn cán nóng 4.70x1219 SPHC</t>
  </si>
  <si>
    <t>1251121912508</t>
  </si>
  <si>
    <t>Thép cuộn cán nóng 2.49x1219 SAE1008 II</t>
  </si>
  <si>
    <t>2.49×1219×C</t>
  </si>
  <si>
    <t>1251121912492</t>
  </si>
  <si>
    <t>Thép cuộn cán nóng 2.49x1219 SAE1008</t>
  </si>
  <si>
    <t>1251121912485</t>
  </si>
  <si>
    <t>Thép cuộn cán nóng 1.79x1219 SAE1008 II</t>
  </si>
  <si>
    <t>1.79×1219×C</t>
  </si>
  <si>
    <t>1251121912478</t>
  </si>
  <si>
    <t>Thép cuộn cán nóng 1.79x1219 SAE1008</t>
  </si>
  <si>
    <t>1251121912461</t>
  </si>
  <si>
    <t>Thép cuộn cán nóng 3.05x1219 SAE1008 II</t>
  </si>
  <si>
    <t>1251121912454</t>
  </si>
  <si>
    <t>Thép cuộn cán nóng 3.05x1219 SAE1008</t>
  </si>
  <si>
    <t>1251121912447</t>
  </si>
  <si>
    <t>Thép cuộn cán nóng 2.20x1135 SAE1006 II</t>
  </si>
  <si>
    <t>2.20×1135×C</t>
  </si>
  <si>
    <t>1251121912430</t>
  </si>
  <si>
    <t>Thép cuộn cán nóng 2.20x1135 SAE1006</t>
  </si>
  <si>
    <t>1251121912423</t>
  </si>
  <si>
    <t>Thép cuộn cán nóng 2.05x1135 SAE1006 II</t>
  </si>
  <si>
    <t>2.05×1135×C</t>
  </si>
  <si>
    <t>1251121912416</t>
  </si>
  <si>
    <t>Thép cuộn cán nóng 2.05x1135 SAE1006</t>
  </si>
  <si>
    <t>1251121912409</t>
  </si>
  <si>
    <t>Thép cuộn cán nóng 2.20x1225 SAE1006 II</t>
  </si>
  <si>
    <t>1251121912393</t>
  </si>
  <si>
    <t>Thép cuộn cán nóng 2.20x1225 SAE1006</t>
  </si>
  <si>
    <t>1251121912386</t>
  </si>
  <si>
    <t>Thép cuộn cán nóng 2.30x1210 SAE1006 II</t>
  </si>
  <si>
    <t>2.30×1210×C</t>
  </si>
  <si>
    <t>1251121912379</t>
  </si>
  <si>
    <t>Thép cuộn cán nóng 2.30x1210 SAE1006</t>
  </si>
  <si>
    <t>1251121912362</t>
  </si>
  <si>
    <t>Thép cuộn cán nóng 2.20x1210 SAE1006 II</t>
  </si>
  <si>
    <t>2.20×1210×C</t>
  </si>
  <si>
    <t>1251121912355</t>
  </si>
  <si>
    <t>Thép cuộn cán nóng 2.20x1210 SAE1006</t>
  </si>
  <si>
    <t>1251121912348</t>
  </si>
  <si>
    <t>Thép cuộn cán nóng 2.05x1210 SAE1006 II</t>
  </si>
  <si>
    <t>2.05×1210×C</t>
  </si>
  <si>
    <t>1251121912331</t>
  </si>
  <si>
    <t>Thép cuộn cán nóng 2.05x1210 SAE1006</t>
  </si>
  <si>
    <t>1251121912324</t>
  </si>
  <si>
    <t>Thép cuộn cán nóng 1.70x1225 SAE1006 II</t>
  </si>
  <si>
    <t>1.70×1225×C</t>
  </si>
  <si>
    <t>1251121912317</t>
  </si>
  <si>
    <t>Thép cuộn cán nóng 1.70x1225 SAE1006</t>
  </si>
  <si>
    <t>1251121912300</t>
  </si>
  <si>
    <t>Thép cuộn cán nóng 3.45x1180 SAE1006 II</t>
  </si>
  <si>
    <t>3.45×1180×C</t>
  </si>
  <si>
    <t>1251121912294</t>
  </si>
  <si>
    <t>Thép cuộn cán nóng 3.45x1180 SAE1006</t>
  </si>
  <si>
    <t>1251121912287</t>
  </si>
  <si>
    <t>Thép cuộn cán nóng 5.50x1440 S275JR II</t>
  </si>
  <si>
    <t>5.50×1440×C</t>
  </si>
  <si>
    <t>1251121912270</t>
  </si>
  <si>
    <t>Thép cuộn cán nóng 5.50x1440 S275JR</t>
  </si>
  <si>
    <t>1251121912263</t>
  </si>
  <si>
    <t>Thép cuộn cán nóng 4.10x1440 S275JR II</t>
  </si>
  <si>
    <t>4.10×1440×C</t>
  </si>
  <si>
    <t>1251121912256</t>
  </si>
  <si>
    <t>Thép cuộn cán nóng 4.10x1440 S275JR</t>
  </si>
  <si>
    <t>1251121912249</t>
  </si>
  <si>
    <t>Thép cuộn cán nóng 4.55x1435 S275JR II</t>
  </si>
  <si>
    <t>4.55×1435×C</t>
  </si>
  <si>
    <t>1251121912232</t>
  </si>
  <si>
    <t>Thép cuộn cán nóng 4.55x1435 S275JR</t>
  </si>
  <si>
    <t>1251121912225</t>
  </si>
  <si>
    <t>Thép cuộn cán nóng 3.65x1435 S275JR II</t>
  </si>
  <si>
    <t>3.65×1435×C</t>
  </si>
  <si>
    <t>1251121912218</t>
  </si>
  <si>
    <t>Thép cuộn cán nóng 3.65x1435 S275JR</t>
  </si>
  <si>
    <t>1251121912201</t>
  </si>
  <si>
    <t>Thép cuộn cán nóng 2.48x1340 S275JR II</t>
  </si>
  <si>
    <t>2.48×1340×C</t>
  </si>
  <si>
    <t>1251121912195</t>
  </si>
  <si>
    <t>Thép cuộn cán nóng 2.48x1340 S275JR</t>
  </si>
  <si>
    <t>1251121912188</t>
  </si>
  <si>
    <t>Thép cuộn cán nóng 11.60x1515 S275JR II</t>
  </si>
  <si>
    <t>11.60×1515×C</t>
  </si>
  <si>
    <t>1251121912171</t>
  </si>
  <si>
    <t>Thép cuộn cán nóng 11.60x1515 S275JR</t>
  </si>
  <si>
    <t>1251121912164</t>
  </si>
  <si>
    <t>Thép cuộn cán nóng 9.60x1515 S275JR II</t>
  </si>
  <si>
    <t>9.60×1515×C</t>
  </si>
  <si>
    <t>1251121912157</t>
  </si>
  <si>
    <t>Thép cuộn cán nóng 9.60x1515 S275JR</t>
  </si>
  <si>
    <t>1251121912140</t>
  </si>
  <si>
    <t>Thép cuộn cán nóng 5.65x1515 S275JR II</t>
  </si>
  <si>
    <t>5.65×1515×C</t>
  </si>
  <si>
    <t>1251121912133</t>
  </si>
  <si>
    <t>Thép cuộn cán nóng 5.65x1515 S275JR</t>
  </si>
  <si>
    <t>1251121912126</t>
  </si>
  <si>
    <t>Thép cuộn cán nóng 4.90x1515 S275JR II</t>
  </si>
  <si>
    <t>4.90×1515×C</t>
  </si>
  <si>
    <t>1251121912119</t>
  </si>
  <si>
    <t>Thép cuộn cán nóng 4.90x1515 S275JR</t>
  </si>
  <si>
    <t>1251121912102</t>
  </si>
  <si>
    <t>Thép cuộn cán nóng 4.70x1515 S275JR II</t>
  </si>
  <si>
    <t>1251121912096</t>
  </si>
  <si>
    <t>Thép cuộn cán nóng 4.70x1515 S275JR</t>
  </si>
  <si>
    <t>1251121912089</t>
  </si>
  <si>
    <t>Thép cuộn cán nóng 4.20x1515 S275JR II</t>
  </si>
  <si>
    <t>4.20×1515×C</t>
  </si>
  <si>
    <t>1251121912072</t>
  </si>
  <si>
    <t>Thép cuộn cán nóng 4.20x1515 S275JR</t>
  </si>
  <si>
    <t>1251121912065</t>
  </si>
  <si>
    <t>Thép cuộn cán nóng 3.90x1515 S275JR II</t>
  </si>
  <si>
    <t>3.90×1515×C</t>
  </si>
  <si>
    <t>1251121912058</t>
  </si>
  <si>
    <t>Thép cuộn cán nóng 3.90x1515 S275JR</t>
  </si>
  <si>
    <t>1251121912041</t>
  </si>
  <si>
    <t>Thép cuộn cán nóng 3.70x1515 S275JR II</t>
  </si>
  <si>
    <t>3.70×1515×C</t>
  </si>
  <si>
    <t>1251121912034</t>
  </si>
  <si>
    <t>Thép cuộn cán nóng 3.70x1515 S275JR</t>
  </si>
  <si>
    <t>1251121912027</t>
  </si>
  <si>
    <t>Thép cuộn cán nóng 2.95x1515 S275JR II</t>
  </si>
  <si>
    <t>2.95×1515×C</t>
  </si>
  <si>
    <t>1251121912010</t>
  </si>
  <si>
    <t>Thép cuộn cán nóng 2.95x1515 S275JR</t>
  </si>
  <si>
    <t>1251121912003</t>
  </si>
  <si>
    <t>Thép cuộn cán nóng 11.60x1210 S275JR II</t>
  </si>
  <si>
    <t>11.60×1210×C</t>
  </si>
  <si>
    <t>1251121911990</t>
  </si>
  <si>
    <t>Thép cuộn cán nóng 11.60x1210 S275JR</t>
  </si>
  <si>
    <t>1251121911983</t>
  </si>
  <si>
    <t>Thép cuộn cán nóng 9.75x1210 S275JR II</t>
  </si>
  <si>
    <t>9.75×1210×C</t>
  </si>
  <si>
    <t>1251121911976</t>
  </si>
  <si>
    <t>Thép cuộn cán nóng 9.75x1210 S275JR</t>
  </si>
  <si>
    <t>1251121911969</t>
  </si>
  <si>
    <t>Thép cuộn cán nóng 9.60x1210 S275JR II</t>
  </si>
  <si>
    <t>9.60×1210×C</t>
  </si>
  <si>
    <t>1251121911952</t>
  </si>
  <si>
    <t>Thép cuộn cán nóng 9.60x1210 S275JR</t>
  </si>
  <si>
    <t>1251121911945</t>
  </si>
  <si>
    <t>Thép cuộn cán nóng 8.80x1210 S275JR II</t>
  </si>
  <si>
    <t>8.80×1210×C</t>
  </si>
  <si>
    <t>1251121911938</t>
  </si>
  <si>
    <t>Thép cuộn cán nóng 8.80x1210 S275JR</t>
  </si>
  <si>
    <t>1251121911921</t>
  </si>
  <si>
    <t>Thép cuộn cán nóng 8.60x1210 S275JR II</t>
  </si>
  <si>
    <t>8.60×1210×C</t>
  </si>
  <si>
    <t>1251121911914</t>
  </si>
  <si>
    <t>Thép cuộn cán nóng 8.60x1210 S275JR</t>
  </si>
  <si>
    <t>1251121911907</t>
  </si>
  <si>
    <t>Thép cuộn cán nóng 5.65x1210 S275JR II</t>
  </si>
  <si>
    <t>5.65×1210×C</t>
  </si>
  <si>
    <t>1251121911891</t>
  </si>
  <si>
    <t>Thép cuộn cán nóng 5.65x1210 S275JR</t>
  </si>
  <si>
    <t>1251121911884</t>
  </si>
  <si>
    <t>Thép cuộn cán nóng 2.75x1210 S275JR II</t>
  </si>
  <si>
    <t>2.75×1210×C</t>
  </si>
  <si>
    <t>1251121911754</t>
  </si>
  <si>
    <t>Thép cuộn cán nóng 2.75x1210 S275JR</t>
  </si>
  <si>
    <t>1251121911747</t>
  </si>
  <si>
    <t>Thép cuộn cán nóng 2.25x1210 S275JR II</t>
  </si>
  <si>
    <t>1251121911730</t>
  </si>
  <si>
    <t>Thép cuộn cán nóng 2.25x1210 S275JR</t>
  </si>
  <si>
    <t>1251121911723</t>
  </si>
  <si>
    <t>Thép cuộn cán nóng 2.00x1210 S275JR II</t>
  </si>
  <si>
    <t>1251121911716</t>
  </si>
  <si>
    <t>Thép cuộn cán nóng 2.00x1210 S275JR</t>
  </si>
  <si>
    <t>1251121911709</t>
  </si>
  <si>
    <t>Thép cuộn cán nóng 6.30x1200 S275JR</t>
  </si>
  <si>
    <t>1251121911624</t>
  </si>
  <si>
    <t>Thép cuộn cán nóng 1.65x1000 S235JR II</t>
  </si>
  <si>
    <t>1.65×1000×C</t>
  </si>
  <si>
    <t>1251121911587</t>
  </si>
  <si>
    <t>Thép cuộn cán nóng 1.65x1000 S235JR</t>
  </si>
  <si>
    <t>1251121911570</t>
  </si>
  <si>
    <t>Thép cuộn cán nóng 2.45x1219 SPHT3 II</t>
  </si>
  <si>
    <t>1251121911563</t>
  </si>
  <si>
    <t>Thép cuộn cán nóng 2.45x1219 SPHT3</t>
  </si>
  <si>
    <t>1251121911556</t>
  </si>
  <si>
    <t>Thép cuộn cán nóng 5.55x1500 SPHT3 II</t>
  </si>
  <si>
    <t>5.55×1500×C</t>
  </si>
  <si>
    <t>1251121911549</t>
  </si>
  <si>
    <t>Thép cuộn cán nóng 5.55x1500 SPHT3</t>
  </si>
  <si>
    <t>1251121911532</t>
  </si>
  <si>
    <t>Thép cuộn cán nóng 5.25x1355 SPHT3 II</t>
  </si>
  <si>
    <t>5.25×1355×C</t>
  </si>
  <si>
    <t>1251121911525</t>
  </si>
  <si>
    <t>Thép cuộn cán nóng 5.25x1355 SPHT3</t>
  </si>
  <si>
    <t>1251121911518</t>
  </si>
  <si>
    <t>Thép cuộn cán nóng 4.45x1500 SPHT3 II</t>
  </si>
  <si>
    <t>4.45×1500×C</t>
  </si>
  <si>
    <t>1251121911501</t>
  </si>
  <si>
    <t>Thép cuộn cán nóng 4.45x1500 SPHT3</t>
  </si>
  <si>
    <t>1251121911495</t>
  </si>
  <si>
    <t>Thép cuộn cán nóng 4.05x1500 SPHT3 II</t>
  </si>
  <si>
    <t>1251121911488</t>
  </si>
  <si>
    <t>Thép cuộn cán nóng 4.05x1500 SPHT3</t>
  </si>
  <si>
    <t>1251121911471</t>
  </si>
  <si>
    <t>Thép cuộn cán nóng 3.90x1500 SPHT3 II</t>
  </si>
  <si>
    <t>1251121911464</t>
  </si>
  <si>
    <t>Thép cuộn cán nóng 3.90x1500 SPHT3</t>
  </si>
  <si>
    <t>1251121911457</t>
  </si>
  <si>
    <t>Thép cuộn cán nóng 3.55x1500 SPHT3 II</t>
  </si>
  <si>
    <t>1251121911440</t>
  </si>
  <si>
    <t>Thép cuộn cán nóng 3.55x1500 SPHT3</t>
  </si>
  <si>
    <t>1251121911433</t>
  </si>
  <si>
    <t>Thép cuộn cán nóng 3.00x1355 SPHT3 II</t>
  </si>
  <si>
    <t>3.00×1355×C</t>
  </si>
  <si>
    <t>1251121911426</t>
  </si>
  <si>
    <t>Thép cuộn cán nóng 3.00x1355 SPHT3</t>
  </si>
  <si>
    <t>1251121911419</t>
  </si>
  <si>
    <t>Thép cuộn cán nóng 2.75x1219 SPHT3 II</t>
  </si>
  <si>
    <t>1251121911402</t>
  </si>
  <si>
    <t>Thép cuộn cán nóng 2.75x1219 SPHT3</t>
  </si>
  <si>
    <t>1251121911396</t>
  </si>
  <si>
    <t>Thép cuộn cán nóng 2.60x1260 SPHT3 II</t>
  </si>
  <si>
    <t>2.60×1260×C</t>
  </si>
  <si>
    <t>1251121911389</t>
  </si>
  <si>
    <t>Thép cuộn cán nóng 2.60x1260 SPHT3</t>
  </si>
  <si>
    <t>1251121911372</t>
  </si>
  <si>
    <t>Thép cuộn cán nóng 2.30x1219 SPHT3 II</t>
  </si>
  <si>
    <t>1251121911365</t>
  </si>
  <si>
    <t>Thép cuộn cán nóng 2.30x1219 SPHT3</t>
  </si>
  <si>
    <t>1251121911358</t>
  </si>
  <si>
    <t>Thép cuộn cán nóng 2.15x1219 SPHT3 II</t>
  </si>
  <si>
    <t>1251121911341</t>
  </si>
  <si>
    <t>Thép cuộn cán nóng 2.15x1219 SPHT3</t>
  </si>
  <si>
    <t>1251121911334</t>
  </si>
  <si>
    <t>Thép cuộn cán nóng 2.75x1219 SPHC II</t>
  </si>
  <si>
    <t>1251121911327</t>
  </si>
  <si>
    <t>Thép cuộn cán nóng 2.75x1219 SPHC</t>
  </si>
  <si>
    <t>1251121911310</t>
  </si>
  <si>
    <t>Thép cuộn cán nóng 7.85x1520 S275JR II</t>
  </si>
  <si>
    <t>7.85×1520×C</t>
  </si>
  <si>
    <t>1251121911303</t>
  </si>
  <si>
    <t>Thép cuộn cán nóng 7.85x1520 S275JR</t>
  </si>
  <si>
    <t>1251121911297</t>
  </si>
  <si>
    <t>Thép cuộn cán nóng 4.85x1520 S275JR II</t>
  </si>
  <si>
    <t>4.85×1520×C</t>
  </si>
  <si>
    <t>1251121911280</t>
  </si>
  <si>
    <t>Thép cuộn cán nóng 4.85x1520 S275JR</t>
  </si>
  <si>
    <t>1251121911273</t>
  </si>
  <si>
    <t>Thép cuộn cán nóng 4.30x1210 S275JR II</t>
  </si>
  <si>
    <t>4.30×1210×C</t>
  </si>
  <si>
    <t>1251121911266</t>
  </si>
  <si>
    <t>Thép cuộn cán nóng 4.30x1210 S275JR</t>
  </si>
  <si>
    <t>1251121911259</t>
  </si>
  <si>
    <t>Thép cuộn cán nóng 5.95x1520 S275JR II</t>
  </si>
  <si>
    <t>5.95×1520×C</t>
  </si>
  <si>
    <t>1251121911242</t>
  </si>
  <si>
    <t>Thép cuộn cán nóng 5.95x1520 S275JR</t>
  </si>
  <si>
    <t>1251121911235</t>
  </si>
  <si>
    <t>Thép cuộn cán nóng 4.95x1520 S275JR II</t>
  </si>
  <si>
    <t>4.95×1520×C</t>
  </si>
  <si>
    <t>1251121911228</t>
  </si>
  <si>
    <t>Thép cuộn cán nóng 4.95x1520 S275JR</t>
  </si>
  <si>
    <t>1251121911211</t>
  </si>
  <si>
    <t>Thép cuộn cán nóng 4.90x1219 S275JR II</t>
  </si>
  <si>
    <t>4.90×1219×C</t>
  </si>
  <si>
    <t>1251121911204</t>
  </si>
  <si>
    <t>Thép cuộn cán nóng 4.90x1219 S275JR</t>
  </si>
  <si>
    <t>1251121911198</t>
  </si>
  <si>
    <t>Thép cuộn cán nóng 4.30x1215 S275JR II</t>
  </si>
  <si>
    <t>4.30×1215×C</t>
  </si>
  <si>
    <t>1251121911181</t>
  </si>
  <si>
    <t>Thép cuộn cán nóng 4.30x1215 S275JR</t>
  </si>
  <si>
    <t>1251121911174</t>
  </si>
  <si>
    <t>Thép cuộn cán nóng 3.80x1215 S275JR II</t>
  </si>
  <si>
    <t>3.80×1215×C</t>
  </si>
  <si>
    <t>1251121911167</t>
  </si>
  <si>
    <t>Thép cuộn cán nóng 3.80x1215 S275JR</t>
  </si>
  <si>
    <t>1251121911150</t>
  </si>
  <si>
    <t>Thép cuộn cán nóng 11.50x1219 S275JR II</t>
  </si>
  <si>
    <t>11.50×1219×C</t>
  </si>
  <si>
    <t>1251121911143</t>
  </si>
  <si>
    <t>Thép cuộn cán nóng 11.50x1219 S275JR</t>
  </si>
  <si>
    <t>1251121911136</t>
  </si>
  <si>
    <t>Thép cuộn cán nóng 7.50x1219 S275JR II</t>
  </si>
  <si>
    <t>7.50×1219×C</t>
  </si>
  <si>
    <t>1251121911129</t>
  </si>
  <si>
    <t>Thép cuộn cán nóng 7.50x1219 S275JR</t>
  </si>
  <si>
    <t>1251121911112</t>
  </si>
  <si>
    <t>Thép cuộn cán nóng 11.85x1520 S275JR II</t>
  </si>
  <si>
    <t>11.85×1520×C</t>
  </si>
  <si>
    <t>1251121911105</t>
  </si>
  <si>
    <t>Thép cuộn cán nóng 11.85x1520 S275JR</t>
  </si>
  <si>
    <t>1251121911099</t>
  </si>
  <si>
    <t>Thép cuộn cán nóng 9.85x1520 S275JR II</t>
  </si>
  <si>
    <t>9.85×1520×C</t>
  </si>
  <si>
    <t>1251121911082</t>
  </si>
  <si>
    <t>Thép cuộn cán nóng 9.85x1520 S275JR</t>
  </si>
  <si>
    <t>1251121911075</t>
  </si>
  <si>
    <t>Thép cuộn cán nóng 9.85x1219 S275JR II</t>
  </si>
  <si>
    <t>9.85×1219×C</t>
  </si>
  <si>
    <t>1251121911068</t>
  </si>
  <si>
    <t>Thép cuộn cán nóng 9.85x1219 S275JR</t>
  </si>
  <si>
    <t>1251121911051</t>
  </si>
  <si>
    <t>Thép cuộn cán nóng 11.85x1219 S275JR II</t>
  </si>
  <si>
    <t>11.85×1219×C</t>
  </si>
  <si>
    <t>1251121911044</t>
  </si>
  <si>
    <t>Thép cuộn cán nóng 11.85x1219 S275JR</t>
  </si>
  <si>
    <t>1251121911037</t>
  </si>
  <si>
    <t>Thép cuộn cán nóng 5.75x1215 S275JR II</t>
  </si>
  <si>
    <t>5.75×1215×C</t>
  </si>
  <si>
    <t>1251121911020</t>
  </si>
  <si>
    <t>Thép cuộn cán nóng 5.75x1215 S275JR</t>
  </si>
  <si>
    <t>1251121911013</t>
  </si>
  <si>
    <t>Thép cuộn cán nóng 2.26x1215 SS400 II</t>
  </si>
  <si>
    <t>2.26×1215×C</t>
  </si>
  <si>
    <t>1251121911006</t>
  </si>
  <si>
    <t>Thép cuộn cán nóng 2.26x1215 SS400</t>
  </si>
  <si>
    <t>1251121910993</t>
  </si>
  <si>
    <t>Thép cuộn cán nóng 4.35x1318 SS400 II</t>
  </si>
  <si>
    <t>4.35×1318×C</t>
  </si>
  <si>
    <t>1251121910986</t>
  </si>
  <si>
    <t>Thép cuộn cán nóng 4.35x1318 SS400</t>
  </si>
  <si>
    <t>1251121910979</t>
  </si>
  <si>
    <t>Thép cuộn cán nóng 5.40x1380 SS400 II</t>
  </si>
  <si>
    <t>5.40×1380×C</t>
  </si>
  <si>
    <t>1251121910962</t>
  </si>
  <si>
    <t>Thép cuộn cán nóng 5.40x1380 SS400</t>
  </si>
  <si>
    <t>1251121910955</t>
  </si>
  <si>
    <t>Thép cuộn cán nóng 3.90x1380 SS400 II</t>
  </si>
  <si>
    <t>3.90×1380×C</t>
  </si>
  <si>
    <t>1251121910948</t>
  </si>
  <si>
    <t>Thép cuộn cán nóng 3.90x1380 SS400</t>
  </si>
  <si>
    <t>1251121910931</t>
  </si>
  <si>
    <t>Thép cuộn cán nóng 2.50x1240 SPHC II</t>
  </si>
  <si>
    <t>2.50×1240×C</t>
  </si>
  <si>
    <t>1251121910924</t>
  </si>
  <si>
    <t>Thép cuộn cán nóng 2.50x1240 SPHC</t>
  </si>
  <si>
    <t>1251121910917</t>
  </si>
  <si>
    <t>Thép cuộn cán nóng 3.95x1260 SAE1017 II</t>
  </si>
  <si>
    <t>3.95×1260×C</t>
  </si>
  <si>
    <t>1251121910900</t>
  </si>
  <si>
    <t>Thép cuộn cán nóng 3.95x1260 SAE1017</t>
  </si>
  <si>
    <t>1251121910894</t>
  </si>
  <si>
    <t>Thép cuộn cán nóng 3.45x1260 SAE1017 II</t>
  </si>
  <si>
    <t>3.45×1260×C</t>
  </si>
  <si>
    <t>1251121910887</t>
  </si>
  <si>
    <t>Thép cuộn cán nóng 3.45x1260 SAE1017</t>
  </si>
  <si>
    <t>1251121910870</t>
  </si>
  <si>
    <t>Thép cuộn cán nóng 5.20x1480 SS400 II</t>
  </si>
  <si>
    <t>5.20×1480×C</t>
  </si>
  <si>
    <t>1251121910856</t>
  </si>
  <si>
    <t>Thép cuộn cán nóng 5.20x1480 SS400</t>
  </si>
  <si>
    <t>1251121910849</t>
  </si>
  <si>
    <t>Thép cuộn cán nóng 5.80x1380 SS400 II</t>
  </si>
  <si>
    <t>5.80×1380×C</t>
  </si>
  <si>
    <t>1251121910832</t>
  </si>
  <si>
    <t>Thép cuộn cán nóng 5.80x1380 SS400</t>
  </si>
  <si>
    <t>1251121910825</t>
  </si>
  <si>
    <t>Thép cuộn cán nóng 3.50x1200 SAE1006 II</t>
  </si>
  <si>
    <t>1251121910757</t>
  </si>
  <si>
    <t>Thép cuộn cán nóng 3.50x1200 SAE1006</t>
  </si>
  <si>
    <t>1251121910740</t>
  </si>
  <si>
    <t>Thép cuộn cán nóng 2.50x1035 SAE1006 II</t>
  </si>
  <si>
    <t>2.50×1035×C</t>
  </si>
  <si>
    <t>1251121910733</t>
  </si>
  <si>
    <t>Thép cuộn cán nóng 2.50x1035 SAE1006</t>
  </si>
  <si>
    <t>1251121910726</t>
  </si>
  <si>
    <t>Thép cuộn cán nóng 2.30x1035 SAE1006 II</t>
  </si>
  <si>
    <t>2.30×1035×C</t>
  </si>
  <si>
    <t>1251121910719</t>
  </si>
  <si>
    <t>Thép cuộn cán nóng 2.30x1035 SAE1006</t>
  </si>
  <si>
    <t>1251121910702</t>
  </si>
  <si>
    <t>Thép cuộn cán nóng 3.50x1269 SAE1006 II</t>
  </si>
  <si>
    <t>3.50×1269×C</t>
  </si>
  <si>
    <t>1251121910696</t>
  </si>
  <si>
    <t>Thép cuộn cán nóng 3.50x1269 SAE1006</t>
  </si>
  <si>
    <t>1251121910689</t>
  </si>
  <si>
    <t>Thép cuộn cán nóng 3.50x1239 SAE1006 II</t>
  </si>
  <si>
    <t>1251121910672</t>
  </si>
  <si>
    <t>Thép cuộn cán nóng 2.30x1239 SAE1006</t>
  </si>
  <si>
    <t>1251121910627</t>
  </si>
  <si>
    <t>Thép cuộn cán nóng 2.90x1260 SAE1006 II</t>
  </si>
  <si>
    <t>1251121910610</t>
  </si>
  <si>
    <t>Thép cuộn cán nóng 2.90x1260 SAE1006</t>
  </si>
  <si>
    <t>1251121910603</t>
  </si>
  <si>
    <t>Thép cuộn cán nóng 2.90x1230 SAE1006 II</t>
  </si>
  <si>
    <t>1251121910597</t>
  </si>
  <si>
    <t>Thép cuộn cán nóng 2.80x1200 SAE1006 II</t>
  </si>
  <si>
    <t>1251121910498</t>
  </si>
  <si>
    <t>Thép cuộn cán nóng 2.80x1200 SAE1006</t>
  </si>
  <si>
    <t>1251121910481</t>
  </si>
  <si>
    <t>Thép cuộn cán nóng 6.00x1295 SS400 II</t>
  </si>
  <si>
    <t>6.00×1295×C</t>
  </si>
  <si>
    <t>1251121910474</t>
  </si>
  <si>
    <t>Thép cuộn cán nóng 6.00x1295 SS400</t>
  </si>
  <si>
    <t>1251121910467</t>
  </si>
  <si>
    <t>Thép cuộn cán nóng 4.90x1300 SS400 II</t>
  </si>
  <si>
    <t>4.90×1300×C</t>
  </si>
  <si>
    <t>1251121910450</t>
  </si>
  <si>
    <t>Thép cuộn cán nóng 4.90x1300 SS400</t>
  </si>
  <si>
    <t>1251121910443</t>
  </si>
  <si>
    <t>Thép cuộn cán nóng 4.90x1370 SS400 II</t>
  </si>
  <si>
    <t>4.90×1370×C</t>
  </si>
  <si>
    <t>1251121910436</t>
  </si>
  <si>
    <t>Thép cuộn cán nóng 4.90x1370 SS400</t>
  </si>
  <si>
    <t>1251121910429</t>
  </si>
  <si>
    <t>Thép cuộn cán nóng 3.80x1370 SS400 II</t>
  </si>
  <si>
    <t>3.80×1370×C</t>
  </si>
  <si>
    <t>1251121910412</t>
  </si>
  <si>
    <t>Thép cuộn cán nóng 3.80x1370 SS400</t>
  </si>
  <si>
    <t>1251121910405</t>
  </si>
  <si>
    <t>Thép cuộn cán nóng 4.40x1210 SPHT1 II</t>
  </si>
  <si>
    <t>1251121910399</t>
  </si>
  <si>
    <t>Thép cuộn cán nóng 4.40x1210 SPHT1</t>
  </si>
  <si>
    <t>1251121910382</t>
  </si>
  <si>
    <t>Thép cuộn cán nóng 2.60x1240 SPHC II</t>
  </si>
  <si>
    <t>2.60×1240×C</t>
  </si>
  <si>
    <t>1251121910375</t>
  </si>
  <si>
    <t>Thép cuộn cán nóng 2.60x1240 SPHC</t>
  </si>
  <si>
    <t>1251121910368</t>
  </si>
  <si>
    <t>Thép cuộn cán nóng 2.42x1360 SPHC II</t>
  </si>
  <si>
    <t>1251121910351</t>
  </si>
  <si>
    <t>Thép cuộn cán nóng 2.42x1360 SPHC</t>
  </si>
  <si>
    <t>1251121910344</t>
  </si>
  <si>
    <t>Thép cuộn cán nóng 2.10x1240 SPHC II</t>
  </si>
  <si>
    <t>2.10×1240×C</t>
  </si>
  <si>
    <t>1251121910337</t>
  </si>
  <si>
    <t>Thép cuộn cán nóng 2.10x1240 SPHC</t>
  </si>
  <si>
    <t>1251121910320</t>
  </si>
  <si>
    <t>Thép cuộn cán nóng 4.70x1520 SPHC II</t>
  </si>
  <si>
    <t>1251121910313</t>
  </si>
  <si>
    <t>Thép cuộn cán nóng 4.70x1520 SPHC</t>
  </si>
  <si>
    <t>1251121910306</t>
  </si>
  <si>
    <t>Thép cuộn cán nóng 5.90x1219 SPHC II</t>
  </si>
  <si>
    <t>1251121910290</t>
  </si>
  <si>
    <t>Thép cuộn cán nóng 5.90x1219 SPHC</t>
  </si>
  <si>
    <t>1251121910283</t>
  </si>
  <si>
    <t>Thép cuộn cán nóng 8.45x1210 SPHT3 II</t>
  </si>
  <si>
    <t>8.45×1210×C</t>
  </si>
  <si>
    <t>1251121910276</t>
  </si>
  <si>
    <t>Thép cuộn cán nóng 8.45x1210 SPHT3</t>
  </si>
  <si>
    <t>1251121910269</t>
  </si>
  <si>
    <t>Thép cuộn cán nóng 7.35x1520 SPHT3 II</t>
  </si>
  <si>
    <t>7.35×1520×C</t>
  </si>
  <si>
    <t>1251121910252</t>
  </si>
  <si>
    <t>Thép cuộn cán nóng 7.35x1520 SPHT3</t>
  </si>
  <si>
    <t>1251121910245</t>
  </si>
  <si>
    <t>Thép cuộn cán nóng 5.75x1520 SPHT3 II</t>
  </si>
  <si>
    <t>1251121910238</t>
  </si>
  <si>
    <t>Thép cuộn cán nóng 5.75x1520 SPHT3</t>
  </si>
  <si>
    <t>1251121910221</t>
  </si>
  <si>
    <t>Thép cuộn cán nóng 4.35x1520 SPHT3 II</t>
  </si>
  <si>
    <t>4.35×1520×C</t>
  </si>
  <si>
    <t>1251121910214</t>
  </si>
  <si>
    <t>Thép cuộn cán nóng 4.35x1520 SPHT3</t>
  </si>
  <si>
    <t>1251121910207</t>
  </si>
  <si>
    <t>Thép cuộn cán nóng 3.75x1210 SPHT3 II</t>
  </si>
  <si>
    <t>3.75×1210×C</t>
  </si>
  <si>
    <t>1251121910191</t>
  </si>
  <si>
    <t>Thép cuộn cán nóng 3.75x1210 SPHT3</t>
  </si>
  <si>
    <t>1251121910184</t>
  </si>
  <si>
    <t>Thép cuộn cán nóng 3.75x1520 SPHT3 II</t>
  </si>
  <si>
    <t>1251121910177</t>
  </si>
  <si>
    <t>Thép cuộn cán nóng 3.75x1520 SPHT3</t>
  </si>
  <si>
    <t>1251121910160</t>
  </si>
  <si>
    <t>Thép cuộn cán nóng 2.75x1210 SPHT3 II</t>
  </si>
  <si>
    <t>1251121910153</t>
  </si>
  <si>
    <t>Thép cuộn cán nóng 2.75x1210 SPHT3</t>
  </si>
  <si>
    <t>1251121910146</t>
  </si>
  <si>
    <t>Thép cuộn cán nóng 2.45x1210 SPHT3 II</t>
  </si>
  <si>
    <t>1251121910139</t>
  </si>
  <si>
    <t>Thép cuộn cán nóng 2.45x1210 SPHT3</t>
  </si>
  <si>
    <t>1251121910122</t>
  </si>
  <si>
    <t>Thép cuộn cán nóng 3.30x1219 S275JR II</t>
  </si>
  <si>
    <t>1251121910115</t>
  </si>
  <si>
    <t>Thép cuộn cán nóng 3.30x1219 S275JR</t>
  </si>
  <si>
    <t>1251121910108</t>
  </si>
  <si>
    <t>Thép cuộn cán nóng 2.35x1219 S275JR II</t>
  </si>
  <si>
    <t>2.35×1219×C</t>
  </si>
  <si>
    <t>1251121910092</t>
  </si>
  <si>
    <t>Thép cuộn cán nóng 2.35x1219 S275JR</t>
  </si>
  <si>
    <t>1251121910085</t>
  </si>
  <si>
    <t>Thép cuộn cán nóng 9.70x1215 S275JR II</t>
  </si>
  <si>
    <t>9.70×1215×C</t>
  </si>
  <si>
    <t>1251121910078</t>
  </si>
  <si>
    <t>Thép cuộn cán nóng 9.70x1215 S275JR</t>
  </si>
  <si>
    <t>1251121910061</t>
  </si>
  <si>
    <t>Thép cuộn cán nóng 8.50x1274 S275JR II</t>
  </si>
  <si>
    <t>8.50×1274×C</t>
  </si>
  <si>
    <t>1251121910054</t>
  </si>
  <si>
    <t>Thép cuộn cán nóng 8.50x1274 S275JR</t>
  </si>
  <si>
    <t>1251121910047</t>
  </si>
  <si>
    <t>Thép cuộn cán nóng 5.80x1400 S275JR II</t>
  </si>
  <si>
    <t>5.80×1400×C</t>
  </si>
  <si>
    <t>1251121910030</t>
  </si>
  <si>
    <t>Thép cuộn cán nóng 5.80x1400 S275JR</t>
  </si>
  <si>
    <t>1251121910023</t>
  </si>
  <si>
    <t>Thép cuộn cán nóng 2.50x1460 S275JR II</t>
  </si>
  <si>
    <t>2.50×1460×C</t>
  </si>
  <si>
    <t>1251121910016</t>
  </si>
  <si>
    <t>Thép cuộn cán nóng 2.50x1460 S275JR</t>
  </si>
  <si>
    <t>1251121910009</t>
  </si>
  <si>
    <t>Thép cuộn cán nóng 11.50x1515 S275JR II</t>
  </si>
  <si>
    <t>11.50×1515×C</t>
  </si>
  <si>
    <t>1251121909997</t>
  </si>
  <si>
    <t>Thép cuộn cán nóng 11.50x1515 S275JR</t>
  </si>
  <si>
    <t>1251121909980</t>
  </si>
  <si>
    <t>Thép cuộn cán nóng 11.45x1210 S275JR II</t>
  </si>
  <si>
    <t>11.45×1210×C</t>
  </si>
  <si>
    <t>1251121909973</t>
  </si>
  <si>
    <t>Thép cuộn cán nóng 11.45x1210 S275JR</t>
  </si>
  <si>
    <t>1251121909966</t>
  </si>
  <si>
    <t>Thép cuộn cán nóng 9.53x1210 S275JR II</t>
  </si>
  <si>
    <t>9.53×1210×C</t>
  </si>
  <si>
    <t>1251121909959</t>
  </si>
  <si>
    <t>Thép cuộn cán nóng 9.53x1210 S275JR</t>
  </si>
  <si>
    <t>1251121909942</t>
  </si>
  <si>
    <t>Thép cuộn cán nóng 9.50x1515 S275JR II</t>
  </si>
  <si>
    <t>9.50×1515×C</t>
  </si>
  <si>
    <t>1251121909935</t>
  </si>
  <si>
    <t>Thép cuộn cán nóng 9.50x1515 S275JR</t>
  </si>
  <si>
    <t>1251121909928</t>
  </si>
  <si>
    <t>Thép cuộn cán nóng 7.50x1210 S275JR II</t>
  </si>
  <si>
    <t>7.50×1210×C</t>
  </si>
  <si>
    <t>1251121909911</t>
  </si>
  <si>
    <t>Thép cuộn cán nóng 7.50x1210 S275JR</t>
  </si>
  <si>
    <t>1251121909904</t>
  </si>
  <si>
    <t>Thép cuộn cán nóng 5.20x1360 S275JR II</t>
  </si>
  <si>
    <t>1251121909898</t>
  </si>
  <si>
    <t>Thép cuộn cán nóng 5.20x1360 S275JR</t>
  </si>
  <si>
    <t>1251121909881</t>
  </si>
  <si>
    <t>Thép cuộn cán nóng 4.25x1210 S275JR II</t>
  </si>
  <si>
    <t>4.25×1210×C</t>
  </si>
  <si>
    <t>1251121909874</t>
  </si>
  <si>
    <t>Thép cuộn cán nóng 4.25x1210 S275JR</t>
  </si>
  <si>
    <t>1251121909867</t>
  </si>
  <si>
    <t>Thép cuộn cán nóng 3.55x1450 S275JR II</t>
  </si>
  <si>
    <t>3.55×1450×C</t>
  </si>
  <si>
    <t>1251121909850</t>
  </si>
  <si>
    <t>Thép cuộn cán nóng 3.55x1450 S275JR</t>
  </si>
  <si>
    <t>1251121909843</t>
  </si>
  <si>
    <t>Thép cuộn cán nóng 11.80x1515 S275JR II</t>
  </si>
  <si>
    <t>11.80×1515×C</t>
  </si>
  <si>
    <t>1251121909836</t>
  </si>
  <si>
    <t>Thép cuộn cán nóng 11.80x1515 S275JR</t>
  </si>
  <si>
    <t>1251121909829</t>
  </si>
  <si>
    <t>Thép cuộn cán nóng 9.80x1515 S275JR II</t>
  </si>
  <si>
    <t>1251121909812</t>
  </si>
  <si>
    <t>Thép cuộn cán nóng 9.80x1515 S275JR</t>
  </si>
  <si>
    <t>1251121909805</t>
  </si>
  <si>
    <t>Thép cuộn cán nóng 8.80x1515 S275JR II</t>
  </si>
  <si>
    <t>8.80×1515×C</t>
  </si>
  <si>
    <t>1251121909799</t>
  </si>
  <si>
    <t>Thép cuộn cán nóng 8.80x1515 S275JR</t>
  </si>
  <si>
    <t>1251121909782</t>
  </si>
  <si>
    <t>Thép cuộn cán nóng 5.80x1515 S275JR II</t>
  </si>
  <si>
    <t>5.80×1515×C</t>
  </si>
  <si>
    <t>1251121909775</t>
  </si>
  <si>
    <t>Thép cuộn cán nóng 5.80x1515 S275JR</t>
  </si>
  <si>
    <t>1251121909768</t>
  </si>
  <si>
    <t>Thép cuộn cán nóng 4.30x1085 S235JR II</t>
  </si>
  <si>
    <t>4.30×1085×C</t>
  </si>
  <si>
    <t>1251121909751</t>
  </si>
  <si>
    <t>Thép cuộn cán nóng 4.30x1085 S235JR</t>
  </si>
  <si>
    <t>1251121909744</t>
  </si>
  <si>
    <t>Thép cuộn cán nóng 3.75x1085 S235JR II</t>
  </si>
  <si>
    <t>3.75×1085×C</t>
  </si>
  <si>
    <t>1251121909737</t>
  </si>
  <si>
    <t>Thép cuộn cán nóng 3.75x1085 S235JR</t>
  </si>
  <si>
    <t>1251121909720</t>
  </si>
  <si>
    <t>Thép cuộn cán nóng 3.35x1270 S235JR II</t>
  </si>
  <si>
    <t>3.35×1270×C</t>
  </si>
  <si>
    <t>1251121909713</t>
  </si>
  <si>
    <t>Thép cuộn cán nóng 3.35x1270 S235JR</t>
  </si>
  <si>
    <t>1251121909706</t>
  </si>
  <si>
    <t>Thép cuộn cán nóng 2.95x1270 S235JR II</t>
  </si>
  <si>
    <t>2.95×1270×C</t>
  </si>
  <si>
    <t>1251121909690</t>
  </si>
  <si>
    <t>Thép cuộn cán nóng 2.95x1270 S235JR</t>
  </si>
  <si>
    <t>1251121909683</t>
  </si>
  <si>
    <t>Thép cuộn cán nóng 2.75x1410 S235JR II</t>
  </si>
  <si>
    <t>2.75×1410×C</t>
  </si>
  <si>
    <t>1251121909676</t>
  </si>
  <si>
    <t>Thép cuộn cán nóng 2.75x1410 S235JR</t>
  </si>
  <si>
    <t>1251121909669</t>
  </si>
  <si>
    <t>Thép cuộn cán nóng 5.60x1500 S235JR II</t>
  </si>
  <si>
    <t>5.60×1500×C</t>
  </si>
  <si>
    <t>1251121909652</t>
  </si>
  <si>
    <t>Thép cuộn cán nóng 5.60x1500 S235JR</t>
  </si>
  <si>
    <t>1251121909645</t>
  </si>
  <si>
    <t>Thép cuộn cán nóng 2.55x1500 S235JR II</t>
  </si>
  <si>
    <t>2.55×1500×C</t>
  </si>
  <si>
    <t>1251121909638</t>
  </si>
  <si>
    <t>Thép cuộn cán nóng 2.55x1500 S235JR</t>
  </si>
  <si>
    <t>1251121909621</t>
  </si>
  <si>
    <t>Thép cuộn cán nóng 2.25x1500 S235JR II</t>
  </si>
  <si>
    <t>2.25×1500×C</t>
  </si>
  <si>
    <t>1251121909614</t>
  </si>
  <si>
    <t>Thép cuộn cán nóng 2.25x1500 S235JR</t>
  </si>
  <si>
    <t>1251121909607</t>
  </si>
  <si>
    <t>Thép cuộn cán nóng 5.60x1400 S355JR II</t>
  </si>
  <si>
    <t>5.60×1400×C</t>
  </si>
  <si>
    <t>1251121909591</t>
  </si>
  <si>
    <t>Thép cuộn cán nóng 5.60x1400 S355JR</t>
  </si>
  <si>
    <t>1251121909584</t>
  </si>
  <si>
    <t>Thép cuộn cán nóng 4.60x1400 S355JR II</t>
  </si>
  <si>
    <t>4.60×1400×C</t>
  </si>
  <si>
    <t>1251121909577</t>
  </si>
  <si>
    <t>Thép cuộn cán nóng 4.60x1400 S355JR</t>
  </si>
  <si>
    <t>1251121909560</t>
  </si>
  <si>
    <t>Thép cuộn cán nóng 3.90x1400 S355JR II</t>
  </si>
  <si>
    <t>1251121909553</t>
  </si>
  <si>
    <t>Thép cuộn cán nóng 3.90x1400 S355JR</t>
  </si>
  <si>
    <t>1251121909546</t>
  </si>
  <si>
    <t>Thép cuộn cán nóng 2.70x1500 S355JR II</t>
  </si>
  <si>
    <t>1251121909539</t>
  </si>
  <si>
    <t>Thép cuộn cán nóng 2.70x1500 S355JR</t>
  </si>
  <si>
    <t>1251121909522</t>
  </si>
  <si>
    <t>Thép cuộn cán nóng 3.60x1500 S355JR II</t>
  </si>
  <si>
    <t>1251121909515</t>
  </si>
  <si>
    <t>Thép cuộn cán nóng 3.60x1500 S355JR</t>
  </si>
  <si>
    <t>1251121909508</t>
  </si>
  <si>
    <t>Thép cuộn cán nóng 5.50x1250 S355JR II</t>
  </si>
  <si>
    <t>1251121909492</t>
  </si>
  <si>
    <t>Thép cuộn cán nóng 5.50x1250 S355JR</t>
  </si>
  <si>
    <t>1251121909485</t>
  </si>
  <si>
    <t>Thép cuộn cán nóng 3.15x1219 SAE1008 II</t>
  </si>
  <si>
    <t>3.15×1219×C</t>
  </si>
  <si>
    <t>1251121464748</t>
  </si>
  <si>
    <t>Thép cuộn cán nóng 3.15x1219 SAE1008</t>
  </si>
  <si>
    <t>1251121464731</t>
  </si>
  <si>
    <t>Thép cuộn cán nóng 3.45x1219 SAE1008 II</t>
  </si>
  <si>
    <t>3.45×1219×C</t>
  </si>
  <si>
    <t>1251121464724</t>
  </si>
  <si>
    <t>Thép cuộn cán nóng 3.45x1219 SAE1008</t>
  </si>
  <si>
    <t>1251121464717</t>
  </si>
  <si>
    <t>Thép cuộn cán nóng 2.80x1234 SS400 II</t>
  </si>
  <si>
    <t>2.80×1234×C</t>
  </si>
  <si>
    <t>1251121464533</t>
  </si>
  <si>
    <t>Thép cuộn cán nóng 2.80x1234 SS400</t>
  </si>
  <si>
    <t>1251121464526</t>
  </si>
  <si>
    <t>Thép cuộn cán nóng 3.90x1234 SS400 II</t>
  </si>
  <si>
    <t>3.90×1234×C</t>
  </si>
  <si>
    <t>1251121464519</t>
  </si>
  <si>
    <t>Thép cuộn cán nóng 3.90x1234 SS400</t>
  </si>
  <si>
    <t>1251121464502</t>
  </si>
  <si>
    <t>Thép cuộn cán nóng 6.00x1230 SPHC II</t>
  </si>
  <si>
    <t>6.00×1230×C</t>
  </si>
  <si>
    <t>1251121464496</t>
  </si>
  <si>
    <t>Thép cuộn cán nóng 6.00x1230 SPHC</t>
  </si>
  <si>
    <t>1251121464489</t>
  </si>
  <si>
    <t>Thép cuộn cán nóng 4.00x1230 SPHC II</t>
  </si>
  <si>
    <t>4.00×1230×C</t>
  </si>
  <si>
    <t>1251121464472</t>
  </si>
  <si>
    <t>Thép cuộn cán nóng 4.00x1230 SPHC</t>
  </si>
  <si>
    <t>1251121464465</t>
  </si>
  <si>
    <t>Thép cuộn cán nóng 3.00x1230 SPHD II</t>
  </si>
  <si>
    <t>1251121464458</t>
  </si>
  <si>
    <t>Thép cuộn cán nóng 3.00x1230 SPHD</t>
  </si>
  <si>
    <t>1251121464441</t>
  </si>
  <si>
    <t>Thép cuộn cán nóng 2.00x1230 SPHD II</t>
  </si>
  <si>
    <t>1251121464434</t>
  </si>
  <si>
    <t>Thép cuộn cán nóng 2.00x1230 SPHD</t>
  </si>
  <si>
    <t>1251121464427</t>
  </si>
  <si>
    <t>Thép cuộn cán nóng 6.00x1219 SPHT4 II</t>
  </si>
  <si>
    <t>1251121464410</t>
  </si>
  <si>
    <t>Thép cuộn cán nóng 6.00x1219 SPHT4</t>
  </si>
  <si>
    <t>1251121464403</t>
  </si>
  <si>
    <t>Thép cuộn cán nóng 4.00x1219 SPHT3 II</t>
  </si>
  <si>
    <t>1251121464397</t>
  </si>
  <si>
    <t>Thép cuộn cán nóng 4.00x1219 SPHT3</t>
  </si>
  <si>
    <t>1251121464380</t>
  </si>
  <si>
    <t>Thép cuộn cán nóng 3.00x1219 SPHT2 II</t>
  </si>
  <si>
    <t>1251121464373</t>
  </si>
  <si>
    <t>Thép cuộn cán nóng 3.00x1219 SPHT2</t>
  </si>
  <si>
    <t>1251121464366</t>
  </si>
  <si>
    <t>Thép cuộn cán nóng 2.00x1230 SPHT1 II</t>
  </si>
  <si>
    <t>1251121464359</t>
  </si>
  <si>
    <t>Thép cuộn cán nóng 2.00x1230 SPHT1</t>
  </si>
  <si>
    <t>1251121464342</t>
  </si>
  <si>
    <t>Thép cuộn cán nóng 2.75x1230 SS400 II</t>
  </si>
  <si>
    <t>2.75×1230×C</t>
  </si>
  <si>
    <t>1251121464168</t>
  </si>
  <si>
    <t>Thép cuộn cán nóng 2.75x1230 SS400</t>
  </si>
  <si>
    <t>1251121464151</t>
  </si>
  <si>
    <t>Thép cuộn cán nóng 3.15x1230 SS400 II</t>
  </si>
  <si>
    <t>3.15×1230×C</t>
  </si>
  <si>
    <t>1251121464144</t>
  </si>
  <si>
    <t>Thép cuộn cán nóng 3.15x1230 SS400</t>
  </si>
  <si>
    <t>1251121464137</t>
  </si>
  <si>
    <t>Thép cuộn cán nóng 3.45x1230 SS400 II</t>
  </si>
  <si>
    <t>3.45×1230×C</t>
  </si>
  <si>
    <t>1251121464120</t>
  </si>
  <si>
    <t>Thép cuộn cán nóng 3.45x1230 SS400</t>
  </si>
  <si>
    <t>1251121464113</t>
  </si>
  <si>
    <t>Thép cuộn cán nóng 2.25x1054 SAE1008 II</t>
  </si>
  <si>
    <t>2.25×1054×C</t>
  </si>
  <si>
    <t>1251121464083</t>
  </si>
  <si>
    <t>Thép cuộn cán nóng 2.25x1054 SAE1008</t>
  </si>
  <si>
    <t>1251121464076</t>
  </si>
  <si>
    <t>Thép cuộn cán nóng 2.45x1054 SAE1008 II</t>
  </si>
  <si>
    <t>2.45×1054×C</t>
  </si>
  <si>
    <t>1251121464069</t>
  </si>
  <si>
    <t>Thép cuộn cán nóng 2.45x1054 SAE1008</t>
  </si>
  <si>
    <t>1251121464052</t>
  </si>
  <si>
    <t>Thép cuộn cán nóng 2.75x1054 SAE1008 II</t>
  </si>
  <si>
    <t>2.75×1054×C</t>
  </si>
  <si>
    <t>1251121464045</t>
  </si>
  <si>
    <t>Thép cuộn cán nóng 2.75x1054 SAE1008</t>
  </si>
  <si>
    <t>1251121464038</t>
  </si>
  <si>
    <t>Thép cuộn cán nóng 3.15x1054 SAE1008 II</t>
  </si>
  <si>
    <t>3.15×1054×C</t>
  </si>
  <si>
    <t>1251121464021</t>
  </si>
  <si>
    <t>Thép cuộn cán nóng 3.15x1054 SAE1008</t>
  </si>
  <si>
    <t>1251121464014</t>
  </si>
  <si>
    <t>Thép cuộn cán nóng 3.45x1054 SAE1008 II</t>
  </si>
  <si>
    <t>3.45×1054×C</t>
  </si>
  <si>
    <t>1251121464007</t>
  </si>
  <si>
    <t>Thép cuộn cán nóng 3.45x1054 SAE1008</t>
  </si>
  <si>
    <t>1251121463994</t>
  </si>
  <si>
    <t>Thép cuộn cán nóng 2.15x1054 SAE1008 II</t>
  </si>
  <si>
    <t>2.15×1054×C</t>
  </si>
  <si>
    <t>1251121463987</t>
  </si>
  <si>
    <t>Thép cuộn cán nóng 2.15x1054 SAE1008</t>
  </si>
  <si>
    <t>1251121463970</t>
  </si>
  <si>
    <t>Thép cuộn cán nóng 2.51x1219 SAE1008 II</t>
  </si>
  <si>
    <t>2.51×1219×C</t>
  </si>
  <si>
    <t>1251121463963</t>
  </si>
  <si>
    <t>Thép cuộn cán nóng 2.51x1219 SAE1008</t>
  </si>
  <si>
    <t>1251121463956</t>
  </si>
  <si>
    <t>Thép cuộn cán nóng 2.90x1219 SAE1008 II</t>
  </si>
  <si>
    <t>1251121463949</t>
  </si>
  <si>
    <t>Thép cuộn cán nóng 2.90x1219 SAE1008</t>
  </si>
  <si>
    <t>1251121463932</t>
  </si>
  <si>
    <t>Thép cuộn cán nóng 4.45x1219 ASTM A36 II</t>
  </si>
  <si>
    <t>4.45×1219×C</t>
  </si>
  <si>
    <t>1251121463925</t>
  </si>
  <si>
    <t>Thép cuộn cán nóng 4.45x1219 ASTM A36</t>
  </si>
  <si>
    <t>1251121463918</t>
  </si>
  <si>
    <t>Thép cuộn cán nóng 6.00x1219 ASTM A36 II</t>
  </si>
  <si>
    <t>1251121463901</t>
  </si>
  <si>
    <t>Thép cuộn cán nóng 6.00x1219 ASTM A36</t>
  </si>
  <si>
    <t>1251121463895</t>
  </si>
  <si>
    <t>Thép cuộn cán nóng 4.62x1219 ASTM A36 II</t>
  </si>
  <si>
    <t>4.62×1219×C</t>
  </si>
  <si>
    <t>1251121463888</t>
  </si>
  <si>
    <t>Thép cuộn cán nóng 4.62x1219 ASTM A36</t>
  </si>
  <si>
    <t>1251121463871</t>
  </si>
  <si>
    <t>Thép cuộn cán nóng 6.24x1219 ASTM A36 II</t>
  </si>
  <si>
    <t>6.24×1219×C</t>
  </si>
  <si>
    <t>1251121463864</t>
  </si>
  <si>
    <t>Thép cuộn cán nóng 6.24x1219 ASTM A36</t>
  </si>
  <si>
    <t>1251121463857</t>
  </si>
  <si>
    <t>Thép cuộn cán nóng 3.45x1264 SS400 II</t>
  </si>
  <si>
    <t>3.45×1264×C</t>
  </si>
  <si>
    <t>1251121463796</t>
  </si>
  <si>
    <t>Thép cuộn cán nóng 3.45x1264 SS400</t>
  </si>
  <si>
    <t>1251121463789</t>
  </si>
  <si>
    <t>Thép cuộn cán nóng 3.80x1500 SS 36 T1 II</t>
  </si>
  <si>
    <t>1251121463758</t>
  </si>
  <si>
    <t>Thép cuộn cán nóng 3.80x1500 SS 36 T1</t>
  </si>
  <si>
    <t>1251121463741</t>
  </si>
  <si>
    <t>Thép cuộn cán nóng 4.55x1250 SAE1006 II</t>
  </si>
  <si>
    <t>1251121463727</t>
  </si>
  <si>
    <t>Thép cuộn cán nóng 4.55x1250 SAE1006</t>
  </si>
  <si>
    <t>1251121463710</t>
  </si>
  <si>
    <t>Thép cuộn cán nóng 4.45x1219 SAE1006 II</t>
  </si>
  <si>
    <t>1251121463703</t>
  </si>
  <si>
    <t>Thép cuộn cán nóng 4.45x1219 SAE1006</t>
  </si>
  <si>
    <t>1251121463697</t>
  </si>
  <si>
    <t>Thép cuộn cán nóng 2.75x1236 SAE1006 II</t>
  </si>
  <si>
    <t>2.75×1236×C</t>
  </si>
  <si>
    <t>1251121463659</t>
  </si>
  <si>
    <t>Thép cuộn cán nóng 2.75x1236 SAE1006</t>
  </si>
  <si>
    <t>1251121463642</t>
  </si>
  <si>
    <t>Thép cuộn cán nóng 3.15x1236 SAE1006 II</t>
  </si>
  <si>
    <t>3.15×1236×C</t>
  </si>
  <si>
    <t>1251121463635</t>
  </si>
  <si>
    <t>Thép cuộn cán nóng 3.15x1236 SAE1006</t>
  </si>
  <si>
    <t>1251121463628</t>
  </si>
  <si>
    <t>Thép cuộn cán nóng 3.45x1236 SAE1006 II</t>
  </si>
  <si>
    <t>3.45×1236×C</t>
  </si>
  <si>
    <t>1251121463611</t>
  </si>
  <si>
    <t>Thép cuộn cán nóng 3.45x1236 SAE1006</t>
  </si>
  <si>
    <t>1251121463604</t>
  </si>
  <si>
    <t>Thép cuộn cán nóng 2.15x1264 SAE1006 II</t>
  </si>
  <si>
    <t>2.15×1264×C</t>
  </si>
  <si>
    <t>1251121463598</t>
  </si>
  <si>
    <t>Thép cuộn cán nóng 2.15x1264 SAE1006</t>
  </si>
  <si>
    <t>1251121463581</t>
  </si>
  <si>
    <t>Thép cuộn cán nóng 2.50x1235 SAE1006 II</t>
  </si>
  <si>
    <t>2.50×1235×C</t>
  </si>
  <si>
    <t>1251121463536</t>
  </si>
  <si>
    <t>Thép cuộn cán nóng 2.50x1235 SAE1006</t>
  </si>
  <si>
    <t>1251121463529</t>
  </si>
  <si>
    <t>Thép cuộn cán nóng 2.75x1235 SAE1006 II</t>
  </si>
  <si>
    <t>2.75×1235×C</t>
  </si>
  <si>
    <t>1251121463512</t>
  </si>
  <si>
    <t>Thép cuộn cán nóng 2.75x1235 SAE1006</t>
  </si>
  <si>
    <t>1251121463505</t>
  </si>
  <si>
    <t>Thép cuộn cán nóng 2.95x1235 SAE1006 II</t>
  </si>
  <si>
    <t>2.95×1235×C</t>
  </si>
  <si>
    <t>1251121463499</t>
  </si>
  <si>
    <t>Thép cuộn cán nóng 2.95x1235 SAE1006</t>
  </si>
  <si>
    <t>1251121463482</t>
  </si>
  <si>
    <t>Thép cuộn cán nóng 3.45x1235 SAE1006 II</t>
  </si>
  <si>
    <t>3.80×1235×C</t>
  </si>
  <si>
    <t>1251121463475</t>
  </si>
  <si>
    <t>Thép cuộn cán nóng 3.45x1235 SAE1006</t>
  </si>
  <si>
    <t>3.45×1235×C</t>
  </si>
  <si>
    <t>1251121463468</t>
  </si>
  <si>
    <t>Thép cuộn cán nóng 3.80x1235 SAE1006 II</t>
  </si>
  <si>
    <t>1251121463451</t>
  </si>
  <si>
    <t>Thép cuộn cán nóng 3.80x1235 SAE1006</t>
  </si>
  <si>
    <t>1251121463444</t>
  </si>
  <si>
    <t>Thép cuộn cán nóng 4.55x1219 SAE1006 II</t>
  </si>
  <si>
    <t>1251121463437</t>
  </si>
  <si>
    <t>Thép cuộn cán nóng 4.55x1219 SAE1006</t>
  </si>
  <si>
    <t>1251121463420</t>
  </si>
  <si>
    <t>Thép cuộn cán nóng 3.02x1219 SAE1006 II</t>
  </si>
  <si>
    <t>1251121463413</t>
  </si>
  <si>
    <t>Thép cuộn cán nóng 3.02x1219 SAE1006</t>
  </si>
  <si>
    <t>1251121463406</t>
  </si>
  <si>
    <t>Thép cuộn cán nóng 2.26x1219 SAE1006 II</t>
  </si>
  <si>
    <t>2.26×1219×C</t>
  </si>
  <si>
    <t>1251121463390</t>
  </si>
  <si>
    <t>Thép cuộn cán nóng 2.26x1219 SAE1006</t>
  </si>
  <si>
    <t>1251121463383</t>
  </si>
  <si>
    <t>Thép cuộn cán nóng 6.35x1219 SAE1006 II</t>
  </si>
  <si>
    <t>1251121463376</t>
  </si>
  <si>
    <t>Thép cuộn cán nóng 6.35x1219 SAE1006</t>
  </si>
  <si>
    <t>1251121463369</t>
  </si>
  <si>
    <t>Thép cuộn cán nóng 4.76x1219 SAE1006 II</t>
  </si>
  <si>
    <t>1251121463352</t>
  </si>
  <si>
    <t>Thép cuộn cán nóng 4.76x1219 SAE1006</t>
  </si>
  <si>
    <t>1251121463345</t>
  </si>
  <si>
    <t>Thép cuộn cán nóng 3.42x1219 SAE1006 II</t>
  </si>
  <si>
    <t>1251121463338</t>
  </si>
  <si>
    <t>Thép cuộn cán nóng 3.42x1219 SAE1006</t>
  </si>
  <si>
    <t>1251121463321</t>
  </si>
  <si>
    <t>Thép cuộn cán nóng 3.04x1219 SAE1006 II</t>
  </si>
  <si>
    <t>1251121463314</t>
  </si>
  <si>
    <t>Thép cuộn cán nóng 3.04x1219 SAE1006</t>
  </si>
  <si>
    <t>1251121463307</t>
  </si>
  <si>
    <t>Thép cuộn cán nóng 2.66x1219 SAE1006 II</t>
  </si>
  <si>
    <t>1251121463291</t>
  </si>
  <si>
    <t>Thép cuộn cán nóng 2.66x1219 SAE1006</t>
  </si>
  <si>
    <t>1251121463284</t>
  </si>
  <si>
    <t>Thép cuộn cán nóng 9.52x1219 SS400 II</t>
  </si>
  <si>
    <t>1251121463277</t>
  </si>
  <si>
    <t>Thép cuộn cán nóng 9.52x1219 SS400</t>
  </si>
  <si>
    <t>1251121463260</t>
  </si>
  <si>
    <t>Thép cuộn cán nóng 6.35x1219 SS400 II</t>
  </si>
  <si>
    <t>1251121463253</t>
  </si>
  <si>
    <t>Thép cuộn cán nóng 6.35x1219 SS400</t>
  </si>
  <si>
    <t>1251121463246</t>
  </si>
  <si>
    <t>Thép cuộn cán nóng 11.80x1219 SS400 II</t>
  </si>
  <si>
    <t>11.80×1219×C</t>
  </si>
  <si>
    <t>1251121463239</t>
  </si>
  <si>
    <t>Thép cuộn cán nóng 11.80x1219 SS400</t>
  </si>
  <si>
    <t>1251121463222</t>
  </si>
  <si>
    <t>Thép cuộn cán nóng 9.80x1219 SS400 II</t>
  </si>
  <si>
    <t>9.80×1219×C</t>
  </si>
  <si>
    <t>1251121463215</t>
  </si>
  <si>
    <t>Thép cuộn cán nóng 9.80x1219 SS400</t>
  </si>
  <si>
    <t>1251121463208</t>
  </si>
  <si>
    <t>Thép cuộn cán nóng 8.80x1219 SS400 II</t>
  </si>
  <si>
    <t>1251121463192</t>
  </si>
  <si>
    <t>Thép cuộn cán nóng 8.80x1219 SS400</t>
  </si>
  <si>
    <t>1251121463185</t>
  </si>
  <si>
    <t>Thép cuộn cán nóng 7.80x1219 SS400 II</t>
  </si>
  <si>
    <t>1251121463178</t>
  </si>
  <si>
    <t>Thép cuộn cán nóng 7.80x1219 SS400</t>
  </si>
  <si>
    <t>1251121463161</t>
  </si>
  <si>
    <t>Thép cuộn cán nóng 5.80x1219 SS400 II</t>
  </si>
  <si>
    <t>1251121463154</t>
  </si>
  <si>
    <t>Thép cuộn cán nóng 5.80x1219 SS400</t>
  </si>
  <si>
    <t>1251121463147</t>
  </si>
  <si>
    <t>Thép cuộn cán nóng 3.80x1219 SS400 II</t>
  </si>
  <si>
    <t>1251121463130</t>
  </si>
  <si>
    <t>Thép cuộn cán nóng 3.80x1219 SS400</t>
  </si>
  <si>
    <t>1251121463123</t>
  </si>
  <si>
    <t>Thép cuộn cán nóng 2.15x1230 SS 36 T1 II</t>
  </si>
  <si>
    <t>2.15×1230×C</t>
  </si>
  <si>
    <t>1251121463116</t>
  </si>
  <si>
    <t>Thép cuộn cán nóng 2.15x1230 SS 36 T1</t>
  </si>
  <si>
    <t>1251121463109</t>
  </si>
  <si>
    <t>Thép cuộn cán nóng 2.20x1230 SS 36 T1 II</t>
  </si>
  <si>
    <t>2.20×1230×C</t>
  </si>
  <si>
    <t>1251121463093</t>
  </si>
  <si>
    <t>Thép cuộn cán nóng 2.20x1230 SS 36 T1</t>
  </si>
  <si>
    <t>1251121463086</t>
  </si>
  <si>
    <t>Thép cuộn cán nóng 2.30x1230 SS 36 T1 II</t>
  </si>
  <si>
    <t>2.30×1230×C</t>
  </si>
  <si>
    <t>1251121463079</t>
  </si>
  <si>
    <t>Thép cuộn cán nóng 2.30x1230 SS 36 T1</t>
  </si>
  <si>
    <t>1251121463062</t>
  </si>
  <si>
    <t>Thép cuộn cán nóng 2.55x1230 SS 36 T1 II</t>
  </si>
  <si>
    <t>2.55×1230×C</t>
  </si>
  <si>
    <t>1251121463055</t>
  </si>
  <si>
    <t>Thép cuộn cán nóng 2.55x1230 SS 36 T1</t>
  </si>
  <si>
    <t>1251121463048</t>
  </si>
  <si>
    <t>Thép cuộn cán nóng 2.95x1230 SS 36 T1 II</t>
  </si>
  <si>
    <t>2.95×1230×C</t>
  </si>
  <si>
    <t>1251121463031</t>
  </si>
  <si>
    <t>Thép cuộn cán nóng 2.95x1230 SS 36 T1</t>
  </si>
  <si>
    <t>1251121463024</t>
  </si>
  <si>
    <t>Thép cuộn cán nóng 3.45x1230 SS 36 T1 II</t>
  </si>
  <si>
    <t>1251121463017</t>
  </si>
  <si>
    <t>Thép cuộn cán nóng 3.45x1230 SS 36 T1</t>
  </si>
  <si>
    <t>1251121463000</t>
  </si>
  <si>
    <t>Thép cuộn cán nóng 4.45x1230 SS 36 T1 II</t>
  </si>
  <si>
    <t>4.45×1230×C</t>
  </si>
  <si>
    <t>1251121462997</t>
  </si>
  <si>
    <t>Thép cuộn cán nóng 4.45x1230 SS 36 T1</t>
  </si>
  <si>
    <t>1251121462980</t>
  </si>
  <si>
    <t>Thép cuộn cán nóng 2.80x1219 SS 36 T1 II</t>
  </si>
  <si>
    <t>1251121462973</t>
  </si>
  <si>
    <t>Thép cuộn cán nóng 2.80x1219 SS 36 T1</t>
  </si>
  <si>
    <t>1251121462966</t>
  </si>
  <si>
    <t>Thép cuộn cán nóng 2.95x1219 SS 36 T1 II</t>
  </si>
  <si>
    <t>1251121462959</t>
  </si>
  <si>
    <t>Thép cuộn cán nóng 2.95x1219 SS 36 T1</t>
  </si>
  <si>
    <t>1251121462942</t>
  </si>
  <si>
    <t>Thép cuộn cán nóng 3.45x1219 SS 36 T1 II</t>
  </si>
  <si>
    <t>1251121462935</t>
  </si>
  <si>
    <t>Thép cuộn cán nóng 3.45x1219 SS 36 T1</t>
  </si>
  <si>
    <t>1251121462928</t>
  </si>
  <si>
    <t>Thép cuộn cán nóng 4.45x1219 SS 36 T1 II</t>
  </si>
  <si>
    <t>1251121462911</t>
  </si>
  <si>
    <t>Thép cuộn cán nóng 4.45x1219 SS 36 T1</t>
  </si>
  <si>
    <t>1251121462904</t>
  </si>
  <si>
    <t>Thép cuộn cán nóng 6.20x1219 SS 36 T1 II</t>
  </si>
  <si>
    <t>6.20×1219×C</t>
  </si>
  <si>
    <t>1251121462898</t>
  </si>
  <si>
    <t>Thép cuộn cán nóng 6.20x1219 SS 36 T1</t>
  </si>
  <si>
    <t>1251121462881</t>
  </si>
  <si>
    <t>Thép cuộn cán nóng 2.15x1250 SAE1006M II</t>
  </si>
  <si>
    <t>2.15×1250×C</t>
  </si>
  <si>
    <t>1251121462874</t>
  </si>
  <si>
    <t>Thép cuộn cán nóng 2.15x1250 SAE1006M</t>
  </si>
  <si>
    <t>1251121462867</t>
  </si>
  <si>
    <t>Thép cuộn cán nóng 4.55x1385 SS400 II</t>
  </si>
  <si>
    <t>4.55×1385×C</t>
  </si>
  <si>
    <t>1251121462768</t>
  </si>
  <si>
    <t>Thép cuộn cán nóng 4.55x1385 SS400</t>
  </si>
  <si>
    <t>1251121462751</t>
  </si>
  <si>
    <t>Thép cuộn cán nóng 4.40x1385 SS400 II</t>
  </si>
  <si>
    <t>4.40×1385×C</t>
  </si>
  <si>
    <t>1251121462744</t>
  </si>
  <si>
    <t>Thép cuộn cán nóng 4.40x1385 SS400</t>
  </si>
  <si>
    <t>1251121462737</t>
  </si>
  <si>
    <t>Thép cuộn cán nóng 4.30x1385 SS400 II</t>
  </si>
  <si>
    <t>4.30×1385×C</t>
  </si>
  <si>
    <t>1251121462720</t>
  </si>
  <si>
    <t>Thép cuộn cán nóng 4.30x1385 SS400</t>
  </si>
  <si>
    <t>1251121462713</t>
  </si>
  <si>
    <t>Thép cuộn cán nóng 3.85x1385 SS400 II</t>
  </si>
  <si>
    <t>3.85×1385×C</t>
  </si>
  <si>
    <t>1251121462706</t>
  </si>
  <si>
    <t>Thép cuộn cán nóng 3.85x1385 SS400</t>
  </si>
  <si>
    <t>1251121462690</t>
  </si>
  <si>
    <t>Thép cuộn cán nóng 3.80x1385 SS400 II</t>
  </si>
  <si>
    <t>3.80×1385×C</t>
  </si>
  <si>
    <t>1251121462683</t>
  </si>
  <si>
    <t>Thép cuộn cán nóng 3.80x1385 SS400</t>
  </si>
  <si>
    <t>1251121462676</t>
  </si>
  <si>
    <t>Thép cuộn cán nóng 4.35x1500 SS400 II</t>
  </si>
  <si>
    <t>4.35×1500×C</t>
  </si>
  <si>
    <t>1251121462669</t>
  </si>
  <si>
    <t>Thép cuộn cán nóng 4.35x1500 SS400</t>
  </si>
  <si>
    <t>1251121462652</t>
  </si>
  <si>
    <t>Thép cuộn cán nóng 3.20x1500 SS400 II</t>
  </si>
  <si>
    <t>1251121462645</t>
  </si>
  <si>
    <t>Thép cuộn cán nóng 3.20x1500 SS400</t>
  </si>
  <si>
    <t>1251121462638</t>
  </si>
  <si>
    <t>Thép cuộn cán nóng 2.60x1250 SS400 II</t>
  </si>
  <si>
    <t>1251121462621</t>
  </si>
  <si>
    <t>Thép cuộn cán nóng 2.60x1250 SS400</t>
  </si>
  <si>
    <t>1251121462614</t>
  </si>
  <si>
    <t>Thép cuộn cán nóng 3.90x1264 SS400 II</t>
  </si>
  <si>
    <t>3.90×1264×C</t>
  </si>
  <si>
    <t>1251121462607</t>
  </si>
  <si>
    <t>Thép cuộn cán nóng 3.90x1264 SS400</t>
  </si>
  <si>
    <t>1251121462591</t>
  </si>
  <si>
    <t>Thép cuộn cán nóng 3.00x1264 SS400 II</t>
  </si>
  <si>
    <t>3.00×1264×C</t>
  </si>
  <si>
    <t>1251121462584</t>
  </si>
  <si>
    <t>Thép cuộn cán nóng 3.00x1264 SS400</t>
  </si>
  <si>
    <t>1251121462577</t>
  </si>
  <si>
    <t>Thép cuộn cán nóng 3.20x1250 SS400 II</t>
  </si>
  <si>
    <t>1251121462560</t>
  </si>
  <si>
    <t>Thép cuộn cán nóng 3.20x1250 SS400</t>
  </si>
  <si>
    <t>1251121462553</t>
  </si>
  <si>
    <t>Thép cuộn cán nóng 3.45x1050 SAE1006 II</t>
  </si>
  <si>
    <t>3.45×1050×C</t>
  </si>
  <si>
    <t>1251121462546</t>
  </si>
  <si>
    <t>Thép cuộn cán nóng 3.45x1050 SAE1006</t>
  </si>
  <si>
    <t>1251121462539</t>
  </si>
  <si>
    <t>Thép cuộn cán nóng 3.15x1050 SAE1006 II</t>
  </si>
  <si>
    <t>3.15×1050×C</t>
  </si>
  <si>
    <t>1251121462522</t>
  </si>
  <si>
    <t>Thép cuộn cán nóng 3.15x1050 SAE1006</t>
  </si>
  <si>
    <t>1251121462515</t>
  </si>
  <si>
    <t>Thép cuộn cán nóng 2.90x1050 SAE1006 II</t>
  </si>
  <si>
    <t>2.90×1050×C</t>
  </si>
  <si>
    <t>1251121462508</t>
  </si>
  <si>
    <t>Thép cuộn cán nóng 2.90x1050 SAE1006</t>
  </si>
  <si>
    <t>1251121462492</t>
  </si>
  <si>
    <t>Thép cuộn cán nóng 2.75x1050 SAE1006 II</t>
  </si>
  <si>
    <t>2.75×1050×C</t>
  </si>
  <si>
    <t>1251121462485</t>
  </si>
  <si>
    <t>Thép cuộn cán nóng 2.75x1050 SAE1006</t>
  </si>
  <si>
    <t>1251121462478</t>
  </si>
  <si>
    <t>Thép cuộn cán nóng 2.45x1050 SAE1006 II</t>
  </si>
  <si>
    <t>2.45×1050×C</t>
  </si>
  <si>
    <t>1251121462461</t>
  </si>
  <si>
    <t>Thép cuộn cán nóng 2.45x1050 SAE1006</t>
  </si>
  <si>
    <t>1251121462454</t>
  </si>
  <si>
    <t>Thép cuộn cán nóng 3.45x1010 SAE1006 II</t>
  </si>
  <si>
    <t>3.45×1010×C</t>
  </si>
  <si>
    <t>1251121462447</t>
  </si>
  <si>
    <t>Thép cuộn cán nóng 3.45x1010 SAE1006</t>
  </si>
  <si>
    <t>1251121462430</t>
  </si>
  <si>
    <t>Thép cuộn cán nóng 3.15x1010 SAE1006 II</t>
  </si>
  <si>
    <t>3.15×1010×C</t>
  </si>
  <si>
    <t>1251121462423</t>
  </si>
  <si>
    <t>Thép cuộn cán nóng 3.15x1010 SAE1006</t>
  </si>
  <si>
    <t>1251121462416</t>
  </si>
  <si>
    <t>Thép cuộn cán nóng 2.90x1010 SAE1006 II</t>
  </si>
  <si>
    <t>2.90×1010×C</t>
  </si>
  <si>
    <t>1251121462409</t>
  </si>
  <si>
    <t>Thép cuộn cán nóng 2.90x1010 SAE1006</t>
  </si>
  <si>
    <t>1251121462393</t>
  </si>
  <si>
    <t>Thép cuộn cán nóng 2.75x1010 SAE1006 II</t>
  </si>
  <si>
    <t>2.75×1010×C</t>
  </si>
  <si>
    <t>1251121462386</t>
  </si>
  <si>
    <t>Thép cuộn cán nóng 2.75x1010 SAE1006</t>
  </si>
  <si>
    <t>1251121462379</t>
  </si>
  <si>
    <t>Thép cuộn cán nóng 2.45x1010 SAE1006 II</t>
  </si>
  <si>
    <t>2.45×1010×C</t>
  </si>
  <si>
    <t>1251121462362</t>
  </si>
  <si>
    <t>Thép cuộn cán nóng 2.45x1010 SAE1006</t>
  </si>
  <si>
    <t>1251121462355</t>
  </si>
  <si>
    <t>Thép cuộn cán nóng 2.35x1260 SAE1006 II</t>
  </si>
  <si>
    <t>2.35×1260×C</t>
  </si>
  <si>
    <t>1251121462348</t>
  </si>
  <si>
    <t>Thép cuộn cán nóng 2.35x1260 SAE1006</t>
  </si>
  <si>
    <t>1251121462331</t>
  </si>
  <si>
    <t>Thép cuộn cán nóng 2.10x1260 SAE1006 II</t>
  </si>
  <si>
    <t>1251121462324</t>
  </si>
  <si>
    <t>Thép cuộn cán nóng 2.10x1260 SAE1006</t>
  </si>
  <si>
    <t>1251121462317</t>
  </si>
  <si>
    <t>Thép cuộn cán nóng 2.35x1264 SAE1006 II</t>
  </si>
  <si>
    <t>2.35×1264×C</t>
  </si>
  <si>
    <t>1251121462300</t>
  </si>
  <si>
    <t>Thép cuộn cán nóng 2.35x1264 SAE1006</t>
  </si>
  <si>
    <t>1251121462294</t>
  </si>
  <si>
    <t>Thép cuộn cán nóng 2.30x1236 SAE1006 II</t>
  </si>
  <si>
    <t>2.30×1236×C</t>
  </si>
  <si>
    <t>1251121462287</t>
  </si>
  <si>
    <t>Thép cuộn cán nóng 2.30x1236 SAE1006</t>
  </si>
  <si>
    <t>1251121462270</t>
  </si>
  <si>
    <t>Thép cuộn cán nóng 2.75x1269 SAE1006 II</t>
  </si>
  <si>
    <t>2.75×1269×C</t>
  </si>
  <si>
    <t>1251121462065</t>
  </si>
  <si>
    <t>Thép cuộn cán nóng 2.75x1269 SAE1006</t>
  </si>
  <si>
    <t>1251121462058</t>
  </si>
  <si>
    <t>Thép cuộn cán nóng 3.15x1269 SAE1006 II</t>
  </si>
  <si>
    <t>3.15×1269×C</t>
  </si>
  <si>
    <t>1251121462041</t>
  </si>
  <si>
    <t>Thép cuộn cán nóng 3.15x1269 SAE1006</t>
  </si>
  <si>
    <t>1251121462034</t>
  </si>
  <si>
    <t>Thép cuộn cán nóng 3.45x1269 SAE1006 II</t>
  </si>
  <si>
    <t>3.45×1269×C</t>
  </si>
  <si>
    <t>1251121462027</t>
  </si>
  <si>
    <t>Thép cuộn cán nóng 3.45x1269 SAE1006</t>
  </si>
  <si>
    <t>1251121462010</t>
  </si>
  <si>
    <t>Thép cuộn cán nóng 2.75x1240 SAE1006 II</t>
  </si>
  <si>
    <t>2.75×1240×C</t>
  </si>
  <si>
    <t>1251121462003</t>
  </si>
  <si>
    <t>Thép cuộn cán nóng 2.75x1240 SAE1006</t>
  </si>
  <si>
    <t>1251121461990</t>
  </si>
  <si>
    <t>Thép cuộn cán nóng 3.15x1240 SAE1006 II</t>
  </si>
  <si>
    <t>3.15×1240×C</t>
  </si>
  <si>
    <t>1251121461983</t>
  </si>
  <si>
    <t>Thép cuộn cán nóng 3.15x1240 SAE1006</t>
  </si>
  <si>
    <t>1251121461976</t>
  </si>
  <si>
    <t>Thép cuộn cán nóng 3.45x1240 SAE1006 II</t>
  </si>
  <si>
    <t>3.45×1240×C</t>
  </si>
  <si>
    <t>1251121461969</t>
  </si>
  <si>
    <t>Thép cuộn cán nóng 3.45x1240 SAE1006</t>
  </si>
  <si>
    <t>1251121461952</t>
  </si>
  <si>
    <t>Thép cuộn cán nóng 2.45x1269 SAE1006 II</t>
  </si>
  <si>
    <t>2.45×1269×C</t>
  </si>
  <si>
    <t>1251121461907</t>
  </si>
  <si>
    <t>Thép cuộn cán nóng 2.45x1269 SAE1006</t>
  </si>
  <si>
    <t>1251121461891</t>
  </si>
  <si>
    <t>Thép cuộn cán nóng 2.45x1240 SAE1006 II</t>
  </si>
  <si>
    <t>2.45×1240×C</t>
  </si>
  <si>
    <t>1251121461884</t>
  </si>
  <si>
    <t>Thép cuộn cán nóng 2.45x1240 SAE1006</t>
  </si>
  <si>
    <t>1251121461877</t>
  </si>
  <si>
    <t>Thép cuộn cán nóng 2.30x1262 SAE1006 II</t>
  </si>
  <si>
    <t>1251121461778</t>
  </si>
  <si>
    <t>Thép cuộn cán nóng 2.30x1262 SAE1006</t>
  </si>
  <si>
    <t>1251121461761</t>
  </si>
  <si>
    <t>Thép cuộn cán nóng 3.15x1217 SAE1006 II</t>
  </si>
  <si>
    <t>1251121461686</t>
  </si>
  <si>
    <t>Thép cuộn cán nóng 3.15x1217 SAE1006</t>
  </si>
  <si>
    <t>1251121461679</t>
  </si>
  <si>
    <t>Thép cuộn cán nóng 3.45x1217 SAE1006 II</t>
  </si>
  <si>
    <t>3.45×217×C</t>
  </si>
  <si>
    <t>1251121461662</t>
  </si>
  <si>
    <t>Thép cuộn cán nóng 3.45x1217 SAE1006</t>
  </si>
  <si>
    <t>1251121461655</t>
  </si>
  <si>
    <t>Thép cuộn cán nóng 2.73x1217 SAE1006 II</t>
  </si>
  <si>
    <t>1251121461648</t>
  </si>
  <si>
    <t>Thép cuộn cán nóng 2.73x1217 SAE1006</t>
  </si>
  <si>
    <t>1251121461631</t>
  </si>
  <si>
    <t>Thép cuộn cán nóng 3.00x1200 SS400 II</t>
  </si>
  <si>
    <t>1251121461556</t>
  </si>
  <si>
    <t>Thép cuộn cán nóng 3.00x1200 SS400</t>
  </si>
  <si>
    <t>1251121461549</t>
  </si>
  <si>
    <t>Thép cuộn cán nóng 3.45x1160 SS400 II</t>
  </si>
  <si>
    <t>3.45×1160×C</t>
  </si>
  <si>
    <t>1251121461532</t>
  </si>
  <si>
    <t>Thép cuộn cán nóng 3.45x1160 SS400</t>
  </si>
  <si>
    <t>1251121461525</t>
  </si>
  <si>
    <t>Thép cuộn cán nóng 3.45x1235 SS400 II</t>
  </si>
  <si>
    <t>1251121461518</t>
  </si>
  <si>
    <t>Thép cuộn cán nóng 3.45x1235 SS400</t>
  </si>
  <si>
    <t>1251121461501</t>
  </si>
  <si>
    <t>Thép cuộn cán nóng 3.45x1200 SS400 II</t>
  </si>
  <si>
    <t>3.45×1200×C</t>
  </si>
  <si>
    <t>1251121461495</t>
  </si>
  <si>
    <t>Thép cuộn cán nóng 3.45x1200 SS400</t>
  </si>
  <si>
    <t>1251121461488</t>
  </si>
  <si>
    <t>Thép cuộn cán nóng 5.85x1365 SS400 II</t>
  </si>
  <si>
    <t>5.85×1365×C</t>
  </si>
  <si>
    <t>1251121461440</t>
  </si>
  <si>
    <t>Thép cuộn cán nóng 5.85x1365 SS400</t>
  </si>
  <si>
    <t>1251121461433</t>
  </si>
  <si>
    <t>Thép cuộn cán nóng 5.85x1200 SS400 II</t>
  </si>
  <si>
    <t>5.85×1200×C</t>
  </si>
  <si>
    <t>1251121461426</t>
  </si>
  <si>
    <t>Thép cuộn cán nóng 5.85x1200 SS400</t>
  </si>
  <si>
    <t>1251121461419</t>
  </si>
  <si>
    <t>Thép cuộn cán nóng 5.85x1160 SS400 II</t>
  </si>
  <si>
    <t>5.85×1160×C</t>
  </si>
  <si>
    <t>1251121461402</t>
  </si>
  <si>
    <t>Thép cuộn cán nóng 5.85x1160 SS400</t>
  </si>
  <si>
    <t>1251121461396</t>
  </si>
  <si>
    <t>Thép cuộn cán nóng 4.40x1235 SS400 II</t>
  </si>
  <si>
    <t>4.40×1235×C</t>
  </si>
  <si>
    <t>1251121461389</t>
  </si>
  <si>
    <t>Thép cuộn cán nóng 4.40x1235 SS400</t>
  </si>
  <si>
    <t>1251121461372</t>
  </si>
  <si>
    <t>Thép cuộn cán nóng 4.40x1200 SS400 II</t>
  </si>
  <si>
    <t>4.40×1200×C</t>
  </si>
  <si>
    <t>1251121461365</t>
  </si>
  <si>
    <t>Thép cuộn cán nóng 4.40x1200 SS400</t>
  </si>
  <si>
    <t>1251121461358</t>
  </si>
  <si>
    <t>Thép cuộn cán nóng 4.40x1160 SS400 II</t>
  </si>
  <si>
    <t>4.40×1160×C</t>
  </si>
  <si>
    <t>1251121461341</t>
  </si>
  <si>
    <t>Thép cuộn cán nóng 4.40x1160 SS400</t>
  </si>
  <si>
    <t>1251121461334</t>
  </si>
  <si>
    <t>Thép cuộn cán nóng 3.25x1160 SS400 II</t>
  </si>
  <si>
    <t>3.25×1160×C</t>
  </si>
  <si>
    <t>1251121461327</t>
  </si>
  <si>
    <t>Thép cuộn cán nóng 3.25x1160 SS400</t>
  </si>
  <si>
    <t>1251121461310</t>
  </si>
  <si>
    <t>Thép cuộn cán nóng 2.85x1235 SS400 II</t>
  </si>
  <si>
    <t>2.85×1235×C</t>
  </si>
  <si>
    <t>1251121461303</t>
  </si>
  <si>
    <t>Thép cuộn cán nóng 2.85x1235 SS400</t>
  </si>
  <si>
    <t>1251121461297</t>
  </si>
  <si>
    <t>Thép cuộn cán nóng 2.85x1200 SS400 II</t>
  </si>
  <si>
    <t>1251121461280</t>
  </si>
  <si>
    <t>Thép cuộn cán nóng 2.85x1200 SS400</t>
  </si>
  <si>
    <t>1251121461273</t>
  </si>
  <si>
    <t>Thép cuộn cán nóng 1.75x1232 SAE1006 II</t>
  </si>
  <si>
    <t>1251121444214</t>
  </si>
  <si>
    <t>Thép cuộn cán nóng 1.95x1232 SAE1006 II</t>
  </si>
  <si>
    <t>1.95×1232×C</t>
  </si>
  <si>
    <t>1251121444207</t>
  </si>
  <si>
    <t>Thép cuộn cán nóng 2.15x1232 SAE1006 II</t>
  </si>
  <si>
    <t>1251121444191</t>
  </si>
  <si>
    <t>Thép cuộn cán nóng 2.25x1232 SAE1006 II</t>
  </si>
  <si>
    <t>1251121444184</t>
  </si>
  <si>
    <t>Thép cuộn cán nóng 2.45x1232 SAE1006 II</t>
  </si>
  <si>
    <t>1251121444177</t>
  </si>
  <si>
    <t>Thép cuộn cán nóng 2.75x1232 SAE1006 II</t>
  </si>
  <si>
    <t>1251121444160</t>
  </si>
  <si>
    <t>Thép cuộn cán nóng 2.95x1232 SAE1006 II</t>
  </si>
  <si>
    <t>1251121444153</t>
  </si>
  <si>
    <t>Thép cuộn cán nóng 3.15x1232 SAE1006 II</t>
  </si>
  <si>
    <t>1251121444146</t>
  </si>
  <si>
    <t>Thép cuộn cán nóng 3.25x1232 SAE1006 II</t>
  </si>
  <si>
    <t>3.25×1232×C</t>
  </si>
  <si>
    <t>1251121444139</t>
  </si>
  <si>
    <t>Thép cuộn cán nóng 3.45x1232 SAE1006 II</t>
  </si>
  <si>
    <t>1251121444122</t>
  </si>
  <si>
    <t>Thép cuộn cán nóng 3.75x1232 SAE1006 II</t>
  </si>
  <si>
    <t>1251121444115</t>
  </si>
  <si>
    <t>Thép cuộn cán nóng 3.95x1232 SAE1006 II</t>
  </si>
  <si>
    <t>1251121444108</t>
  </si>
  <si>
    <t>Thép cuộn cán nóng 1.75x1232 SAE1006</t>
  </si>
  <si>
    <t>1251121444092</t>
  </si>
  <si>
    <t>Thép cuộn cán nóng 1.95x1232 SAE1006</t>
  </si>
  <si>
    <t>1251121444085</t>
  </si>
  <si>
    <t>Thép cuộn cán nóng 2.15x1232 SAE1006</t>
  </si>
  <si>
    <t>1251121444078</t>
  </si>
  <si>
    <t>Thép cuộn cán nóng 2.25x1232 SAE1006</t>
  </si>
  <si>
    <t>1251121444061</t>
  </si>
  <si>
    <t>Thép cuộn cán nóng 2.45x1232 SAE1006</t>
  </si>
  <si>
    <t>1251121444054</t>
  </si>
  <si>
    <t>Thép cuộn cán nóng 2.75x1232 SAE1006</t>
  </si>
  <si>
    <t>1251121444047</t>
  </si>
  <si>
    <t>Thép cuộn cán nóng 2.95x1232 SAE1006</t>
  </si>
  <si>
    <t>1251121444030</t>
  </si>
  <si>
    <t>Thép cuộn cán nóng 3.15x1232 SAE1006</t>
  </si>
  <si>
    <t>1251121444023</t>
  </si>
  <si>
    <t>Thép cuộn cán nóng 3.25x1232 SAE1006</t>
  </si>
  <si>
    <t>1251121444016</t>
  </si>
  <si>
    <t>Thép cuộn cán nóng 3.45x1232 SAE1006</t>
  </si>
  <si>
    <t>1251121444009</t>
  </si>
  <si>
    <t>Thép cuộn cán nóng 3.75x1232 SAE1006</t>
  </si>
  <si>
    <t>1251121443996</t>
  </si>
  <si>
    <t>Thép cuộn cán nóng 3.95x1232 SAE1006</t>
  </si>
  <si>
    <t>1251121443989</t>
  </si>
  <si>
    <t>Thép cuộn cán nóng 1.75x1132 SAE1006 II</t>
  </si>
  <si>
    <t>1.75×1132×C</t>
  </si>
  <si>
    <t>1251121443736</t>
  </si>
  <si>
    <t>Thép cuộn cán nóng 1.95x1132 SAE1006 II</t>
  </si>
  <si>
    <t>1.95×1132×C</t>
  </si>
  <si>
    <t>1251121443729</t>
  </si>
  <si>
    <t>Thép cuộn cán nóng 2.15x1132 SAE1006 II</t>
  </si>
  <si>
    <t>2.15×1132×C</t>
  </si>
  <si>
    <t>1251121443712</t>
  </si>
  <si>
    <t>Thép cuộn cán nóng 2.25x1132 SAE1006 II</t>
  </si>
  <si>
    <t>2.25×1132×C</t>
  </si>
  <si>
    <t>1251121443705</t>
  </si>
  <si>
    <t>Thép cuộn cán nóng 2.45x1132 SAE1006 II</t>
  </si>
  <si>
    <t>2.45×1132×C</t>
  </si>
  <si>
    <t>1251121443699</t>
  </si>
  <si>
    <t>Thép cuộn cán nóng 2.75x1132 SAE1006 II</t>
  </si>
  <si>
    <t>2.75×1132×C</t>
  </si>
  <si>
    <t>1251121443682</t>
  </si>
  <si>
    <t>Thép cuộn cán nóng 2.95x1132 SAE1006 II</t>
  </si>
  <si>
    <t>2.95×1132×C</t>
  </si>
  <si>
    <t>1251121443675</t>
  </si>
  <si>
    <t>Thép cuộn cán nóng 3.15x1132 SAE1006 II</t>
  </si>
  <si>
    <t>3.15×1132×C</t>
  </si>
  <si>
    <t>1251121443668</t>
  </si>
  <si>
    <t>Thép cuộn cán nóng 3.25x1132 SAE1006 II</t>
  </si>
  <si>
    <t>3.25×1132×C</t>
  </si>
  <si>
    <t>1251121443651</t>
  </si>
  <si>
    <t>Thép cuộn cán nóng 3.45x1132 SAE1006 II</t>
  </si>
  <si>
    <t>3.45×1132×C</t>
  </si>
  <si>
    <t>1251121443644</t>
  </si>
  <si>
    <t>Thép cuộn cán nóng 3.75x1132 SAE1006 II</t>
  </si>
  <si>
    <t>3.75×1132×C</t>
  </si>
  <si>
    <t>1251121443637</t>
  </si>
  <si>
    <t>Thép cuộn cán nóng 3.95x1132 SAE1006 II</t>
  </si>
  <si>
    <t>1251121443620</t>
  </si>
  <si>
    <t>Thép cuộn cán nóng 4.50x1250 SAE1006 II</t>
  </si>
  <si>
    <t>1251121443613</t>
  </si>
  <si>
    <t>Thép cuộn cán nóng 1.75x1132 SAE1006</t>
  </si>
  <si>
    <t>1251121443606</t>
  </si>
  <si>
    <t>Thép cuộn cán nóng 1.95x1132 SAE1006</t>
  </si>
  <si>
    <t>1251121443590</t>
  </si>
  <si>
    <t>Thép cuộn cán nóng 2.15x1132 SAE1006</t>
  </si>
  <si>
    <t>1251121443583</t>
  </si>
  <si>
    <t>Thép cuộn cán nóng 2.25x1132 SAE1006</t>
  </si>
  <si>
    <t>1251121443576</t>
  </si>
  <si>
    <t>Thép cuộn cán nóng 2.45x1132 SAE1006</t>
  </si>
  <si>
    <t>1251121443569</t>
  </si>
  <si>
    <t>Thép cuộn cán nóng 2.75x1132 SAE1006</t>
  </si>
  <si>
    <t>1251121443552</t>
  </si>
  <si>
    <t>Thép cuộn cán nóng 2.95x1132 SAE1006</t>
  </si>
  <si>
    <t>1251121443545</t>
  </si>
  <si>
    <t>Thép cuộn cán nóng 3.15x1132 SAE1006</t>
  </si>
  <si>
    <t>1251121443538</t>
  </si>
  <si>
    <t>Thép cuộn cán nóng 3.25x1132 SAE1006</t>
  </si>
  <si>
    <t>1251121443521</t>
  </si>
  <si>
    <t>Thép cuộn cán nóng 3.45x1132 SAE1006</t>
  </si>
  <si>
    <t>1251121443514</t>
  </si>
  <si>
    <t>Thép cuộn cán nóng 3.75x1132 SAE1006</t>
  </si>
  <si>
    <t>1251121443507</t>
  </si>
  <si>
    <t>Thép cuộn cán nóng 3.95x1132 SAE1006</t>
  </si>
  <si>
    <t>1251121443491</t>
  </si>
  <si>
    <t>Thép cuộn cán nóng 4.50x1250 SAE1006</t>
  </si>
  <si>
    <t>1251121443484</t>
  </si>
  <si>
    <t>Thép cuộn cán nóng 1.75x1290 SAE1006 II</t>
  </si>
  <si>
    <t>1.75×1290×C</t>
  </si>
  <si>
    <t>1251121443231</t>
  </si>
  <si>
    <t>Thép cuộn cán nóng 1.95x1290 SAE1006 II</t>
  </si>
  <si>
    <t>1.95×1290×C</t>
  </si>
  <si>
    <t>1251121443224</t>
  </si>
  <si>
    <t>Thép cuộn cán nóng 2.15x1290 SAE1006 II</t>
  </si>
  <si>
    <t>2.15×1290×C</t>
  </si>
  <si>
    <t>1251121443217</t>
  </si>
  <si>
    <t>Thép cuộn cán nóng 2.25x1290 SAE1006 II</t>
  </si>
  <si>
    <t>2.25×1290×C</t>
  </si>
  <si>
    <t>1251121443200</t>
  </si>
  <si>
    <t>Thép cuộn cán nóng 2.35x1250 SAE1006 II</t>
  </si>
  <si>
    <t>1251121443194</t>
  </si>
  <si>
    <t>Thép cuộn cán nóng 2.45x1290 SAE1006 II</t>
  </si>
  <si>
    <t>2.45×1290×C</t>
  </si>
  <si>
    <t>1251121443187</t>
  </si>
  <si>
    <t>Thép cuộn cán nóng 2.75x1290 SAE1006 II</t>
  </si>
  <si>
    <t>2.75×1290×C</t>
  </si>
  <si>
    <t>1251121443170</t>
  </si>
  <si>
    <t>Thép cuộn cán nóng 2.95x1290 SAE1006 II</t>
  </si>
  <si>
    <t>2.95×1290×C</t>
  </si>
  <si>
    <t>1251121443163</t>
  </si>
  <si>
    <t>Thép cuộn cán nóng 3.15x1290 SAE1006 II</t>
  </si>
  <si>
    <t>3.15×1290×C</t>
  </si>
  <si>
    <t>1251121443156</t>
  </si>
  <si>
    <t>Thép cuộn cán nóng 3.25x1290 SAE1006 II</t>
  </si>
  <si>
    <t>3.25×1290×C</t>
  </si>
  <si>
    <t>1251121443149</t>
  </si>
  <si>
    <t>Thép cuộn cán nóng 3.45x1290 SAE1006 II</t>
  </si>
  <si>
    <t>3.45×1290×C</t>
  </si>
  <si>
    <t>1251121443132</t>
  </si>
  <si>
    <t>Thép cuộn cán nóng 3.75x1290 SAE1006 II</t>
  </si>
  <si>
    <t>3.75×1290×C</t>
  </si>
  <si>
    <t>1251121443125</t>
  </si>
  <si>
    <t>Thép cuộn cán nóng 3.95x1290 SAE1006 II</t>
  </si>
  <si>
    <t>3.95×1290×C</t>
  </si>
  <si>
    <t>1251121443118</t>
  </si>
  <si>
    <t>Thép cuộn cán nóng 1.75x1290 SAE1006</t>
  </si>
  <si>
    <t>1251121443101</t>
  </si>
  <si>
    <t>Thép cuộn cán nóng 1.95x1290 SAE1006</t>
  </si>
  <si>
    <t>1251121443095</t>
  </si>
  <si>
    <t>Thép cuộn cán nóng 2.15x1290 SAE1006</t>
  </si>
  <si>
    <t>1251121443088</t>
  </si>
  <si>
    <t>Thép cuộn cán nóng 2.25x1290 SAE1006</t>
  </si>
  <si>
    <t>1251121443071</t>
  </si>
  <si>
    <t>Thép cuộn cán nóng 2.35x1250 SAE1006</t>
  </si>
  <si>
    <t>1251121443064</t>
  </si>
  <si>
    <t>Thép cuộn cán nóng 2.45x1290 SAE1006</t>
  </si>
  <si>
    <t>1251121443057</t>
  </si>
  <si>
    <t>Thép cuộn cán nóng 2.75x1290 SAE1006</t>
  </si>
  <si>
    <t>1251121443040</t>
  </si>
  <si>
    <t>Thép cuộn cán nóng 2.95x1290 SAE1006</t>
  </si>
  <si>
    <t>1251121443033</t>
  </si>
  <si>
    <t>Thép cuộn cán nóng 3.15x1290 SAE1006</t>
  </si>
  <si>
    <t>1251121443026</t>
  </si>
  <si>
    <t>Thép cuộn cán nóng 3.25x1290 SAE1006</t>
  </si>
  <si>
    <t>1251121443019</t>
  </si>
  <si>
    <t>Thép cuộn cán nóng 3.45x1290 SAE1006</t>
  </si>
  <si>
    <t>1251121443002</t>
  </si>
  <si>
    <t>Thép cuộn cán nóng 3.75x1290 SAE1006</t>
  </si>
  <si>
    <t>1251121442999</t>
  </si>
  <si>
    <t>Thép cuộn cán nóng 3.95x1290 SAE1006</t>
  </si>
  <si>
    <t>1251121442982</t>
  </si>
  <si>
    <t>Thép cuộn cán nóng 3.90x1250 SAE1006 II</t>
  </si>
  <si>
    <t>1251121441916</t>
  </si>
  <si>
    <t>Thép cuộn cán nóng 2.25x1250 SS400 II</t>
  </si>
  <si>
    <t>2.25×1250×C</t>
  </si>
  <si>
    <t>1251121441909</t>
  </si>
  <si>
    <t>Thép cuộn cán nóng 3.90x1250 SAE1006</t>
  </si>
  <si>
    <t>1251121441893</t>
  </si>
  <si>
    <t>Thép cuộn cán nóng 2.25x1250 SS400</t>
  </si>
  <si>
    <t>1251121441886</t>
  </si>
  <si>
    <t>Thép cuộn cán nóng 3.15x1250 SS400 II</t>
  </si>
  <si>
    <t>3.15×1250×C</t>
  </si>
  <si>
    <t>1251121441374</t>
  </si>
  <si>
    <t>Thép cuộn cán nóng 3.25x1250 SS400 II</t>
  </si>
  <si>
    <t>3.25×1250×C</t>
  </si>
  <si>
    <t>1251121441367</t>
  </si>
  <si>
    <t>Thép cuộn cán nóng 3.75x1250 SS400 II</t>
  </si>
  <si>
    <t>3.75×1250×C</t>
  </si>
  <si>
    <t>1251121441350</t>
  </si>
  <si>
    <t>Thép cuộn cán nóng 3.15x1250 SS400</t>
  </si>
  <si>
    <t>1251121441343</t>
  </si>
  <si>
    <t>Thép cuộn cán nóng 3.25x1250 SS400</t>
  </si>
  <si>
    <t>1251121441336</t>
  </si>
  <si>
    <t>Thép cuộn cán nóng 3.75x1250 SS400</t>
  </si>
  <si>
    <t>1251121441329</t>
  </si>
  <si>
    <t>Thép cuộn cán nóng 2.75x1197 SAE1006 II</t>
  </si>
  <si>
    <t>2.75×1197×C</t>
  </si>
  <si>
    <t>1251121440544</t>
  </si>
  <si>
    <t>Thép cuộn cán nóng 3.75x1197 SAE1006 II</t>
  </si>
  <si>
    <t>3.75×1197×C</t>
  </si>
  <si>
    <t>1251121440537</t>
  </si>
  <si>
    <t>Thép cuộn cán nóng 3.25x1197 SAE1006 II</t>
  </si>
  <si>
    <t>3.25×1197×C</t>
  </si>
  <si>
    <t>1251121440520</t>
  </si>
  <si>
    <t>Thép cuộn cán nóng 3.15x1197 SAE1006 II</t>
  </si>
  <si>
    <t>3.15×1197×C</t>
  </si>
  <si>
    <t>1251121440513</t>
  </si>
  <si>
    <t>Thép cuộn cán nóng 3.25x1230 SAE1006 II</t>
  </si>
  <si>
    <t>3.25×1230×C</t>
  </si>
  <si>
    <t>1251121440506</t>
  </si>
  <si>
    <t>Thép cuộn cán nóng 3.15x1230 SAE1006 II</t>
  </si>
  <si>
    <t>1251121440490</t>
  </si>
  <si>
    <t>Thép cuộn cán nóng 2.75x1197 SAE1006</t>
  </si>
  <si>
    <t>1251121440483</t>
  </si>
  <si>
    <t>Thép cuộn cán nóng 3.75x1197 SAE1006</t>
  </si>
  <si>
    <t>1251121440476</t>
  </si>
  <si>
    <t>Thép cuộn cán nóng 3.25x1197 SAE1006</t>
  </si>
  <si>
    <t>1251121440469</t>
  </si>
  <si>
    <t>Thép cuộn cán nóng 3.15x1197 SAE1006</t>
  </si>
  <si>
    <t>1251121440452</t>
  </si>
  <si>
    <t>Thép cuộn cán nóng 3.25x1230 SAE1006</t>
  </si>
  <si>
    <t>1251121440445</t>
  </si>
  <si>
    <t>Thép cuộn cán nóng 3.15x1230 SAE1006</t>
  </si>
  <si>
    <t>1251121440438</t>
  </si>
  <si>
    <t>Thép cuộn cán nóng 2.75x1230 SAE1006 II</t>
  </si>
  <si>
    <t>1251121440308</t>
  </si>
  <si>
    <t>Thép cuộn cán nóng 1.75x1230 SAE1006 II</t>
  </si>
  <si>
    <t>1.75×1230×C</t>
  </si>
  <si>
    <t>1251121440292</t>
  </si>
  <si>
    <t>Thép cuộn cán nóng 2.75x1230 SAE1006</t>
  </si>
  <si>
    <t>1251121440285</t>
  </si>
  <si>
    <t>Thép cuộn cán nóng 1.75x1230 SAE1006</t>
  </si>
  <si>
    <t>1251121440278</t>
  </si>
  <si>
    <t>Thép cuộn cán nóng 3.75x1230 SAE1006 II</t>
  </si>
  <si>
    <t>3.75×1230×C</t>
  </si>
  <si>
    <t>1251121440261</t>
  </si>
  <si>
    <t>Thép cuộn cán nóng 3.45x1230 SAE1006 II</t>
  </si>
  <si>
    <t>1251121440254</t>
  </si>
  <si>
    <t>Thép cuộn cán nóng 2.95x1230 SAE1006 II</t>
  </si>
  <si>
    <t>1251121440247</t>
  </si>
  <si>
    <t>[D]Thép cuộn cán nóng 2.25x1230 SAE1006</t>
  </si>
  <si>
    <t>1251121440230</t>
  </si>
  <si>
    <t>Thép cuộn cán nóng 2.15x1230 SAE1006 II</t>
  </si>
  <si>
    <t>1251121440223</t>
  </si>
  <si>
    <t>Thép cuộn cán nóng 1.95x1230 SAE1006 II</t>
  </si>
  <si>
    <t>1.95×1230×C</t>
  </si>
  <si>
    <t>1251121440216</t>
  </si>
  <si>
    <t>Thép cuộn cán nóng 3.75x1230 SAE1006</t>
  </si>
  <si>
    <t>1251121440209</t>
  </si>
  <si>
    <t>Thép cuộn cán nóng 3.45x1230 SAE1006</t>
  </si>
  <si>
    <t>1251121440193</t>
  </si>
  <si>
    <t>Thép cuộn cán nóng 2.95x1230 SAE1006</t>
  </si>
  <si>
    <t>1251121440186</t>
  </si>
  <si>
    <t>1251121440179</t>
  </si>
  <si>
    <t>Thép cuộn cán nóng 2.15x1230 SAE1006</t>
  </si>
  <si>
    <t>1251121440162</t>
  </si>
  <si>
    <t>Thép cuộn cán nóng 1.95x1230 SAE1006</t>
  </si>
  <si>
    <t>1251121440155</t>
  </si>
  <si>
    <t>Thép cuộn cán nóng 3.95x1197 SAE1006 II</t>
  </si>
  <si>
    <t>3.95×1197×C</t>
  </si>
  <si>
    <t>1251121440131</t>
  </si>
  <si>
    <t>Thép cuộn cán nóng 3.45x1197 SAE1006 II</t>
  </si>
  <si>
    <t>3.45×1197×C</t>
  </si>
  <si>
    <t>1251121440124</t>
  </si>
  <si>
    <t>Thép cuộn cán nóng 2.95x1197 SAE1006 II</t>
  </si>
  <si>
    <t>2.95×1197×C</t>
  </si>
  <si>
    <t>1251121440117</t>
  </si>
  <si>
    <t>Thép cuộn cán nóng 2.45x1197 SAE1006 II</t>
  </si>
  <si>
    <t>1251121440100</t>
  </si>
  <si>
    <t>Thép cuộn cán nóng 2.15x1197 SAE1006 II</t>
  </si>
  <si>
    <t>2.15×1197×C</t>
  </si>
  <si>
    <t>1251121440094</t>
  </si>
  <si>
    <t>Thép cuộn cán nóng 1.95x1197 SAE1006 II</t>
  </si>
  <si>
    <t>1.95×1197×C</t>
  </si>
  <si>
    <t>1251121440087</t>
  </si>
  <si>
    <t>Thép cuộn cán nóng 3.95x1197 SAE1006</t>
  </si>
  <si>
    <t>1251121440070</t>
  </si>
  <si>
    <t>Thép cuộn cán nóng 3.45x1197 SAE1006</t>
  </si>
  <si>
    <t>1251121440063</t>
  </si>
  <si>
    <t>Thép cuộn cán nóng 2.95x1197 SAE1006</t>
  </si>
  <si>
    <t>1251121440056</t>
  </si>
  <si>
    <t>Thép cuộn cán nóng 2.45x1197 SAE1006</t>
  </si>
  <si>
    <t>1251121440049</t>
  </si>
  <si>
    <t>Thép cuộn cán nóng 2.15x1197 SAE1006</t>
  </si>
  <si>
    <t>1251121440032</t>
  </si>
  <si>
    <t>Thép cuộn cán nóng 1.95x1197 SAE1006</t>
  </si>
  <si>
    <t>1251121440025</t>
  </si>
  <si>
    <t>Thép cuộn cán nóng</t>
  </si>
  <si>
    <t/>
  </si>
  <si>
    <t>1259999999995</t>
  </si>
  <si>
    <t>Thép cuộn cán nóng 3.45x1200 SAE1006 II</t>
  </si>
  <si>
    <t>1251121470701</t>
  </si>
  <si>
    <t>Thép cuộn cán nóng 3.45x1200 SAE1006</t>
  </si>
  <si>
    <t>1251121470695</t>
  </si>
  <si>
    <t>Thép cuộn cán nóng 2.45x1214 SS400 II</t>
  </si>
  <si>
    <t>1251121470473</t>
  </si>
  <si>
    <t>Thép cuộn cán nóng 2.45x1214 SS400</t>
  </si>
  <si>
    <t>1251121470466</t>
  </si>
  <si>
    <t>Thép cuộn cán nóng 2.25x1214 SS400 II</t>
  </si>
  <si>
    <t>2.25×1214×C</t>
  </si>
  <si>
    <t>1251121470459</t>
  </si>
  <si>
    <t>Thép cuộn cán nóng 2.25x1214 SS400</t>
  </si>
  <si>
    <t>1251121470442</t>
  </si>
  <si>
    <t>Thép cuộn cán nóng 5.30x1214 SS400 II</t>
  </si>
  <si>
    <t>5.30×1214×C</t>
  </si>
  <si>
    <t>1251121470435</t>
  </si>
  <si>
    <t>Thép cuộn cán nóng 5.30x1214 SS400</t>
  </si>
  <si>
    <t>1251121470428</t>
  </si>
  <si>
    <t>Thép cuộn cán nóng 4.90x1214 SS400 II</t>
  </si>
  <si>
    <t>4.90×1214×C</t>
  </si>
  <si>
    <t>1251121470411</t>
  </si>
  <si>
    <t>Thép cuộn cán nóng 4.90x1214 SS400</t>
  </si>
  <si>
    <t>1251121470404</t>
  </si>
  <si>
    <t>Thép cuộn cán nóng 4.60x1214 SS400 II</t>
  </si>
  <si>
    <t>4.60×1214×C</t>
  </si>
  <si>
    <t>1251121470398</t>
  </si>
  <si>
    <t>Thép cuộn cán nóng 4.60x1214 SS400</t>
  </si>
  <si>
    <t>1251121470381</t>
  </si>
  <si>
    <t>Thép cuộn cán nóng 3.80x1214 SS400 II</t>
  </si>
  <si>
    <t>3.80×1214×C</t>
  </si>
  <si>
    <t>1251121470374</t>
  </si>
  <si>
    <t>Thép cuộn cán nóng 3.80x1214 SS400</t>
  </si>
  <si>
    <t>1251121470367</t>
  </si>
  <si>
    <t>[D]Thép cuộn cán nóng 3.00x1250 SS400 II</t>
  </si>
  <si>
    <t>1251121470350</t>
  </si>
  <si>
    <t>[D]Thép cuộn cán nóng 3.00x1250 SS400</t>
  </si>
  <si>
    <t>1251121470343</t>
  </si>
  <si>
    <t>Thép cuộn cán nóng 2.95x1020 SAE1006 II</t>
  </si>
  <si>
    <t>2.95×1020×C</t>
  </si>
  <si>
    <t>1251121470336</t>
  </si>
  <si>
    <t>Thép cuộn cán nóng 2.95x1020 SAE1006</t>
  </si>
  <si>
    <t>1251121470329</t>
  </si>
  <si>
    <t>Thép cuộn cán nóng 3.45x1020 SAE1006 II</t>
  </si>
  <si>
    <t>3.45×1020×C</t>
  </si>
  <si>
    <t>1251121470312</t>
  </si>
  <si>
    <t>Thép cuộn cán nóng 3.45x1020 SAE1006</t>
  </si>
  <si>
    <t>1251121470305</t>
  </si>
  <si>
    <t>Thép cuộn cán nóng 2.20x1214 SAE1006 II</t>
  </si>
  <si>
    <t>2.20×1214×C</t>
  </si>
  <si>
    <t>1251121470299</t>
  </si>
  <si>
    <t>Thép cuộn cán nóng 2.20x1214 SAE1006</t>
  </si>
  <si>
    <t>1251121470282</t>
  </si>
  <si>
    <t>Thép cuộn cán nóng 2.50x1232 SAE1006 II</t>
  </si>
  <si>
    <t>1251121470275</t>
  </si>
  <si>
    <t>Thép cuộn cán nóng 2.50x1232 SAE1006</t>
  </si>
  <si>
    <t>1251121470268</t>
  </si>
  <si>
    <t>Thép cuộn cán nóng 3.45x1246 SAE1006 II</t>
  </si>
  <si>
    <t>3.45×1246×C</t>
  </si>
  <si>
    <t>1251121470251</t>
  </si>
  <si>
    <t>Thép cuộn cán nóng 3.45x1246 SAE1006</t>
  </si>
  <si>
    <t>1251121470244</t>
  </si>
  <si>
    <t>Thép cuộn cán nóng 2.95x1246 SAE1006 II</t>
  </si>
  <si>
    <t>2.95×1246×C</t>
  </si>
  <si>
    <t>1251121470237</t>
  </si>
  <si>
    <t>Thép cuộn cán nóng 2.95x1246 SAE1006</t>
  </si>
  <si>
    <t>1251121470220</t>
  </si>
  <si>
    <t>Thép cuộn cán nóng 2.75x1246 SAE1006 II</t>
  </si>
  <si>
    <t>2.75×1246×C</t>
  </si>
  <si>
    <t>1251121470213</t>
  </si>
  <si>
    <t>Thép cuộn cán nóng 2.75x1246 SAE1006</t>
  </si>
  <si>
    <t>1251121470206</t>
  </si>
  <si>
    <t>Thép cuộn cán nóng 2.45x1246 SAE1006 II</t>
  </si>
  <si>
    <t>2.45×1246×C</t>
  </si>
  <si>
    <t>1251121470190</t>
  </si>
  <si>
    <t>Thép cuộn cán nóng 2.45x1246 SAE1006</t>
  </si>
  <si>
    <t>1251121470183</t>
  </si>
  <si>
    <t>Thép cuộn cán nóng 2.20x1246 SAE1006 II</t>
  </si>
  <si>
    <t>2.20×1246×C</t>
  </si>
  <si>
    <t>1251121470176</t>
  </si>
  <si>
    <t>Thép cuộn cán nóng 2.20x1246 SAE1006</t>
  </si>
  <si>
    <t>1251121470169</t>
  </si>
  <si>
    <t>Thép cuộn cán nóng 2.00x1246 SAE1006 II</t>
  </si>
  <si>
    <t>2.00×1246×C</t>
  </si>
  <si>
    <t>1251121470152</t>
  </si>
  <si>
    <t>Thép cuộn cán nóng 2.00x1246 SAE1006</t>
  </si>
  <si>
    <t>1251121470145</t>
  </si>
  <si>
    <t>Thép cuộn cán nóng 3.45x1109 SAE1006 II</t>
  </si>
  <si>
    <t>3.45×1109×C</t>
  </si>
  <si>
    <t>1251121470138</t>
  </si>
  <si>
    <t>Thép cuộn cán nóng 3.45x1109 SAE1006</t>
  </si>
  <si>
    <t>1251121470121</t>
  </si>
  <si>
    <t>Thép cuộn cán nóng 2.95x1109 SAE1006 II</t>
  </si>
  <si>
    <t>2.95×1109×C</t>
  </si>
  <si>
    <t>1251121470114</t>
  </si>
  <si>
    <t>Thép cuộn cán nóng 2.95x1109 SAE1006</t>
  </si>
  <si>
    <t>1251121470107</t>
  </si>
  <si>
    <t>Thép cuộn cán nóng 2.70x1109 SAE1006 II</t>
  </si>
  <si>
    <t>2.70×1109×C</t>
  </si>
  <si>
    <t>1251121470091</t>
  </si>
  <si>
    <t>Thép cuộn cán nóng 2.70x1109 SAE1006</t>
  </si>
  <si>
    <t>1251121470084</t>
  </si>
  <si>
    <t>Thép cuộn cán nóng 2.35x1109 SAE1006 II</t>
  </si>
  <si>
    <t>2.35×1109×C</t>
  </si>
  <si>
    <t>1251121470077</t>
  </si>
  <si>
    <t>Thép cuộn cán nóng 2.35x1109 SAE1006</t>
  </si>
  <si>
    <t>1251121470060</t>
  </si>
  <si>
    <t>Thép cuộn cán nóng 2.20x1109 SAE1006 II</t>
  </si>
  <si>
    <t>2.20×1109×C</t>
  </si>
  <si>
    <t>1251121470053</t>
  </si>
  <si>
    <t>Thép cuộn cán nóng 2.20x1109 SAE1006</t>
  </si>
  <si>
    <t>1251121470046</t>
  </si>
  <si>
    <t>Thép cuộn cán nóng 2.00x1109 SAE1006 II</t>
  </si>
  <si>
    <t>2.00×1109×C</t>
  </si>
  <si>
    <t>1251121470039</t>
  </si>
  <si>
    <t>Thép cuộn cán nóng 2.00x1109 SAE1006</t>
  </si>
  <si>
    <t>1251121470022</t>
  </si>
  <si>
    <t>Thép cuộn cán nóng 3.45x1055 SAE1006 II</t>
  </si>
  <si>
    <t>3.45×1055×C</t>
  </si>
  <si>
    <t>1251121470015</t>
  </si>
  <si>
    <t>Thép cuộn cán nóng 3.45x1055 SAE1006</t>
  </si>
  <si>
    <t>1251121470008</t>
  </si>
  <si>
    <t>Thép cuộn cán nóng 2.95x1055 SAE1006 II</t>
  </si>
  <si>
    <t>2.95×1055×C</t>
  </si>
  <si>
    <t>1251121469996</t>
  </si>
  <si>
    <t>Thép cuộn cán nóng 2.95x1055 SAE1006</t>
  </si>
  <si>
    <t>1251121469989</t>
  </si>
  <si>
    <t>Thép cuộn cán nóng 2.75x1055 SAE1006 II</t>
  </si>
  <si>
    <t>2.75×1055×C</t>
  </si>
  <si>
    <t>1251121469972</t>
  </si>
  <si>
    <t>Thép cuộn cán nóng 2.75x1055 SAE1006</t>
  </si>
  <si>
    <t>1251121469965</t>
  </si>
  <si>
    <t>Thép cuộn cán nóng 2.45x1055 SAE1006 II</t>
  </si>
  <si>
    <t>2.45×1055×C</t>
  </si>
  <si>
    <t>1251121469958</t>
  </si>
  <si>
    <t>Thép cuộn cán nóng 2.45x1055 SAE1006</t>
  </si>
  <si>
    <t>1251121469941</t>
  </si>
  <si>
    <t>Thép cuộn cán nóng 2.20x1055 SAE1006 II</t>
  </si>
  <si>
    <t>2.20×1055×C</t>
  </si>
  <si>
    <t>1251121469934</t>
  </si>
  <si>
    <t>Thép cuộn cán nóng 2.20x1055 SAE1006</t>
  </si>
  <si>
    <t>1251121469927</t>
  </si>
  <si>
    <t>Thép cuộn cán nóng 2.00x1055 SAE1006 II</t>
  </si>
  <si>
    <t>2.00×1055×C</t>
  </si>
  <si>
    <t>1251121469910</t>
  </si>
  <si>
    <t>Thép cuộn cán nóng 2.00x1055 SAE1006</t>
  </si>
  <si>
    <t>1251121469903</t>
  </si>
  <si>
    <t>Thép cuộn cán nóng 8.70x1500 SS400 II</t>
  </si>
  <si>
    <t>8.70×1500×C</t>
  </si>
  <si>
    <t>1251121469835</t>
  </si>
  <si>
    <t>Thép cuộn cán nóng 8.70x1500 SS400</t>
  </si>
  <si>
    <t>1251121469828</t>
  </si>
  <si>
    <t>Thép cuộn cán nóng 3.00x1230 SAE1006 II</t>
  </si>
  <si>
    <t>1251121469774</t>
  </si>
  <si>
    <t>Thép cuộn cán nóng 3.00x1230 SAE1006</t>
  </si>
  <si>
    <t>1251121469767</t>
  </si>
  <si>
    <t>Thép cuộn cán nóng 7.00x1500 SS400 II</t>
  </si>
  <si>
    <t>1251121469750</t>
  </si>
  <si>
    <t>Thép cuộn cán nóng 7.00x1500 SS400</t>
  </si>
  <si>
    <t>1251121469743</t>
  </si>
  <si>
    <t>Thép cuộn cán nóng 8.80x1500 SS400 II</t>
  </si>
  <si>
    <t>8.80×1500×C</t>
  </si>
  <si>
    <t>1251121469736</t>
  </si>
  <si>
    <t>Thép cuộn cán nóng 8.80x1500 SS400</t>
  </si>
  <si>
    <t>1251121469729</t>
  </si>
  <si>
    <t>Thép cuộn cán nóng 3.50x1214 SS400 II</t>
  </si>
  <si>
    <t>3.50×1214×C</t>
  </si>
  <si>
    <t>1251121469712</t>
  </si>
  <si>
    <t>Thép cuộn cán nóng 3.50x1214 SS400</t>
  </si>
  <si>
    <t>1251121469705</t>
  </si>
  <si>
    <t>Thép cuộn cán nóng 7.05x1420 SS400 II</t>
  </si>
  <si>
    <t>7.05×1420×C</t>
  </si>
  <si>
    <t>1251121469699</t>
  </si>
  <si>
    <t>Thép cuộn cán nóng 7.05x1420 SS400</t>
  </si>
  <si>
    <t>1251121469682</t>
  </si>
  <si>
    <t>Thép cuộn cán nóng 6.40x1500 SS400 II</t>
  </si>
  <si>
    <t>6.40×1500×C</t>
  </si>
  <si>
    <t>1251121469675</t>
  </si>
  <si>
    <t>Thép cuộn cán nóng 6.40x1500 SS400</t>
  </si>
  <si>
    <t>1251121469668</t>
  </si>
  <si>
    <t>Thép cuộn cán nóng 2.80x1264 SAE1006 II</t>
  </si>
  <si>
    <t>2.80×1264×C</t>
  </si>
  <si>
    <t>1251121469620</t>
  </si>
  <si>
    <t>Thép cuộn cán nóng 2.80x1264 SAE1006</t>
  </si>
  <si>
    <t>1251121469613</t>
  </si>
  <si>
    <t>Thép cuộn cán nóng 2.95x1270 SAE1006 II</t>
  </si>
  <si>
    <t>1251121469576</t>
  </si>
  <si>
    <t>Thép cuộn cán nóng 2.95x1270 SAE1006</t>
  </si>
  <si>
    <t>1251121469569</t>
  </si>
  <si>
    <t>Thép cuộn cán nóng 2.20x1270 SAE1006 II</t>
  </si>
  <si>
    <t>1251121469552</t>
  </si>
  <si>
    <t>Thép cuộn cán nóng 2.20x1270 SAE1006</t>
  </si>
  <si>
    <t>1251121469545</t>
  </si>
  <si>
    <t>Thép cuộn cán nóng 3.95x1217 SAE1006 II</t>
  </si>
  <si>
    <t>1251121469514</t>
  </si>
  <si>
    <t>Thép cuộn cán nóng 3.95x1217 SAE1006</t>
  </si>
  <si>
    <t>1251121469507</t>
  </si>
  <si>
    <t>Thép cuộn cán nóng 6.35x1219 ASTM A36 II</t>
  </si>
  <si>
    <t>1251121465554</t>
  </si>
  <si>
    <t>Thép cuộn cán nóng 6.35x1219 ASTM A36</t>
  </si>
  <si>
    <t>1251121465547</t>
  </si>
  <si>
    <t>Thép cuộn cán nóng 4.74x1500 ASTM A36 II</t>
  </si>
  <si>
    <t>4.75×1500×C</t>
  </si>
  <si>
    <t>1251121465530</t>
  </si>
  <si>
    <t>Thép cuộn cán nóng 4.74x1500 ASTM A36</t>
  </si>
  <si>
    <t>1251121465523</t>
  </si>
  <si>
    <t>Thép cuộn cán nóng 2.65x1219 ASTM A36 II</t>
  </si>
  <si>
    <t>1251121465516</t>
  </si>
  <si>
    <t>Thép cuộn cán nóng 2.65x1219 ASTM A36</t>
  </si>
  <si>
    <t>1251121465509</t>
  </si>
  <si>
    <t>Thép cuộn cán nóng 4.74x1219 ASTM A36 II</t>
  </si>
  <si>
    <t>1251121465493</t>
  </si>
  <si>
    <t>Thép cuộn cán nóng 4.74x1219 ASTM A36</t>
  </si>
  <si>
    <t>1251121465486</t>
  </si>
  <si>
    <t>Thép cuộn cán nóng 3.41x1219 ASTM A36 II</t>
  </si>
  <si>
    <t>3.41×1219×C</t>
  </si>
  <si>
    <t>1251121465479</t>
  </si>
  <si>
    <t>Thép cuộn cán nóng 3.41x1219 ASTM A36</t>
  </si>
  <si>
    <t>1251121465462</t>
  </si>
  <si>
    <t>Thép cuộn cán nóng 2.45x1290 SS400 II</t>
  </si>
  <si>
    <t>1251121465455</t>
  </si>
  <si>
    <t>Thép cuộn cán nóng 2.45x1290 SS400</t>
  </si>
  <si>
    <t>1251121465448</t>
  </si>
  <si>
    <t>Thép cuộn cán nóng 2.75x1290 SS400 II</t>
  </si>
  <si>
    <t>1251121465431</t>
  </si>
  <si>
    <t>Thép cuộn cán nóng 2.75x1290 SS400</t>
  </si>
  <si>
    <t>1251121465424</t>
  </si>
  <si>
    <t>Thép cuộn cán nóng 3.15x1290 SS400 II</t>
  </si>
  <si>
    <t>1251121465417</t>
  </si>
  <si>
    <t>Thép cuộn cán nóng 3.15x1290 SS400</t>
  </si>
  <si>
    <t>1251121465400</t>
  </si>
  <si>
    <t>Thép cuộn cán nóng 3.45x1290 SS400 II</t>
  </si>
  <si>
    <t>1251121465394</t>
  </si>
  <si>
    <t>Thép cuộn cán nóng 3.45x1290 SS400</t>
  </si>
  <si>
    <t>1251121465387</t>
  </si>
  <si>
    <t>Thép cuộn cán nóng 5.80x1420 SS400 II</t>
  </si>
  <si>
    <t>5.80×1420×C</t>
  </si>
  <si>
    <t>1251121465370</t>
  </si>
  <si>
    <t>Thép cuộn cán nóng 5.80x1420 SS400</t>
  </si>
  <si>
    <t>1251121465363</t>
  </si>
  <si>
    <t>Thép cuộn cán nóng 2.00x1234 SAE1006 II</t>
  </si>
  <si>
    <t>2.00×1234×C</t>
  </si>
  <si>
    <t>1251121465349</t>
  </si>
  <si>
    <t>Thép cuộn cán nóng 2.00x1234 SAE1006</t>
  </si>
  <si>
    <t>1251121465332</t>
  </si>
  <si>
    <t>Thép cuộn cán nóng 3.50x1230 SAE1006 II</t>
  </si>
  <si>
    <t>3.50×1230×C</t>
  </si>
  <si>
    <t>1251121465325</t>
  </si>
  <si>
    <t>Thép cuộn cán nóng 3.50x1230 SAE1006</t>
  </si>
  <si>
    <t>1251121465318</t>
  </si>
  <si>
    <t>Thép cuộn cán nóng 4.50x1270 SAE1006 II</t>
  </si>
  <si>
    <t>4.50×1270×C</t>
  </si>
  <si>
    <t>1251121465301</t>
  </si>
  <si>
    <t>Thép cuộn cán nóng 4.50x1270 SAE1006</t>
  </si>
  <si>
    <t>1251121465295</t>
  </si>
  <si>
    <t>Thép cuộn cán nóng 4.00x1270 SAE1006 II</t>
  </si>
  <si>
    <t>4.00×1270×C</t>
  </si>
  <si>
    <t>1251121465288</t>
  </si>
  <si>
    <t>Thép cuộn cán nóng 4.00x1270 SAE1006</t>
  </si>
  <si>
    <t>1251121465271</t>
  </si>
  <si>
    <t>Thép cuộn cán nóng 3.50x1262 SAE1006 II</t>
  </si>
  <si>
    <t>1251121465264</t>
  </si>
  <si>
    <t>Thép cuộn cán nóng 3.50x1262 SAE1006</t>
  </si>
  <si>
    <t>1251121465257</t>
  </si>
  <si>
    <t>Thép cuộn cán nóng 3.50x1232 SAE1006 II</t>
  </si>
  <si>
    <t>1251121465240</t>
  </si>
  <si>
    <t>Thép cuộn cán nóng 3.50x1232 SAE1006</t>
  </si>
  <si>
    <t>1251121465233</t>
  </si>
  <si>
    <t>Thép cuộn cán nóng 3.50x1212 SAE1006 II</t>
  </si>
  <si>
    <t>1251121465226</t>
  </si>
  <si>
    <t>Thép cuộn cán nóng 3.50x1212 SAE1006</t>
  </si>
  <si>
    <t>1251121465219</t>
  </si>
  <si>
    <t>Thép cuộn cán nóng 2.50x1262 SAE1006 II</t>
  </si>
  <si>
    <t>1251121465202</t>
  </si>
  <si>
    <t>Thép cuộn cán nóng 2.50x1262 SAE1006</t>
  </si>
  <si>
    <t>1251121465196</t>
  </si>
  <si>
    <t>Thép cuộn cán nóng 3.90x1420 SS400 II</t>
  </si>
  <si>
    <t>3.90×1420×C</t>
  </si>
  <si>
    <t>1251121465189</t>
  </si>
  <si>
    <t>Thép cuộn cán nóng 3.90x1420 SS400</t>
  </si>
  <si>
    <t>1251121465172</t>
  </si>
  <si>
    <t>Thép cuộn cán nóng 3.80x1420 SS400 II</t>
  </si>
  <si>
    <t>3.80×1420×C</t>
  </si>
  <si>
    <t>1251121465165</t>
  </si>
  <si>
    <t>Thép cuộn cán nóng 3.80x1420 SS400</t>
  </si>
  <si>
    <t>1251121465158</t>
  </si>
  <si>
    <t>Thép cuộn cán nóng 3.45x1420 SS400 II</t>
  </si>
  <si>
    <t>3.45×1420×C</t>
  </si>
  <si>
    <t>1251121465141</t>
  </si>
  <si>
    <t>Thép cuộn cán nóng 3.45x1420 SS400</t>
  </si>
  <si>
    <t>1251121465134</t>
  </si>
  <si>
    <t>Thép cuộn cán nóng 3.15x1420 SS400 II</t>
  </si>
  <si>
    <t>3.15×1420×C</t>
  </si>
  <si>
    <t>1251121465127</t>
  </si>
  <si>
    <t>Thép cuộn cán nóng 3.15x1420 SS400</t>
  </si>
  <si>
    <t>1251121465110</t>
  </si>
  <si>
    <t>Thép cuộn cán nóng 2.95x1420 SS400 II</t>
  </si>
  <si>
    <t>2.95×1420×C</t>
  </si>
  <si>
    <t>1251121465103</t>
  </si>
  <si>
    <t>Thép cuộn cán nóng 2.95x1420 SS400</t>
  </si>
  <si>
    <t>1251121465097</t>
  </si>
  <si>
    <t>Thép cuộn cán nóng 2.75x1420 SS400 II</t>
  </si>
  <si>
    <t>2.75×1420×C</t>
  </si>
  <si>
    <t>1251121465080</t>
  </si>
  <si>
    <t>Thép cuộn cán nóng 2.75x1420 SS400</t>
  </si>
  <si>
    <t>1251121465073</t>
  </si>
  <si>
    <t>Thép cuộn cán nóng 11.90x1500 SS400 II</t>
  </si>
  <si>
    <t>1251121465066</t>
  </si>
  <si>
    <t>Thép cuộn cán nóng 11.90x1500 SS400</t>
  </si>
  <si>
    <t>1251121465059</t>
  </si>
  <si>
    <t>Thép cuộn cán nóng 9.90x1500 SS400 II</t>
  </si>
  <si>
    <t>1251121465042</t>
  </si>
  <si>
    <t>Thép cuộn cán nóng 9.90x1500 SS400</t>
  </si>
  <si>
    <t>1251121465035</t>
  </si>
  <si>
    <t>Thép cuộn cán nóng 5.70x1500 SS400 II</t>
  </si>
  <si>
    <t>1251121465028</t>
  </si>
  <si>
    <t>Thép cuộn cán nóng 5.70x1500 SS400</t>
  </si>
  <si>
    <t>1251121465011</t>
  </si>
  <si>
    <t>Thép cuộn cán nóng 4.70x1500 SS400 II</t>
  </si>
  <si>
    <t>1251121465004</t>
  </si>
  <si>
    <t>Thép cuộn cán nóng 4.70x1500 SS400</t>
  </si>
  <si>
    <t>1251121464991</t>
  </si>
  <si>
    <t>Thép cuộn cán nóng 4.50x1500 SS400 II</t>
  </si>
  <si>
    <t>1251121464984</t>
  </si>
  <si>
    <t>Thép cuộn cán nóng 4.50x1500 SS400</t>
  </si>
  <si>
    <t>1251121464977</t>
  </si>
  <si>
    <t>Thép cuộn cán nóng 9.00x1500 SS400 II</t>
  </si>
  <si>
    <t>9.00×1500×C</t>
  </si>
  <si>
    <t>1251121464960</t>
  </si>
  <si>
    <t>Thép cuộn cán nóng 9.00x1500 SS400</t>
  </si>
  <si>
    <t>1251121464953</t>
  </si>
  <si>
    <t>Thép cuộn cán nóng 3.90x1262 SS400 II</t>
  </si>
  <si>
    <t>1251121464946</t>
  </si>
  <si>
    <t>Thép cuộn cán nóng 3.90x1262 SS400</t>
  </si>
  <si>
    <t>1251121464939</t>
  </si>
  <si>
    <t>Thép cuộn cán nóng 3.50x1262 SS400 II</t>
  </si>
  <si>
    <t>1251121464922</t>
  </si>
  <si>
    <t>Thép cuộn cán nóng 3.50x1262 SS400</t>
  </si>
  <si>
    <t>1251121464915</t>
  </si>
  <si>
    <t>Thép cuộn cán nóng 2.25x1290 SS400 II</t>
  </si>
  <si>
    <t>1251121464908</t>
  </si>
  <si>
    <t>Thép cuộn cán nóng 2.25x1290 SS400</t>
  </si>
  <si>
    <t>1251121464892</t>
  </si>
  <si>
    <t>Thép cuộn cán nóng 3.13x1250 SS400 II</t>
  </si>
  <si>
    <t>3.13×1250×C</t>
  </si>
  <si>
    <t>1251121464885</t>
  </si>
  <si>
    <t>Thép cuộn cán nóng 3.13x1250 SS400</t>
  </si>
  <si>
    <t>1251121464878</t>
  </si>
  <si>
    <t>Thép cuộn cán nóng 2.78x1250 SS400 II</t>
  </si>
  <si>
    <t>2.78×1250×C</t>
  </si>
  <si>
    <t>1251121464861</t>
  </si>
  <si>
    <t>Thép cuộn cán nóng 2.78x1250 SS400</t>
  </si>
  <si>
    <t>1251121464854</t>
  </si>
  <si>
    <t>Thép cuộn cán nóng 5.30x1212 SAE1006 II</t>
  </si>
  <si>
    <t>1251121460061</t>
  </si>
  <si>
    <t>Thép cuộn cán nóng 5.30x1212 SAE1006</t>
  </si>
  <si>
    <t>1251121460054</t>
  </si>
  <si>
    <t>Thép cuộn cán nóng 4.40x1212 SAE1006 II</t>
  </si>
  <si>
    <t>1251121460047</t>
  </si>
  <si>
    <t>Thép cuộn cán nóng 4.40x1212 SAE1006</t>
  </si>
  <si>
    <t>1251121460030</t>
  </si>
  <si>
    <t>Thép cuộn cán nóng 9.80x1490 SS400 II</t>
  </si>
  <si>
    <t>9.80×1490×C</t>
  </si>
  <si>
    <t>1251121459959</t>
  </si>
  <si>
    <t>Thép cuộn cán nóng 9.80x1490 SS400</t>
  </si>
  <si>
    <t>1251121459942</t>
  </si>
  <si>
    <t>Thép cuộn cán nóng 4.80x1212 SAE1006 II</t>
  </si>
  <si>
    <t>1251121459935</t>
  </si>
  <si>
    <t>Thép cuộn cán nóng 4.80x1212 SAE1006</t>
  </si>
  <si>
    <t>1251121459928</t>
  </si>
  <si>
    <t>Thép cuộn cán nóng 3.10x1250 SS400 II</t>
  </si>
  <si>
    <t>3.10×1250×C</t>
  </si>
  <si>
    <t>1251121459874</t>
  </si>
  <si>
    <t>Thép cuộn cán nóng 3.10x1250 SS400</t>
  </si>
  <si>
    <t>1251121459867</t>
  </si>
  <si>
    <t>Thép cuộn cán nóng 4.80x1250 SS400 II</t>
  </si>
  <si>
    <t>4.80×1250×C</t>
  </si>
  <si>
    <t>1251121459850</t>
  </si>
  <si>
    <t>Thép cuộn cán nóng 4.80x1250 SS400</t>
  </si>
  <si>
    <t>1251121459843</t>
  </si>
  <si>
    <t>Thép cuộn cán nóng 3.40x1250  SAE1006 II</t>
  </si>
  <si>
    <t>3.40×1250×C</t>
  </si>
  <si>
    <t>1251121459836</t>
  </si>
  <si>
    <t>Thép cuộn cán nóng 3.40x1250 SAE1006</t>
  </si>
  <si>
    <t>1251121459829</t>
  </si>
  <si>
    <t>Thép cuộn cán nóng 2.63x1250 SAE1006 II</t>
  </si>
  <si>
    <t>2.63×1250×C</t>
  </si>
  <si>
    <t>1251121459812</t>
  </si>
  <si>
    <t>Thép cuộn cán nóng 2.63x1250 SAE1006</t>
  </si>
  <si>
    <t>1251121459805</t>
  </si>
  <si>
    <t>Thép cuộn cán nóng 2.00x1262 SAE1006 II</t>
  </si>
  <si>
    <t>1251121459799</t>
  </si>
  <si>
    <t>Thép cuộn cán nóng 2.00x1262 SAE1006</t>
  </si>
  <si>
    <t>1251121459782</t>
  </si>
  <si>
    <t>Thép cuộn cán nóng 2.45x1236 SAE1006 II</t>
  </si>
  <si>
    <t>2.45×1236×C</t>
  </si>
  <si>
    <t>1251121459775</t>
  </si>
  <si>
    <t>Thép cuộn cán nóng 2.45x1236 SAE1006</t>
  </si>
  <si>
    <t>1251121459768</t>
  </si>
  <si>
    <t>Thép cuộn cán nóng 2.45x1225 SAE1006 II</t>
  </si>
  <si>
    <t>2.45×1225×C</t>
  </si>
  <si>
    <t>1251121459409</t>
  </si>
  <si>
    <t>Thép cuộn cán nóng 2.45x1225 SAE1006</t>
  </si>
  <si>
    <t>1251121459393</t>
  </si>
  <si>
    <t>Thép cuộn cán nóng 3.90x1230 SAE1006 II</t>
  </si>
  <si>
    <t>3.90×1230×C</t>
  </si>
  <si>
    <t>1251121457672</t>
  </si>
  <si>
    <t>Thép cuộn cán nóng 3.90x1230 SAE1006</t>
  </si>
  <si>
    <t>1251121457665</t>
  </si>
  <si>
    <t>Thép cuộn cán nóng 6.00x1490 SS400 II</t>
  </si>
  <si>
    <t>6.00×1490×C</t>
  </si>
  <si>
    <t>1251121457658</t>
  </si>
  <si>
    <t>Thép cuộn cán nóng 6.00x1490 SS400</t>
  </si>
  <si>
    <t>1251121457641</t>
  </si>
  <si>
    <t>Thép cuộn cán nóng 4.60x1490 SS400 II</t>
  </si>
  <si>
    <t>4.60×1490×C</t>
  </si>
  <si>
    <t>1251121457634</t>
  </si>
  <si>
    <t>Thép cuộn cán nóng 4.60x1490 SS400</t>
  </si>
  <si>
    <t>1251121457627</t>
  </si>
  <si>
    <t>Thép cuộn cán nóng 4.40x1490 SS400 II</t>
  </si>
  <si>
    <t>4.40×1490×C</t>
  </si>
  <si>
    <t>1251121457610</t>
  </si>
  <si>
    <t>Thép cuộn cán nóng 4.40x1490 SS400</t>
  </si>
  <si>
    <t>1251121457603</t>
  </si>
  <si>
    <t>Thép cuộn cán nóng 6.00x1360 SS400 II</t>
  </si>
  <si>
    <t>1251121457597</t>
  </si>
  <si>
    <t>Thép cuộn cán nóng 6.00x1360 SS400</t>
  </si>
  <si>
    <t>1251121457580</t>
  </si>
  <si>
    <t>Thép cuộn cán nóng 5.30x1360 SS400 II</t>
  </si>
  <si>
    <t>5.30×1360×C</t>
  </si>
  <si>
    <t>1251121457573</t>
  </si>
  <si>
    <t>Thép cuộn cán nóng 5.30x1360 SS400</t>
  </si>
  <si>
    <t>1251121457566</t>
  </si>
  <si>
    <t>Thép cuộn cán nóng 4.90x1360 SS400 II</t>
  </si>
  <si>
    <t>1251121457559</t>
  </si>
  <si>
    <t>Thép cuộn cán nóng 4.90x1360 SS400</t>
  </si>
  <si>
    <t>1251121457542</t>
  </si>
  <si>
    <t>Thép cuộn cán nóng 4.60x1360 SS400 II</t>
  </si>
  <si>
    <t>4.60×1360×C</t>
  </si>
  <si>
    <t>1251121457535</t>
  </si>
  <si>
    <t>Thép cuộn cán nóng 4.60x1360 SS400</t>
  </si>
  <si>
    <t>1251121457528</t>
  </si>
  <si>
    <t>Thép cuộn cán nóng 3.80x1360 SS400 II</t>
  </si>
  <si>
    <t>3.80×1360×C</t>
  </si>
  <si>
    <t>1251121457511</t>
  </si>
  <si>
    <t>Thép cuộn cán nóng 3.80x1360 SS400</t>
  </si>
  <si>
    <t>1251121457504</t>
  </si>
  <si>
    <t>Thép cuộn cán nóng 2.30x1239 SS400 II</t>
  </si>
  <si>
    <t>1251121457498</t>
  </si>
  <si>
    <t>Thép cuộn cán nóng 2.30x1239 SS400</t>
  </si>
  <si>
    <t>1251121457481</t>
  </si>
  <si>
    <t>Thép cuộn cán nóng 2.35x1250 SS400 II</t>
  </si>
  <si>
    <t>1251121457474</t>
  </si>
  <si>
    <t>Thép cuộn cán nóng 2.35x1250 SS400</t>
  </si>
  <si>
    <t>1251121457467</t>
  </si>
  <si>
    <t>Thép cuộn cán nóng 2.90x1250 SS400 II</t>
  </si>
  <si>
    <t>1251121457450</t>
  </si>
  <si>
    <t>Thép cuộn cán nóng 2.90x1250 SS400</t>
  </si>
  <si>
    <t>1251121457443</t>
  </si>
  <si>
    <t>Thép cuộn cán nóng 2.15x1219 SPA-H II</t>
  </si>
  <si>
    <t>1251121457405</t>
  </si>
  <si>
    <t>Thép cuộn cán nóng 2.15x1219 SPA-H</t>
  </si>
  <si>
    <t>1251121457399</t>
  </si>
  <si>
    <t>Thép cuộn cán nóng 2.35x1219 SPA-H II</t>
  </si>
  <si>
    <t>1251121457382</t>
  </si>
  <si>
    <t>Thép cuộn cán nóng 2.35x1219 SPA-H</t>
  </si>
  <si>
    <t>1251121457375</t>
  </si>
  <si>
    <t>Thép cuộn cán nóng 4.75x1500 SS400 II</t>
  </si>
  <si>
    <t>1251121457368</t>
  </si>
  <si>
    <t>Thép cuộn cán nóng 4.75x1500 SS400</t>
  </si>
  <si>
    <t>1251121457351</t>
  </si>
  <si>
    <t>Thép cuộn cán nóng 3.95x1219 SPA-H II</t>
  </si>
  <si>
    <t>3.95×1219×C</t>
  </si>
  <si>
    <t>1251121457344</t>
  </si>
  <si>
    <t>Thép cuộn cán nóng 3.95x1219 SPA-H</t>
  </si>
  <si>
    <t>1251121457337</t>
  </si>
  <si>
    <t>Thép cuộn cán nóng 3.45x1219 SPA-H II</t>
  </si>
  <si>
    <t>1251121457320</t>
  </si>
  <si>
    <t>Thép cuộn cán nóng 3.45x1219 SPA-H</t>
  </si>
  <si>
    <t>1251121457313</t>
  </si>
  <si>
    <t>Thép cuộn cán nóng 2.95x1219 SPA-H II</t>
  </si>
  <si>
    <t>1251121457306</t>
  </si>
  <si>
    <t>Thép cuộn cán nóng 2.95x1219 SPA-H</t>
  </si>
  <si>
    <t>1251121457290</t>
  </si>
  <si>
    <t>Thép cuộn cán nóng 2.75x1219 SPA-H II</t>
  </si>
  <si>
    <t>1251121457283</t>
  </si>
  <si>
    <t>Thép cuộn cán nóng 2.75x1219 SPA-H</t>
  </si>
  <si>
    <t>1251121457276</t>
  </si>
  <si>
    <t>Thép cuộn cán nóng 2.45x1219 SPA-H II</t>
  </si>
  <si>
    <t>1251121457269</t>
  </si>
  <si>
    <t>Thép cuộn cán nóng 2.45x1219 SPA-H</t>
  </si>
  <si>
    <t>1251121457252</t>
  </si>
  <si>
    <t>Thép cuộn cán nóng 2.20x1234 SAE1006 II</t>
  </si>
  <si>
    <t>2.20×1234×C</t>
  </si>
  <si>
    <t>1251121457245</t>
  </si>
  <si>
    <t>Thép cuộn cán nóng 2.20x1234 SAE1006</t>
  </si>
  <si>
    <t>1251121457238</t>
  </si>
  <si>
    <t>Thép cuộn cán nóng 2.30x1230 SAE1006 II</t>
  </si>
  <si>
    <t>1251121457221</t>
  </si>
  <si>
    <t>Thép cuộn cán nóng 2.30x1230 SAE1006</t>
  </si>
  <si>
    <t>1251121457214</t>
  </si>
  <si>
    <t>Thép cuộn cán nóng 2.30x1232 SAE1006 II</t>
  </si>
  <si>
    <t>1251121457207</t>
  </si>
  <si>
    <t>Thép cuộn cán nóng 2.30x1232 SAE1006</t>
  </si>
  <si>
    <t>1251121457191</t>
  </si>
  <si>
    <t>Thép cuộn cán nóng 3.85x1250 SS400 II</t>
  </si>
  <si>
    <t>1251121456866</t>
  </si>
  <si>
    <t>Thép cuộn cán nóng 3.85x1250 SS400</t>
  </si>
  <si>
    <t>1251121456859</t>
  </si>
  <si>
    <t>Thép cuộn cán nóng 2.45x1217 SAE1006 II</t>
  </si>
  <si>
    <t>1251121456842</t>
  </si>
  <si>
    <t>Thép cuộn cán nóng 2.45x1217 SAE1006</t>
  </si>
  <si>
    <t>1251121456835</t>
  </si>
  <si>
    <t>Thép cuộn cán nóng 3.80x1250 SS400 II</t>
  </si>
  <si>
    <t>1251121456828</t>
  </si>
  <si>
    <t>Thép cuộn cán nóng 3.80x1250 SS400</t>
  </si>
  <si>
    <t>1251121456811</t>
  </si>
  <si>
    <t>Thép cuộn cán nóng 2.85x1212 SAE1006 II</t>
  </si>
  <si>
    <t>1251121456675</t>
  </si>
  <si>
    <t>Thép cuộn cán nóng 2.85x1212 SAE1006</t>
  </si>
  <si>
    <t>1251121456668</t>
  </si>
  <si>
    <t>Thép cuộn cán nóng 2.45x1262 SAE1006 II</t>
  </si>
  <si>
    <t>1251121456651</t>
  </si>
  <si>
    <t>Thép cuộn cán nóng 2.45x1262 SAE1006</t>
  </si>
  <si>
    <t>1251121456644</t>
  </si>
  <si>
    <t>Thép cuộn cán nóng 2.70x1230 SAE1006 II</t>
  </si>
  <si>
    <t>2.70×1230×C</t>
  </si>
  <si>
    <t>1251121456637</t>
  </si>
  <si>
    <t>Thép cuộn cán nóng 2.70x1230 SAE1006</t>
  </si>
  <si>
    <t>1251121456620</t>
  </si>
  <si>
    <t>Thép cuộn cán nóng 2.40x1219 SAE1006 II</t>
  </si>
  <si>
    <t>1251121456613</t>
  </si>
  <si>
    <t>Thép cuộn cán nóng 2.40x1219 SAE1006</t>
  </si>
  <si>
    <t>1251121456606</t>
  </si>
  <si>
    <t>Thép cuộn cán nóng 3.45x1233 SAE1006 II</t>
  </si>
  <si>
    <t>3.45×1233×C</t>
  </si>
  <si>
    <t>1251121456552</t>
  </si>
  <si>
    <t>Thép cuộn cán nóng 3.45x1233 SAE1006</t>
  </si>
  <si>
    <t>1251121456545</t>
  </si>
  <si>
    <t>Thép cuộn cán nóng 3.95x1233 SAE1006 II</t>
  </si>
  <si>
    <t>3.95×1233×C</t>
  </si>
  <si>
    <t>1251121456538</t>
  </si>
  <si>
    <t>Thép cuộn cán nóng 3.95x1233 SAE1006</t>
  </si>
  <si>
    <t>1251121456521</t>
  </si>
  <si>
    <t>Thép cuộn cán nóng 2.95x1233 SAE1006 II</t>
  </si>
  <si>
    <t>2.95×1233×C</t>
  </si>
  <si>
    <t>1251121456514</t>
  </si>
  <si>
    <t>Thép cuộn cán nóng 2.95x1233 SAE1006</t>
  </si>
  <si>
    <t>1251121456507</t>
  </si>
  <si>
    <t>Thép cuộn cán nóng 4.00x1260 SAE1006 II</t>
  </si>
  <si>
    <t>4.00×1260×C</t>
  </si>
  <si>
    <t>1251121456392</t>
  </si>
  <si>
    <t>Thép cuộn cán nóng 4.00x1260 SAE1006</t>
  </si>
  <si>
    <t>1251121456385</t>
  </si>
  <si>
    <t>Thép cuộn cán nóng 3.80x1260 SAE1006 II</t>
  </si>
  <si>
    <t>1251121456378</t>
  </si>
  <si>
    <t>Thép cuộn cán nóng 3.80x1260 SAE1006</t>
  </si>
  <si>
    <t>1251121456361</t>
  </si>
  <si>
    <t>Thép cuộn cán nóng 3.00x1260 SAE1006 II</t>
  </si>
  <si>
    <t>1251121456354</t>
  </si>
  <si>
    <t>Thép cuộn cán nóng 3.00x1260 SAE1006</t>
  </si>
  <si>
    <t>1251121456347</t>
  </si>
  <si>
    <t>Thép cuộn cán nóng 2.85x1262 SAE1006 II</t>
  </si>
  <si>
    <t>1251121456330</t>
  </si>
  <si>
    <t>Thép cuộn cán nóng 2.85x1262 SAE1006</t>
  </si>
  <si>
    <t>1251121456323</t>
  </si>
  <si>
    <t>Thép cuộn cán nóng 3.00x1264 SAE1006 II</t>
  </si>
  <si>
    <t>1251121456316</t>
  </si>
  <si>
    <t>Thép cuộn cán nóng 3.00x1264 SAE1006</t>
  </si>
  <si>
    <t>1251121456309</t>
  </si>
  <si>
    <t>Thép cuộn cán nóng 3.75x1500 SS400 II</t>
  </si>
  <si>
    <t>3.75×1500×C</t>
  </si>
  <si>
    <t>1251121455364</t>
  </si>
  <si>
    <t>Thép cuộn cán nóng 3.75x1500 SS400</t>
  </si>
  <si>
    <t>1251121455357</t>
  </si>
  <si>
    <t>Thép cuộn cán nóng 2.85x1250 SAE1006 II</t>
  </si>
  <si>
    <t>1251121455333</t>
  </si>
  <si>
    <t>Thép cuộn cán nóng 2.85x1250 SAE1006</t>
  </si>
  <si>
    <t>1251121455326</t>
  </si>
  <si>
    <t>Thép cuộn cán nóng 3.50x1250 SAE1006 II</t>
  </si>
  <si>
    <t>1251121455319</t>
  </si>
  <si>
    <t>Thép cuộn cán nóng 3.50x1250 SAE1006</t>
  </si>
  <si>
    <t>1251121455302</t>
  </si>
  <si>
    <t>Thép cuộn cán nóng 5.00x1265 SAE1006 II</t>
  </si>
  <si>
    <t>5.00×1265×C</t>
  </si>
  <si>
    <t>1251121454947</t>
  </si>
  <si>
    <t>Thép cuộn cán nóng 5.00x1265 SAE1006</t>
  </si>
  <si>
    <t>1251121454930</t>
  </si>
  <si>
    <t>Thép cuộn cán nóng 5.00x1500 SS400 II</t>
  </si>
  <si>
    <t>1251121454909</t>
  </si>
  <si>
    <t>Thép cuộn cán nóng 5.00x1500 SS400</t>
  </si>
  <si>
    <t>1251121454893</t>
  </si>
  <si>
    <t>Thép cuộn cán nóng 3.00x1500 SS400 II</t>
  </si>
  <si>
    <t>1251121454886</t>
  </si>
  <si>
    <t>Thép cuộn cán nóng 3.00x1500 SS400</t>
  </si>
  <si>
    <t>1251121454879</t>
  </si>
  <si>
    <t>Thép cuộn cán nóng 2.20x1265 SAE1006 II</t>
  </si>
  <si>
    <t>1251121454862</t>
  </si>
  <si>
    <t>Thép cuộn cán nóng 2.20x1265 SAE1006</t>
  </si>
  <si>
    <t>1251121454855</t>
  </si>
  <si>
    <t>Thép cuộn cán nóng 2.50x1242 SAE1006 II</t>
  </si>
  <si>
    <t>1251121454787</t>
  </si>
  <si>
    <t>Thép cuộn cán nóng 2.50x1242 SAE1006</t>
  </si>
  <si>
    <t>1251121454770</t>
  </si>
  <si>
    <t>Thép cuộn cán nóng 3.95x1264 SAE1006 II</t>
  </si>
  <si>
    <t>3.95×1264×C</t>
  </si>
  <si>
    <t>1251121454763</t>
  </si>
  <si>
    <t>Thép cuộn cán nóng 3.95x1264 SAE1006</t>
  </si>
  <si>
    <t>1251121454756</t>
  </si>
  <si>
    <t>Thép cuộn cán nóng 3.45x1264 SAE1006 II</t>
  </si>
  <si>
    <t>1251121454749</t>
  </si>
  <si>
    <t>Thép cuộn cán nóng 3.45x1264 SAE1006</t>
  </si>
  <si>
    <t>1251121454732</t>
  </si>
  <si>
    <t>Thép cuộn cán nóng 2.95x1264 SAE1006 II</t>
  </si>
  <si>
    <t>2.95×1264×C</t>
  </si>
  <si>
    <t>1251121454725</t>
  </si>
  <si>
    <t>Thép cuộn cán nóng 2.95x1264 SAE1006</t>
  </si>
  <si>
    <t>1251121454718</t>
  </si>
  <si>
    <t>Thép cuộn cán nóng 2.75x1264 SAE1006 II</t>
  </si>
  <si>
    <t>2.75×1264×C</t>
  </si>
  <si>
    <t>1251121454701</t>
  </si>
  <si>
    <t>Thép cuộn cán nóng 2.75x1264 SAE1006</t>
  </si>
  <si>
    <t>1251121454695</t>
  </si>
  <si>
    <t>Thép cuộn cán nóng 2.45x1264 SAE1006 II</t>
  </si>
  <si>
    <t>2.45×1264×C</t>
  </si>
  <si>
    <t>1251121454688</t>
  </si>
  <si>
    <t>Thép cuộn cán nóng 2.45x1264 SAE1006</t>
  </si>
  <si>
    <t>1251121454671</t>
  </si>
  <si>
    <t>Thép cuộn cán nóng 2.45x1233 SAE1006 II</t>
  </si>
  <si>
    <t>2.45×1233×C</t>
  </si>
  <si>
    <t>1251121454664</t>
  </si>
  <si>
    <t>Thép cuộn cán nóng 2.45x1233 SAE1006</t>
  </si>
  <si>
    <t>1251121454657</t>
  </si>
  <si>
    <t>Thép cuộn cán nóng 2.90x1219 SAE1006</t>
  </si>
  <si>
    <t>1251121454633</t>
  </si>
  <si>
    <t>Thép cuộn cán nóng 2.90x1219 SAE1006 II</t>
  </si>
  <si>
    <t>1251121454626</t>
  </si>
  <si>
    <t>Thép cuộn cán nóng 2.35x1219 SS400 II</t>
  </si>
  <si>
    <t>1251121454435</t>
  </si>
  <si>
    <t>Thép cuộn cán nóng 2.35x1219 SS400</t>
  </si>
  <si>
    <t>1251121454428</t>
  </si>
  <si>
    <t>Thép cuộn cán nóng 2.90x1219 SS400 II</t>
  </si>
  <si>
    <t>1251121454329</t>
  </si>
  <si>
    <t>Thép cuộn cán nóng 2.90x1219 SS400</t>
  </si>
  <si>
    <t>1251121454312</t>
  </si>
  <si>
    <t>Thép cuộn cán nóng 2.00x1290 SAE1006 II</t>
  </si>
  <si>
    <t>2.00×1290×C</t>
  </si>
  <si>
    <t>1251121454305</t>
  </si>
  <si>
    <t>Thép cuộn cán nóng 2.00x1290 SAE1006</t>
  </si>
  <si>
    <t>1251121454299</t>
  </si>
  <si>
    <t>Thép cuộn cán nóng 2.60x1250 SAE1006 II</t>
  </si>
  <si>
    <t>1251121453704</t>
  </si>
  <si>
    <t>Thép cuộn cán nóng 2.60x1250 SAE1006</t>
  </si>
  <si>
    <t>1251121453698</t>
  </si>
  <si>
    <t>Thép cuộn cán nóng 3.45x1260 SAE1006 II</t>
  </si>
  <si>
    <t>1251121453537</t>
  </si>
  <si>
    <t>Thép cuộn cán nóng 3.45x1260 SAE1006</t>
  </si>
  <si>
    <t>1251121453520</t>
  </si>
  <si>
    <t>Thép cuộn cán nóng 2.70x1239 SS400 II</t>
  </si>
  <si>
    <t>2.70×1239×C</t>
  </si>
  <si>
    <t>1251121452998</t>
  </si>
  <si>
    <t>Thép cuộn cán nóng 2.50x1290 SAE1006 II</t>
  </si>
  <si>
    <t>1251121452981</t>
  </si>
  <si>
    <t>Thép cuộn cán nóng 2.95x1260 SAE1006 II</t>
  </si>
  <si>
    <t>1251121452974</t>
  </si>
  <si>
    <t>Thép cuộn cán nóng 2.75x1260 SAE1006 II</t>
  </si>
  <si>
    <t>1251121452967</t>
  </si>
  <si>
    <t>Thép cuộn cán nóng 2.60x1260 SAE1006 II</t>
  </si>
  <si>
    <t>1251121452950</t>
  </si>
  <si>
    <t>Thép cuộn cán nóng 2.70x1239 SS400</t>
  </si>
  <si>
    <t>1251121452936</t>
  </si>
  <si>
    <t>Thép cuộn cán nóng 2.50x1290 SAE1006</t>
  </si>
  <si>
    <t>1251121452929</t>
  </si>
  <si>
    <t>Thép cuộn cán nóng 2.95x1260 SAE1006</t>
  </si>
  <si>
    <t>1251121452912</t>
  </si>
  <si>
    <t>Thép cuộn cán nóng 2.75x1260 SAE1006</t>
  </si>
  <si>
    <t>1251121452905</t>
  </si>
  <si>
    <t>Thép cuộn cán nóng 2.60x1260 SAE1006</t>
  </si>
  <si>
    <t>1251121452899</t>
  </si>
  <si>
    <t>Thép cuộn cán nóng 2.45x1234 SAE1006</t>
  </si>
  <si>
    <t>2.45×1234×C</t>
  </si>
  <si>
    <t>1251121452516</t>
  </si>
  <si>
    <t>Thép cuộn cán nóng 2.70x1239 SAE1006</t>
  </si>
  <si>
    <t>1251121452509</t>
  </si>
  <si>
    <t>Thép cuộn cán nóng 2.60x1219 SAE1006</t>
  </si>
  <si>
    <t>1251121452493</t>
  </si>
  <si>
    <t>Thép cuộn cán nóng 2.80x1230 SAE1006</t>
  </si>
  <si>
    <t>2.80×1230×C</t>
  </si>
  <si>
    <t>1251121452486</t>
  </si>
  <si>
    <t>Thép cuộn cán nóng 2.50x1219 SAE1006</t>
  </si>
  <si>
    <t>1251121452479</t>
  </si>
  <si>
    <t>Thép cuộn cán nóng 2.45x1260 SAE1006</t>
  </si>
  <si>
    <t>2.45×1260×C</t>
  </si>
  <si>
    <t>1251121452462</t>
  </si>
  <si>
    <t>Thép cuộn cán nóng 3.20x1250 SAE1006</t>
  </si>
  <si>
    <t>1251121452455</t>
  </si>
  <si>
    <t>Thép cuộn cán nóng 2.90x1250 SAE1006</t>
  </si>
  <si>
    <t>1251121452448</t>
  </si>
  <si>
    <t>Thép cuộn cán nóng 2.70x1250 SAE1006</t>
  </si>
  <si>
    <t>1251121452431</t>
  </si>
  <si>
    <t>Thép cuộn cán nóng 3.95x1262 SAE1006</t>
  </si>
  <si>
    <t>1251121452066</t>
  </si>
  <si>
    <t>Thép cuộn cán nóng 2.00x1265 SAE1006</t>
  </si>
  <si>
    <t>1251121451946</t>
  </si>
  <si>
    <t>Thép cuộn cán nóng 2.15x1265 SAE1006</t>
  </si>
  <si>
    <t>2.15×1265×C</t>
  </si>
  <si>
    <t>1251121451939</t>
  </si>
  <si>
    <t>Thép cuộn cán nóng 2.25x1265 SAE1006</t>
  </si>
  <si>
    <t>2.25×1265×C</t>
  </si>
  <si>
    <t>1251121451922</t>
  </si>
  <si>
    <t>Thép cuộn cán nóng 2.35x1265 SAE1006</t>
  </si>
  <si>
    <t>2.35×1265×C</t>
  </si>
  <si>
    <t>1251121451915</t>
  </si>
  <si>
    <t>Thép cuộn cán nóng 2.45x1265 SAE1006</t>
  </si>
  <si>
    <t>2.45×1265×C</t>
  </si>
  <si>
    <t>1251121451908</t>
  </si>
  <si>
    <t>Thép cuộn cán nóng 2.75x1265 SAE1006</t>
  </si>
  <si>
    <t>1251121451892</t>
  </si>
  <si>
    <t>Thép cuộn cán nóng 2.95x1265 SAE1006</t>
  </si>
  <si>
    <t>2.95×1265×C</t>
  </si>
  <si>
    <t>1251121451885</t>
  </si>
  <si>
    <t>Thép cuộn cán nóng 3.15x1265 SAE1006</t>
  </si>
  <si>
    <t>3.15×1265×C</t>
  </si>
  <si>
    <t>1251121451878</t>
  </si>
  <si>
    <t>Thép cuộn cán nóng 3.45x1265 SAE1006</t>
  </si>
  <si>
    <t>3.45×1265×C</t>
  </si>
  <si>
    <t>1251121451861</t>
  </si>
  <si>
    <t>Thép cuộn cán nóng 3.75x1265 SAE1006</t>
  </si>
  <si>
    <t>3.75×1265×C</t>
  </si>
  <si>
    <t>1251121451854</t>
  </si>
  <si>
    <t>Thép cuộn cán nóng 3.95x1265 SAE1006</t>
  </si>
  <si>
    <t>3.95×1265×C</t>
  </si>
  <si>
    <t>1251121451847</t>
  </si>
  <si>
    <t>Thép cuộn cán nóng 4.00x1500 SS400</t>
  </si>
  <si>
    <t>1251121451762</t>
  </si>
  <si>
    <t>Thép cuộn cán nóng 3.75x1219 SS400</t>
  </si>
  <si>
    <t>1251121451540</t>
  </si>
  <si>
    <t>Thép cuộn cán nóng 3.70x1500 SS400</t>
  </si>
  <si>
    <t>1251121451359</t>
  </si>
  <si>
    <t>Thép cuộn cán nóng 3.90x1500 SS400</t>
  </si>
  <si>
    <t>1251121451342</t>
  </si>
  <si>
    <t>Thép cuộn cán nóng 4.40x1500 SS400</t>
  </si>
  <si>
    <t>4.40×1500×C</t>
  </si>
  <si>
    <t>1251121451335</t>
  </si>
  <si>
    <t>Thép cuộn cán nóng 6.00x1500 SS400</t>
  </si>
  <si>
    <t>1251121451328</t>
  </si>
  <si>
    <t>Thép cuộn cán nóng 10.00x1500 SS400</t>
  </si>
  <si>
    <t>1251121451311</t>
  </si>
  <si>
    <t>Thép cuộn cán nóng 8.00x1500 SS400</t>
  </si>
  <si>
    <t>1251121451304</t>
  </si>
  <si>
    <t>Thép cuộn cán nóng 12.00x1500 SS400</t>
  </si>
  <si>
    <t>1251121451298</t>
  </si>
  <si>
    <t>Thép cuộn cán nóng 2.45x1500 SS400</t>
  </si>
  <si>
    <t>1251121451076</t>
  </si>
  <si>
    <t>Thép cuộn cán nóng 2.75x1500 SS400</t>
  </si>
  <si>
    <t>1251121451069</t>
  </si>
  <si>
    <t>Thép cuộn cán nóng 2.80x1500 SS400</t>
  </si>
  <si>
    <t>1251121451052</t>
  </si>
  <si>
    <t>Thép cuộn cán nóng 3.15x1500 SS400</t>
  </si>
  <si>
    <t>3.15×1500×C</t>
  </si>
  <si>
    <t>1251121451007</t>
  </si>
  <si>
    <t>Thép cuộn cán nóng 3.40x1500 SS400</t>
  </si>
  <si>
    <t>1251121450994</t>
  </si>
  <si>
    <t>Thép cuộn cán nóng 3.45x1500 SS400</t>
  </si>
  <si>
    <t>3.45×1500×C</t>
  </si>
  <si>
    <t>1251121450987</t>
  </si>
  <si>
    <t>Thép cuộn cán nóng 3.85x1500 SS400</t>
  </si>
  <si>
    <t>1251121450970</t>
  </si>
  <si>
    <t>Thép cuộn cán nóng 3.95x1500 SS400</t>
  </si>
  <si>
    <t>1251121450963</t>
  </si>
  <si>
    <t>Thép cuộn cán nóng 4.85x1500 SS400</t>
  </si>
  <si>
    <t>1251121450956</t>
  </si>
  <si>
    <t>Thép cuộn cán nóng 4.95x1500 SS400</t>
  </si>
  <si>
    <t>1251121450949</t>
  </si>
  <si>
    <t>Thép cuộn cán nóng 5.85x1500 SS400</t>
  </si>
  <si>
    <t>1251121450932</t>
  </si>
  <si>
    <t>Thép cuộn cán nóng 5.90x1500 SS400</t>
  </si>
  <si>
    <t>1251121450925</t>
  </si>
  <si>
    <t>Thép cuộn cán nóng 7.85x1500 SS400</t>
  </si>
  <si>
    <t>1251121450918</t>
  </si>
  <si>
    <t>Thép cuộn cán nóng 11.80x1500 SS400</t>
  </si>
  <si>
    <t>11.80×1500×C</t>
  </si>
  <si>
    <t>1251121450895</t>
  </si>
  <si>
    <t>Thép cuộn cán nóng 9.85x1500 SS400</t>
  </si>
  <si>
    <t>1251121450888</t>
  </si>
  <si>
    <t>Thép cuộn cán nóng 11.85x1500 SS400</t>
  </si>
  <si>
    <t>1251121450871</t>
  </si>
  <si>
    <t>Thép cuộn cán nóng 2.00x1212 SAE1006</t>
  </si>
  <si>
    <t>1251121449202</t>
  </si>
  <si>
    <t>Thép cuộn cán nóng 4.80x1400 SS400 II</t>
  </si>
  <si>
    <t>4.80×1400×C</t>
  </si>
  <si>
    <t>1251121448007</t>
  </si>
  <si>
    <t>Thép cuộn cán nóng 4.50x1400 SS400 II</t>
  </si>
  <si>
    <t>4.50×1400×C</t>
  </si>
  <si>
    <t>1251121447994</t>
  </si>
  <si>
    <t>Thép cuộn cán nóng 3.80x1400 SS400 II</t>
  </si>
  <si>
    <t>3.80×1400×C</t>
  </si>
  <si>
    <t>1251121447987</t>
  </si>
  <si>
    <t>Thép cuộn cán nóng 4.80x1400 SS400</t>
  </si>
  <si>
    <t>1251121447970</t>
  </si>
  <si>
    <t>Thép cuộn cán nóng 4.50x1400 SS400</t>
  </si>
  <si>
    <t>1251121447963</t>
  </si>
  <si>
    <t>Thép cuộn cán nóng 3.80x1400 SS400</t>
  </si>
  <si>
    <t>1251121447956</t>
  </si>
  <si>
    <t>Thép cuộn cán nóng 1.60x1250 SAE1006 II</t>
  </si>
  <si>
    <t>1.60×1250×C</t>
  </si>
  <si>
    <t>1251121447932</t>
  </si>
  <si>
    <t>Thép cuộn cán nóng 1.70x1250 SAE1006 II</t>
  </si>
  <si>
    <t>1251121447925</t>
  </si>
  <si>
    <t>Thép cuộn cán nóng 1.60x1250 SAE1006</t>
  </si>
  <si>
    <t>1251121447918</t>
  </si>
  <si>
    <t>Thép cuộn cán nóng 1.70x1250 SAE1006</t>
  </si>
  <si>
    <t>1251121447901</t>
  </si>
  <si>
    <t>Thép cuộn cán nóng 1.50x1232 SAE1006 II</t>
  </si>
  <si>
    <t>1.50×1232×C</t>
  </si>
  <si>
    <t>1251121447895</t>
  </si>
  <si>
    <t>Thép cuộn cán nóng 1.60x1232 SAE1006 II</t>
  </si>
  <si>
    <t>1.60×1232×C</t>
  </si>
  <si>
    <t>1251121447888</t>
  </si>
  <si>
    <t>Thép cuộn cán nóng 1.70x1232 SAE1006 II</t>
  </si>
  <si>
    <t>1.70×1232×C</t>
  </si>
  <si>
    <t>1251121447871</t>
  </si>
  <si>
    <t>Thép cuộn cán nóng 1.50x1232 SAE1006</t>
  </si>
  <si>
    <t>1251121447864</t>
  </si>
  <si>
    <t>Thép cuộn cán nóng 1.60x1232 SAE1006</t>
  </si>
  <si>
    <t>1251121447857</t>
  </si>
  <si>
    <t>Thép cuộn cán nóng 1.70x1232 SAE1006</t>
  </si>
  <si>
    <t>1251121447840</t>
  </si>
  <si>
    <t>Thép cuộn cán nóng 1.50x1230 SAE1006 II</t>
  </si>
  <si>
    <t>1251121447833</t>
  </si>
  <si>
    <t>Thép cuộn cán nóng 1.60x1230 SAE1006 II</t>
  </si>
  <si>
    <t>1.60×1230×C</t>
  </si>
  <si>
    <t>1251121447826</t>
  </si>
  <si>
    <t>Thép cuộn cán nóng 1.70x1230 SAE1006 II</t>
  </si>
  <si>
    <t>1.70×1230×C</t>
  </si>
  <si>
    <t>1251121447819</t>
  </si>
  <si>
    <t>Thép cuộn cán nóng 1.50x1230 SAE1006</t>
  </si>
  <si>
    <t>1251121447802</t>
  </si>
  <si>
    <t>Thép cuộn cán nóng 1.60x1230 SAE1006</t>
  </si>
  <si>
    <t>1251121447796</t>
  </si>
  <si>
    <t>Thép cuộn cán nóng 1.70x1230 SAE1006</t>
  </si>
  <si>
    <t>1251121447789</t>
  </si>
  <si>
    <t>Thép cuộn cán nóng 4.50x1230 SAE1006 II</t>
  </si>
  <si>
    <t>4.50×1230×C</t>
  </si>
  <si>
    <t>1251121447628</t>
  </si>
  <si>
    <t>Thép cuộn cán nóng 4.50x1230 SAE1006</t>
  </si>
  <si>
    <t>1251121447611</t>
  </si>
  <si>
    <t>Thép cuộn cán nóng 5.80x1500 SS400 II</t>
  </si>
  <si>
    <t>1251121447154</t>
  </si>
  <si>
    <t>Thép cuộn cán nóng 4.80x1500 SS400 II</t>
  </si>
  <si>
    <t>1251121447147</t>
  </si>
  <si>
    <t>Thép cuộn cán nóng 3.80x1500 SS400 II</t>
  </si>
  <si>
    <t>1251121447130</t>
  </si>
  <si>
    <t>Thép cuộn cán nóng 5.80x1500 SS400</t>
  </si>
  <si>
    <t>1251121447116</t>
  </si>
  <si>
    <t>Thép cuộn cán nóng 4.80x1500 SS400</t>
  </si>
  <si>
    <t>1251121447109</t>
  </si>
  <si>
    <t>Thép cuộn cán nóng 3.80x1500 SS400</t>
  </si>
  <si>
    <t>1251121447093</t>
  </si>
  <si>
    <t>Thép cuộn cán nóng 2.73x1219 SAE1006 II</t>
  </si>
  <si>
    <t>2.73×1219×C</t>
  </si>
  <si>
    <t>1251121447086</t>
  </si>
  <si>
    <t>Thép cuộn cán nóng 2.43x1219 SAE1006 II</t>
  </si>
  <si>
    <t>2.43×1219×C</t>
  </si>
  <si>
    <t>1251121447079</t>
  </si>
  <si>
    <t>Thép cuộn cán nóng 2.50x1230 SAE1006 II</t>
  </si>
  <si>
    <t>1251121447062</t>
  </si>
  <si>
    <t>Thép cuộn cán nóng 2.43x1250 SAE1006 II</t>
  </si>
  <si>
    <t>2.43×1250×C</t>
  </si>
  <si>
    <t>1251121447055</t>
  </si>
  <si>
    <t>Thép cuộn cán nóng 2.23x1250 SAE1006 II</t>
  </si>
  <si>
    <t>2.23×1250×C</t>
  </si>
  <si>
    <t>1251121447048</t>
  </si>
  <si>
    <t>Thép cuộn cán nóng 2.20x1230 SAE1006 II</t>
  </si>
  <si>
    <t>1251121447031</t>
  </si>
  <si>
    <t>Thép cuộn cán nóng 2.20x1250 SAE1006 II</t>
  </si>
  <si>
    <t>1251121447024</t>
  </si>
  <si>
    <t>Thép cuộn cán nóng 2.73x1219 SAE1006</t>
  </si>
  <si>
    <t>1251121447017</t>
  </si>
  <si>
    <t>Thép cuộn cán nóng 2.43x1219 SAE1006</t>
  </si>
  <si>
    <t>1251121447000</t>
  </si>
  <si>
    <t>Thép cuộn cán nóng 2.50x1230 SAE1006</t>
  </si>
  <si>
    <t>1251121446997</t>
  </si>
  <si>
    <t>Thép cuộn cán nóng 2.43x1250 SAE1006</t>
  </si>
  <si>
    <t>1251121446980</t>
  </si>
  <si>
    <t>Thép cuộn cán nóng 2.23x1250 SAE1006</t>
  </si>
  <si>
    <t>1251121446973</t>
  </si>
  <si>
    <t>Thép cuộn cán nóng 2.20x1230 SAE1006</t>
  </si>
  <si>
    <t>1251121446966</t>
  </si>
  <si>
    <t>Thép cuộn cán nóng 2.20x1250 SAE1006</t>
  </si>
  <si>
    <t>1251121446959</t>
  </si>
  <si>
    <t>Thép cuộn cán nóng 2.91x1219 SS400 II</t>
  </si>
  <si>
    <t>2.91×1219×C</t>
  </si>
  <si>
    <t>1251121446942</t>
  </si>
  <si>
    <t>Thép cuộn cán nóng 2.91x1219 SS400</t>
  </si>
  <si>
    <t>1251121446935</t>
  </si>
  <si>
    <t>Thép cuộn cán nóng 2.33x1250 SAE1006 II</t>
  </si>
  <si>
    <t>2.33×1250×C</t>
  </si>
  <si>
    <t>1251121446522</t>
  </si>
  <si>
    <t>Thép cuộn cán nóng 2.40x1250 SAE1006 II</t>
  </si>
  <si>
    <t>1251121446515</t>
  </si>
  <si>
    <t>Thép cuộn cán nóng 2.50x1250 SAE1006 II</t>
  </si>
  <si>
    <t>1251121446508</t>
  </si>
  <si>
    <t>Thép cuộn cán nóng 2.91x1250 SAE1006 II</t>
  </si>
  <si>
    <t>2.91×1250×C</t>
  </si>
  <si>
    <t>1251121446492</t>
  </si>
  <si>
    <t>Thép cuộn cán nóng 2.33x1250 SAE1006</t>
  </si>
  <si>
    <t>1251121446485</t>
  </si>
  <si>
    <t>Thép cuộn cán nóng 2.40x1250 SAE1006</t>
  </si>
  <si>
    <t>1251121446478</t>
  </si>
  <si>
    <t>Thép cuộn cán nóng 2.50x1250 SAE1006</t>
  </si>
  <si>
    <t>1251121446461</t>
  </si>
  <si>
    <t>Thép cuộn cán nóng 2.91x1250 SAE1006</t>
  </si>
  <si>
    <t>1251121446454</t>
  </si>
  <si>
    <t>Thép cuộn cán nóng 2.33x1250 SS400 II</t>
  </si>
  <si>
    <t>1251121446447</t>
  </si>
  <si>
    <t>Thép cuộn cán nóng 2.91x1250 SS400 II</t>
  </si>
  <si>
    <t>1251121446430</t>
  </si>
  <si>
    <t>Thép cuộn cán nóng 3.95x1219 SS400 II</t>
  </si>
  <si>
    <t>1251121446423</t>
  </si>
  <si>
    <t>[D]Thép cuộn cán nóng 3.45x1219 SS400 II</t>
  </si>
  <si>
    <t>1251121446416</t>
  </si>
  <si>
    <t>Thép cuộn cán nóng 3.25x1219 SS400 II</t>
  </si>
  <si>
    <t>1251121446409</t>
  </si>
  <si>
    <t>Thép cuộn cán nóng 3.15x1219 SS400 II</t>
  </si>
  <si>
    <t>1251121446393</t>
  </si>
  <si>
    <t>Thép cuộn cán nóng 3.13x1219 SS400 II</t>
  </si>
  <si>
    <t>3.13×1219×C</t>
  </si>
  <si>
    <t>1251121446386</t>
  </si>
  <si>
    <t>Thép cuộn cán nóng 2.95x1219 SS400 II</t>
  </si>
  <si>
    <t>1251121446379</t>
  </si>
  <si>
    <t>Thép cuộn cán nóng 2.78x1219 SS400 II</t>
  </si>
  <si>
    <t>1251121446362</t>
  </si>
  <si>
    <t>Thép cuộn cán nóng 2.75x1219 SS400 II</t>
  </si>
  <si>
    <t>1251121446355</t>
  </si>
  <si>
    <t>Thép cuộn cán nóng 2.45x1219 SS400 II</t>
  </si>
  <si>
    <t>1251121446348</t>
  </si>
  <si>
    <t>Thép cuộn cán nóng 2.25x1219 SS400 II</t>
  </si>
  <si>
    <t>2.25×1219×C</t>
  </si>
  <si>
    <t>1251121446331</t>
  </si>
  <si>
    <t>Thép cuộn cán nóng 2.15x1219 SS400 II</t>
  </si>
  <si>
    <t>1251121446324</t>
  </si>
  <si>
    <t>Thép cuộn cán nóng 2.00x1219 SS400 II</t>
  </si>
  <si>
    <t>1251121446317</t>
  </si>
  <si>
    <t>Thép cuộn cán nóng 1.75x1219 SS400 II</t>
  </si>
  <si>
    <t>1.75×1219×C</t>
  </si>
  <si>
    <t>1251121446300</t>
  </si>
  <si>
    <t>Thép cuộn cán nóng 2.33x1250 SS400</t>
  </si>
  <si>
    <t>1251121446294</t>
  </si>
  <si>
    <t>Thép cuộn cán nóng 2.91x1250 SS400</t>
  </si>
  <si>
    <t>1251121446287</t>
  </si>
  <si>
    <t>Thép cuộn cán nóng 3.95x1219 SS400</t>
  </si>
  <si>
    <t>1251121446270</t>
  </si>
  <si>
    <t>[D]Thép cuộn cán nóng 3.45x1219 SS400</t>
  </si>
  <si>
    <t>1251121446263</t>
  </si>
  <si>
    <t>Thép cuộn cán nóng 3.25x1219 SS400</t>
  </si>
  <si>
    <t>1251121446256</t>
  </si>
  <si>
    <t>Thép cuộn cán nóng 3.15x1219 SS400</t>
  </si>
  <si>
    <t>1251121446249</t>
  </si>
  <si>
    <t>Thép cuộn cán nóng 3.13x1219 SS400</t>
  </si>
  <si>
    <t>1251121446232</t>
  </si>
  <si>
    <t>Thép cuộn cán nóng 2.95x1219 SS400</t>
  </si>
  <si>
    <t>1251121446225</t>
  </si>
  <si>
    <t>Thép cuộn cán nóng 2.78x1219 SS400</t>
  </si>
  <si>
    <t>1251121446218</t>
  </si>
  <si>
    <t>Thép cuộn cán nóng 2.75x1219 SS400</t>
  </si>
  <si>
    <t>1251121446201</t>
  </si>
  <si>
    <t>Thép cuộn cán nóng 2.45x1219 SS400</t>
  </si>
  <si>
    <t>1251121446195</t>
  </si>
  <si>
    <t>Thép cuộn cán nóng 2.25x1219 SS400</t>
  </si>
  <si>
    <t>1251121446188</t>
  </si>
  <si>
    <t>Thép cuộn cán nóng 2.15x1219 SS400</t>
  </si>
  <si>
    <t>1251121446171</t>
  </si>
  <si>
    <t>Thép cuộn cán nóng 2.00x1219 SS400</t>
  </si>
  <si>
    <t>1251121446164</t>
  </si>
  <si>
    <t>Thép cuộn cán nóng 1.75x1219 SS400</t>
  </si>
  <si>
    <t>1251121446157</t>
  </si>
  <si>
    <t>Thép cuộn cán nóng 2.00x1230 SAE1006 II</t>
  </si>
  <si>
    <t>1251121444665</t>
  </si>
  <si>
    <t>Thép cuộn cán nóng 2.00x1230 SAE1006</t>
  </si>
  <si>
    <t>1251121444658</t>
  </si>
  <si>
    <t>Thép cuộn cán nóng 2.00x1232 SAE1006 II</t>
  </si>
  <si>
    <t>1251121444641</t>
  </si>
  <si>
    <t>Thép cuộn cán nóng 2.00x1232 SAE1006</t>
  </si>
  <si>
    <t>1251121444634</t>
  </si>
  <si>
    <t>Thép cuộn cán nóng 1.95x1250 SAE1006 II</t>
  </si>
  <si>
    <t>1.95×1250×C</t>
  </si>
  <si>
    <t>1251121437421</t>
  </si>
  <si>
    <t>Thép cuộn cán nóng 2.15x1250 SAE1006 II</t>
  </si>
  <si>
    <t>1251121437414</t>
  </si>
  <si>
    <t>Thép cuộn cán nóng 2.45x1250 SAE1006 II</t>
  </si>
  <si>
    <t>1251121437407</t>
  </si>
  <si>
    <t>Thép cuộn cán nóng 2.75x1250 SAE1006 II</t>
  </si>
  <si>
    <t>1251121437391</t>
  </si>
  <si>
    <t>Thép cuộn cán nóng 2.95x1250 SAE1006 II</t>
  </si>
  <si>
    <t>1251121437384</t>
  </si>
  <si>
    <t>Thép cuộn cán nóng 3.25x1250 SAE1006 II</t>
  </si>
  <si>
    <t>1251121437377</t>
  </si>
  <si>
    <t>Thép cuộn cán nóng 3.45x1250 SAE1006 II</t>
  </si>
  <si>
    <t>3.45×1250×C</t>
  </si>
  <si>
    <t>1251121437360</t>
  </si>
  <si>
    <t>Thép cuộn cán nóng 3.75x1250 SAE1006 II</t>
  </si>
  <si>
    <t>1251121437353</t>
  </si>
  <si>
    <t>Thép cuộn cán nóng 3.95x1250 SAE1006 II</t>
  </si>
  <si>
    <t>1251121437346</t>
  </si>
  <si>
    <t>Thép cuộn cán nóng 1.95x1250 SAE1006</t>
  </si>
  <si>
    <t>1251121437339</t>
  </si>
  <si>
    <t>Thép cuộn cán nóng 2.15x1250 SAE1006</t>
  </si>
  <si>
    <t>1251121437322</t>
  </si>
  <si>
    <t>Thép cuộn cán nóng 2.45x1250 SAE1006</t>
  </si>
  <si>
    <t>1251121437315</t>
  </si>
  <si>
    <t>Thép cuộn cán nóng 2.75x1250 SAE1006</t>
  </si>
  <si>
    <t>1251121437308</t>
  </si>
  <si>
    <t>Thép cuộn cán nóng 2.95x1250 SAE1006</t>
  </si>
  <si>
    <t>1251121437292</t>
  </si>
  <si>
    <t>Thép cuộn cán nóng 3.25x1250 SAE1006</t>
  </si>
  <si>
    <t>1251121437285</t>
  </si>
  <si>
    <t>Thép cuộn cán nóng 3.45x1250 SAE1006</t>
  </si>
  <si>
    <t>1251121437278</t>
  </si>
  <si>
    <t>Thép cuộn cán nóng 3.75x1250 SAE1006</t>
  </si>
  <si>
    <t>1251121437261</t>
  </si>
  <si>
    <t>Thép cuộn cán nóng 3.95x1250 SAE1006</t>
  </si>
  <si>
    <t>1251121437254</t>
  </si>
  <si>
    <t>Thép cuộn cán nóng 1.80x1250 SS400</t>
  </si>
  <si>
    <t>1251121437230</t>
  </si>
  <si>
    <t>Thép cuộn cán nóng 2.15x1250 SS400 II</t>
  </si>
  <si>
    <t>1251121437223</t>
  </si>
  <si>
    <t>Thép cuộn cán nóng 2.45x1250 SS400 II</t>
  </si>
  <si>
    <t>1251121437216</t>
  </si>
  <si>
    <t>Thép cuộn cán nóng 2.75x1250 SS400 II</t>
  </si>
  <si>
    <t>1251121437209</t>
  </si>
  <si>
    <t>Thép cuộn cán nóng 2.95x1250 SS400 II</t>
  </si>
  <si>
    <t>1251121437193</t>
  </si>
  <si>
    <t>Thép cuộn cán nóng 3.45x1250 SS400 II</t>
  </si>
  <si>
    <t>1251121437186</t>
  </si>
  <si>
    <t>Thép cuộn cán nóng 3.95x1250 SS400 II</t>
  </si>
  <si>
    <t>1251121437179</t>
  </si>
  <si>
    <t>Thép cuộn cán nóng 2.15x1250 SS400</t>
  </si>
  <si>
    <t>1251121437162</t>
  </si>
  <si>
    <t>Thép cuộn cán nóng 2.45x1250 SS400</t>
  </si>
  <si>
    <t>1251121437155</t>
  </si>
  <si>
    <t>Thép cuộn cán nóng 2.75x1250 SS400</t>
  </si>
  <si>
    <t>1251121437148</t>
  </si>
  <si>
    <t>Thép cuộn cán nóng 2.95x1250 SS400</t>
  </si>
  <si>
    <t>1251121437131</t>
  </si>
  <si>
    <t>Thép cuộn cán nóng 3.45x1250 SS400</t>
  </si>
  <si>
    <t>1251121437124</t>
  </si>
  <si>
    <t>Thép cuộn cán nóng 3.95x1250 SS400</t>
  </si>
  <si>
    <t>1251121437117</t>
  </si>
  <si>
    <t>Thép cuộn cán nóng 6.00x1250 SS490 II</t>
  </si>
  <si>
    <t>JIS G3106-2017</t>
  </si>
  <si>
    <t>1251121437100</t>
  </si>
  <si>
    <t>Thép cuộn cán nóng 5.00x1250 SS490 II</t>
  </si>
  <si>
    <t>1251121437094</t>
  </si>
  <si>
    <t>Thép cuộn cán nóng 6.00x1250 SS490</t>
  </si>
  <si>
    <t>1251121437087</t>
  </si>
  <si>
    <t>Thép cuộn cán nóng 5.00x1250 SS490</t>
  </si>
  <si>
    <t>1251121437070</t>
  </si>
  <si>
    <t>Thép cuộn cán nóng 2.80x1250 SS400 II</t>
  </si>
  <si>
    <t>1251121437063</t>
  </si>
  <si>
    <t>Thép cuộn cán nóng 2.50x1250 SS400 II</t>
  </si>
  <si>
    <t>1251121437056</t>
  </si>
  <si>
    <t>Thép cuộn cán nóng 2.80x1250 SS400</t>
  </si>
  <si>
    <t>1251121437049</t>
  </si>
  <si>
    <t>Thép cuộn cán nóng 2.50x1250 SS400</t>
  </si>
  <si>
    <t>1251121437032</t>
  </si>
  <si>
    <t>Thép cuộn cán nóng 6.00x1250 SS540 II</t>
  </si>
  <si>
    <t>1251121437025</t>
  </si>
  <si>
    <t>Thép cuộn cán nóng 6.00x1250 SS540</t>
  </si>
  <si>
    <t>1251121437018</t>
  </si>
  <si>
    <t>Thép cuộn cán nóng 4.50x1250 SS400 II</t>
  </si>
  <si>
    <t>1251121437001</t>
  </si>
  <si>
    <t>Thép cuộn cán nóng 4.50x1250 SS400</t>
  </si>
  <si>
    <t>1251121436998</t>
  </si>
  <si>
    <t>Thép cuộn cán nóng 6.00x1250 SS400 II</t>
  </si>
  <si>
    <t>1251121436981</t>
  </si>
  <si>
    <t>Thép cuộn cán nóng 6.00x1250 SS400</t>
  </si>
  <si>
    <t>1251121436974</t>
  </si>
  <si>
    <t>Thép cuộn cán nóng 8.00x1250 SAE1006 II</t>
  </si>
  <si>
    <t>1251121436967</t>
  </si>
  <si>
    <t>Thép cuộn cán nóng 5.00x1250 SAE1006 II</t>
  </si>
  <si>
    <t>1251121436950</t>
  </si>
  <si>
    <t>Thép cuộn cán nóng 4.00x1250 SAE1006 II</t>
  </si>
  <si>
    <t>1251121436943</t>
  </si>
  <si>
    <t>Thép cuộn cán nóng 3.00x1250 SAE1006 II</t>
  </si>
  <si>
    <t>1251121436936</t>
  </si>
  <si>
    <t>Thép cuộn cán nóng 2.30x1500 SS400 II</t>
  </si>
  <si>
    <t>2.30×1500×C</t>
  </si>
  <si>
    <t>1251121436929</t>
  </si>
  <si>
    <t>Thép cuộn cán nóng 2.30x1500 SAE1006 II</t>
  </si>
  <si>
    <t>1251121436912</t>
  </si>
  <si>
    <t>Thép cuộn cán nóng 2.30x1250 SS400 II</t>
  </si>
  <si>
    <t>1251121436905</t>
  </si>
  <si>
    <t>Thép cuộn cán nóng 2.30x1250 SAE1006 II</t>
  </si>
  <si>
    <t>1251121436899</t>
  </si>
  <si>
    <t>Thép cuộn cán nóng 2.00x1500 SS400 II</t>
  </si>
  <si>
    <t>1251121436882</t>
  </si>
  <si>
    <t>[D]Thép cuộn cán nóng 2.00x1250 SAE1006</t>
  </si>
  <si>
    <t>1251121436875</t>
  </si>
  <si>
    <t>Thép cuộn cán nóng 12.00x1500 SAE1006 II</t>
  </si>
  <si>
    <t>1251121436868</t>
  </si>
  <si>
    <t>Thép cuộn cán nóng 1.80x1250 SAE1006 II</t>
  </si>
  <si>
    <t>1251121436851</t>
  </si>
  <si>
    <t>Thép cuộn cán nóng 1.50x1500 SAE1006 II</t>
  </si>
  <si>
    <t>1.50×1500×C</t>
  </si>
  <si>
    <t>1251121436844</t>
  </si>
  <si>
    <t>Thép cuộn cán nóng 1.50x1250 SAE1006 II</t>
  </si>
  <si>
    <t>1251121436837</t>
  </si>
  <si>
    <t>Thép cuộn cán nóng 2.60x1250 SPHC</t>
  </si>
  <si>
    <t>1251121436820</t>
  </si>
  <si>
    <t>Thép cuộn cán nóng 3.50x1250 SS400</t>
  </si>
  <si>
    <t>1251121436813</t>
  </si>
  <si>
    <t>Thép cuộn cán nóng 8.00x1250 SAE1006</t>
  </si>
  <si>
    <t>1251121436806</t>
  </si>
  <si>
    <t>Thép cuộn cán nóng 5.00x1250 SS400</t>
  </si>
  <si>
    <t>1251121436790</t>
  </si>
  <si>
    <t>Thép cuộn cán nóng 5.00x1250 SAE1006</t>
  </si>
  <si>
    <t>1251121436783</t>
  </si>
  <si>
    <t>Thép cuộn cán nóng 4.00x1250 SS400</t>
  </si>
  <si>
    <t>1251121436776</t>
  </si>
  <si>
    <t>Thép cuộn cán nóng 4.00x1250 SAE1006</t>
  </si>
  <si>
    <t>1251121436769</t>
  </si>
  <si>
    <t>Thép cuộn cán nóng 3.00x1250 SS400</t>
  </si>
  <si>
    <t>1251121436752</t>
  </si>
  <si>
    <t>Thép cuộn cán nóng 3.00x1250 SAE1006</t>
  </si>
  <si>
    <t>1251121436745</t>
  </si>
  <si>
    <t>Thép cuộn cán nóng 2.30x1500 SS400</t>
  </si>
  <si>
    <t>1251121436738</t>
  </si>
  <si>
    <t>Thép cuộn cán nóng 2.30x1500 SAE1006</t>
  </si>
  <si>
    <t>1251121436721</t>
  </si>
  <si>
    <t>Thép cuộn cán nóng 2.30x1250 SS400</t>
  </si>
  <si>
    <t>1251121436714</t>
  </si>
  <si>
    <t>Thép cuộn cán nóng 2.30x1250 SAE1006</t>
  </si>
  <si>
    <t>1251121436707</t>
  </si>
  <si>
    <t>Thép cuộn cán nóng 2.00x1500 SS400</t>
  </si>
  <si>
    <t>1251121436691</t>
  </si>
  <si>
    <t>Thép cuộn cán nóng 2.00x1250 SS400</t>
  </si>
  <si>
    <t>1251121436684</t>
  </si>
  <si>
    <t>1251121436677</t>
  </si>
  <si>
    <t>Thép cuộn cán nóng 12.00x1500 SAE1006</t>
  </si>
  <si>
    <t>1251121436660</t>
  </si>
  <si>
    <t>Thép cuộn cán nóng 1.80x1250 SAE1006</t>
  </si>
  <si>
    <t>1251121436653</t>
  </si>
  <si>
    <t>Thép cuộn cán nóng 1.50x1500 SAE1006</t>
  </si>
  <si>
    <t>1251121436646</t>
  </si>
  <si>
    <t>Thép cuộn cán nóng 1.50x1250 SAE1006</t>
  </si>
  <si>
    <t>1251121436639</t>
  </si>
  <si>
    <t>Thép cuộn cán nóng 1.80x1100 SPHC II</t>
  </si>
  <si>
    <t>1.80×1100×C</t>
  </si>
  <si>
    <t>1251121436622</t>
  </si>
  <si>
    <t>Thép cuộn cán nóng 1.80x1300 SPHC II</t>
  </si>
  <si>
    <t>1.80×1300×C</t>
  </si>
  <si>
    <t>1251121436615</t>
  </si>
  <si>
    <t>Thép cuộn cán nóng 2.00x1300 SPHC II</t>
  </si>
  <si>
    <t>2.00×1300×C</t>
  </si>
  <si>
    <t>1251121436608</t>
  </si>
  <si>
    <t>Thép cuộn cán nóng 2.20x1300 SPHC II</t>
  </si>
  <si>
    <t>2.20×1300×C</t>
  </si>
  <si>
    <t>1251121436592</t>
  </si>
  <si>
    <t>Thép cuộn cán nóng 1.80x1250 SPHC II</t>
  </si>
  <si>
    <t>1251121436585</t>
  </si>
  <si>
    <t>Thép cuộn cán nóng 2.00x1250 SPHC II</t>
  </si>
  <si>
    <t>1251121436578</t>
  </si>
  <si>
    <t>Thép cuộn cán nóng 2.20x1250 SPHC II</t>
  </si>
  <si>
    <t>1251121436561</t>
  </si>
  <si>
    <t>Thép cuộn cán nóng 2.40x1250 SPHC II</t>
  </si>
  <si>
    <t>1251121436554</t>
  </si>
  <si>
    <t>Thép cuộn cán nóng 2.60x1250 SPHC II</t>
  </si>
  <si>
    <t>1251121436547</t>
  </si>
  <si>
    <t>Thép cuộn cán nóng 3.00x1250 SPHC II</t>
  </si>
  <si>
    <t>1251121436530</t>
  </si>
  <si>
    <t>Thép cuộn cán nóng 2.00x1100 SS400 II</t>
  </si>
  <si>
    <t>2.00×1100×C</t>
  </si>
  <si>
    <t>1251121436523</t>
  </si>
  <si>
    <t>Thép cuộn cán nóng 2.20x1100 SS400 II</t>
  </si>
  <si>
    <t>2.20×1100×C</t>
  </si>
  <si>
    <t>1251121436516</t>
  </si>
  <si>
    <t>Thép cuộn cán nóng 2.40x1100 SS400 II</t>
  </si>
  <si>
    <t>2.40×1100×C</t>
  </si>
  <si>
    <t>1251121436509</t>
  </si>
  <si>
    <t>Thép cuộn cán nóng 1.80x1300 SS400 II</t>
  </si>
  <si>
    <t>1251121436493</t>
  </si>
  <si>
    <t>Thép cuộn cán nóng 2.20x1300 SS400 II</t>
  </si>
  <si>
    <t>1251121436486</t>
  </si>
  <si>
    <t>Thép cuộn cán nóng 3.00x1300 SS400 II</t>
  </si>
  <si>
    <t>3.00×1300×C</t>
  </si>
  <si>
    <t>1251121436479</t>
  </si>
  <si>
    <t>Thép cuộn cán nóng 1.80x1250 SS400 II</t>
  </si>
  <si>
    <t>1251121436462</t>
  </si>
  <si>
    <t>Thép cuộn cán nóng 2.00x1250 SS400 II</t>
  </si>
  <si>
    <t>1251121436455</t>
  </si>
  <si>
    <t>Thép cuộn cán nóng 3.00x1250 SS400 II</t>
  </si>
  <si>
    <t>1251121436448</t>
  </si>
  <si>
    <t>Thép cuộn cán nóng 3.50x1250 SS400 II</t>
  </si>
  <si>
    <t>1251121436431</t>
  </si>
  <si>
    <t>Thép cuộn cán nóng 4.00x1250 SS400 II</t>
  </si>
  <si>
    <t>1251121436424</t>
  </si>
  <si>
    <t>Thép cuộn cán nóng 5.00x1250 SS400 II</t>
  </si>
  <si>
    <t>1251121436417</t>
  </si>
  <si>
    <t>Thép cuộn cán nóng 1.80x1100 SPHC</t>
  </si>
  <si>
    <t>1251121436400</t>
  </si>
  <si>
    <t>Thép cuộn cán nóng 1.80x1300 SPHC</t>
  </si>
  <si>
    <t>1251121436394</t>
  </si>
  <si>
    <t>Thép cuộn cán nóng 2.00x1300 SPHC</t>
  </si>
  <si>
    <t>1251121436387</t>
  </si>
  <si>
    <t>Thép cuộn cán nóng 2.20x1300 SPHC</t>
  </si>
  <si>
    <t>1251121436370</t>
  </si>
  <si>
    <t>Thép cuộn cán nóng 1.80x1250 SPHC</t>
  </si>
  <si>
    <t>1251121436363</t>
  </si>
  <si>
    <t>Thép cuộn cán nóng 2.00x1250 SPHC</t>
  </si>
  <si>
    <t>1251121436356</t>
  </si>
  <si>
    <t>Thép cuộn cán nóng 2.20x1250 SPHC</t>
  </si>
  <si>
    <t>1251121436349</t>
  </si>
  <si>
    <t>Thép cuộn cán nóng 2.40x1250 SPHC</t>
  </si>
  <si>
    <t>1251121436332</t>
  </si>
  <si>
    <t>Thép cuộn cán nóng 3.00x1250 SPHC</t>
  </si>
  <si>
    <t>1251121436325</t>
  </si>
  <si>
    <t>Thép cuộn cán nóng 2.00x1100 SS400</t>
  </si>
  <si>
    <t>1251121436318</t>
  </si>
  <si>
    <t>Thép cuộn cán nóng 2.20x1100 SS400</t>
  </si>
  <si>
    <t>1251121436301</t>
  </si>
  <si>
    <t>Thép cuộn cán nóng 2.40x1100 SS400</t>
  </si>
  <si>
    <t>1251121436295</t>
  </si>
  <si>
    <t>Thép cuộn cán nóng 1.80x1300 SS400</t>
  </si>
  <si>
    <t>1251121436288</t>
  </si>
  <si>
    <t>Thép cuộn cán nóng 2.20x1300 SS400</t>
  </si>
  <si>
    <t>1251121436271</t>
  </si>
  <si>
    <t>Thép cuộn cán nóng 3.00x1300 SS400</t>
  </si>
  <si>
    <t>1251121436264</t>
  </si>
  <si>
    <t>Thép cuộn cán nóng 2.8x1250mm SS400 II</t>
  </si>
  <si>
    <t>2.8×1250×C</t>
  </si>
  <si>
    <t>TCCS</t>
  </si>
  <si>
    <t>1251120491462</t>
  </si>
  <si>
    <t>Thép cuộn cán nóng 2.5x1250mm SS400 II</t>
  </si>
  <si>
    <t>2.5×1250×C</t>
  </si>
  <si>
    <t>1251120491455</t>
  </si>
  <si>
    <t>Thép cuộn cán nóng 2.8x1250mm SS400</t>
  </si>
  <si>
    <t>1251120491448</t>
  </si>
  <si>
    <t>Thép cuộn cán nóng 2.5x1250mm SS400</t>
  </si>
  <si>
    <t>1251120491431</t>
  </si>
  <si>
    <t>Thép cuộn cán nóng 6.0x1250mm SS540 II</t>
  </si>
  <si>
    <t>6.0×1250×C</t>
  </si>
  <si>
    <t>1251120491394</t>
  </si>
  <si>
    <t>Thép cuộn cán nóng 6.0x1250mm SS540</t>
  </si>
  <si>
    <t>1251120491387</t>
  </si>
  <si>
    <t>Thép cuộn cán nóng 4.5x1250mm SS400 II</t>
  </si>
  <si>
    <t>4.5×1250×C</t>
  </si>
  <si>
    <t>1251120491332</t>
  </si>
  <si>
    <t>Thép cuộn cán nóng 4.5x1250mm SS400</t>
  </si>
  <si>
    <t>1251120491325</t>
  </si>
  <si>
    <t>Thép cuộn cán nóng 6.0x1250mm SS400 II</t>
  </si>
  <si>
    <t>1251120491301</t>
  </si>
  <si>
    <t>Thép cuộn cán nóng 6.0x1250mm SS400</t>
  </si>
  <si>
    <t>1251120491295</t>
  </si>
  <si>
    <t>Thép cuộn cán nóng 8.0x1250mm SAE1006 II</t>
  </si>
  <si>
    <t>8.0×1250×C</t>
  </si>
  <si>
    <t>1251120490816</t>
  </si>
  <si>
    <t>Thép cuộn cán nóng 5.0x1250mm SAE1006 II</t>
  </si>
  <si>
    <t>5.0×1250×C</t>
  </si>
  <si>
    <t>1251120490809</t>
  </si>
  <si>
    <t>Thép cuộn cán nóng 4.0x1250mm SAE1006 II</t>
  </si>
  <si>
    <t>4.0×1250×C</t>
  </si>
  <si>
    <t>1251120490793</t>
  </si>
  <si>
    <t>Thép cuộn cán nóng 3.0x1250mm SAE1006 II</t>
  </si>
  <si>
    <t>3.0×1250×C</t>
  </si>
  <si>
    <t>1251120490786</t>
  </si>
  <si>
    <t>Thép cuộn cán nóng 2.3x1500mm SS400 II</t>
  </si>
  <si>
    <t>2.3×1500×C</t>
  </si>
  <si>
    <t>1251120490779</t>
  </si>
  <si>
    <t>Thép cuộn cán nóng 2.3x1500mm SAE1006 II</t>
  </si>
  <si>
    <t>1251120490762</t>
  </si>
  <si>
    <t>Thép cuộn cán nóng 2.3x1250mm SS400 II</t>
  </si>
  <si>
    <t>2.3×1250×C</t>
  </si>
  <si>
    <t>1251120490755</t>
  </si>
  <si>
    <t>Thép cuộn cán nóng 2.3x1250mm SAE1006 II</t>
  </si>
  <si>
    <t>1251120490748</t>
  </si>
  <si>
    <t>Thép cuộn cán nóng 2.0x1500mm SS400 II</t>
  </si>
  <si>
    <t>2.0×1500×C</t>
  </si>
  <si>
    <t>1251120490731</t>
  </si>
  <si>
    <t>Thép cuộn cán nóng 2.0x1250mm SAE1006 II</t>
  </si>
  <si>
    <t>2.0×1250×C</t>
  </si>
  <si>
    <t>1251120490724</t>
  </si>
  <si>
    <t>Thép cuộn cán nóng 12x1500mm SAE1006 II</t>
  </si>
  <si>
    <t>12.0×1500×C</t>
  </si>
  <si>
    <t>1251120490717</t>
  </si>
  <si>
    <t>Thép cuộn cán nóng 1.8x1250mm SAE1006 II</t>
  </si>
  <si>
    <t>1.8×1250×C</t>
  </si>
  <si>
    <t>1251120490700</t>
  </si>
  <si>
    <t>Thép cuộn cán nóng 1.5x1500mm SAE1006 II</t>
  </si>
  <si>
    <t>1.5×1500×C</t>
  </si>
  <si>
    <t>1251120490694</t>
  </si>
  <si>
    <t>Thép cuộn cán nóng 1.5x1250mm SAE1006 II</t>
  </si>
  <si>
    <t>1.5×1250×C</t>
  </si>
  <si>
    <t>1251120490687</t>
  </si>
  <si>
    <t>Thép cuộn cán nóng 2.6x1250mm SPHC</t>
  </si>
  <si>
    <t>2.6×1250×C</t>
  </si>
  <si>
    <t>1251120490670</t>
  </si>
  <si>
    <t>Thép cuộn cán nóng 3.5x1250mm SS400</t>
  </si>
  <si>
    <t>3.5×1250×C</t>
  </si>
  <si>
    <t>1251120490663</t>
  </si>
  <si>
    <t>Thép cuộn cán nóng 8.0x1250mm SAE1006</t>
  </si>
  <si>
    <t>1251120490656</t>
  </si>
  <si>
    <t>Thép cuộn cán nóng 5.0x1250mm SS400</t>
  </si>
  <si>
    <t>1251120490649</t>
  </si>
  <si>
    <t>Thép cuộn cán nóng 5.0x1250mm SAE1006</t>
  </si>
  <si>
    <t>1251120490632</t>
  </si>
  <si>
    <t>Thép cuộn cán nóng 4.0x1250mm SS400</t>
  </si>
  <si>
    <t>1251120490625</t>
  </si>
  <si>
    <t>Thép cuộn cán nóng 4.0x1250mm SAE1006</t>
  </si>
  <si>
    <t>1251120490618</t>
  </si>
  <si>
    <t>Thép cuộn cán nóng 3.0x1250mm SS400</t>
  </si>
  <si>
    <t>1251120490601</t>
  </si>
  <si>
    <t>Thép cuộn cán nóng 3.0x1250mm SAE1006</t>
  </si>
  <si>
    <t>1251120490595</t>
  </si>
  <si>
    <t>Thép cuộn cán nóng 2.3x1500mm SS400</t>
  </si>
  <si>
    <t>1251120490588</t>
  </si>
  <si>
    <t>Thép cuộn cán nóng 2.3x1500mm SAE1006</t>
  </si>
  <si>
    <t>1251120490571</t>
  </si>
  <si>
    <t>Thép cuộn cán nóng 2.3x1250mm SS400</t>
  </si>
  <si>
    <t>1251120490564</t>
  </si>
  <si>
    <t>Thép cuộn cán nóng 2.3x1250mm SAE1006</t>
  </si>
  <si>
    <t>1251120490557</t>
  </si>
  <si>
    <t>Thép cuộn cán nóng 2.0x1500mm SS400</t>
  </si>
  <si>
    <t>1251120490540</t>
  </si>
  <si>
    <t>Thép cuộn cán nóng 2.0x1250mm SS400</t>
  </si>
  <si>
    <t>1251120490533</t>
  </si>
  <si>
    <t>Thép cuộn cán nóng 2.0x1250mm SAE1006</t>
  </si>
  <si>
    <t>1251120490526</t>
  </si>
  <si>
    <t>Thép cuộn cán nóng 12.0x1500mm SAE1006</t>
  </si>
  <si>
    <t>1251120490519</t>
  </si>
  <si>
    <t>Thép cuộn cán nóng 1.8x1250mm SAE1006</t>
  </si>
  <si>
    <t>1251120490502</t>
  </si>
  <si>
    <t>Thép cuộn cán nóng 1.5x1500mm SAE1006</t>
  </si>
  <si>
    <t>1251120490496</t>
  </si>
  <si>
    <t>Thép cuộn cán nóng 1.5x1250mm SAE1006</t>
  </si>
  <si>
    <t>1251120490489</t>
  </si>
  <si>
    <t>Thép cuộn cán nóng 1.8x1100mm SPHC, II</t>
  </si>
  <si>
    <t>1251120490250</t>
  </si>
  <si>
    <t>Thép cuộn cán nóng 1.8x1300mm SPHC, II</t>
  </si>
  <si>
    <t>1251120490243</t>
  </si>
  <si>
    <t>Thép cuộn cán nóng 2.0x1300mm SPHC, II</t>
  </si>
  <si>
    <t>1251120490236</t>
  </si>
  <si>
    <t>Thép cuộn cán nóng 2.2x1300mm SPHC, II</t>
  </si>
  <si>
    <t>1251120490229</t>
  </si>
  <si>
    <t>Thép cuộn cán nóng 1.8x1250mm SPHC, II</t>
  </si>
  <si>
    <t>1251120490212</t>
  </si>
  <si>
    <t>Thép cuộn cán nóng 2.0x1250mm SPHC, II</t>
  </si>
  <si>
    <t>1251120490205</t>
  </si>
  <si>
    <t>Thép cuộn cán nóng 2.2x1250mm SPHC, II</t>
  </si>
  <si>
    <t>1251120490199</t>
  </si>
  <si>
    <t>Thép cuộn cán nóng 2.4x1250mm SPHC, II</t>
  </si>
  <si>
    <t>1251120490182</t>
  </si>
  <si>
    <t>Thép cuộn cán nóng 2.6x1250mm SPHC, II</t>
  </si>
  <si>
    <t>1251120490175</t>
  </si>
  <si>
    <t>Thép cuộn cán nóng 3.0x1250mm SPHC, II</t>
  </si>
  <si>
    <t>1251120490168</t>
  </si>
  <si>
    <t>Thép cuộn cán nóng 2.0x1100mm SS400, II</t>
  </si>
  <si>
    <t>1251120490151</t>
  </si>
  <si>
    <t>Thép cuộn cán nóng 2.2x1100mm SS400, II</t>
  </si>
  <si>
    <t>1251120490144</t>
  </si>
  <si>
    <t>Thép cuộn cán nóng 2.4x1100mm SS400, II</t>
  </si>
  <si>
    <t>1251120490137</t>
  </si>
  <si>
    <t>Thép cuộn cán nóng 1.8x1300mm SS400, II</t>
  </si>
  <si>
    <t>1251120490120</t>
  </si>
  <si>
    <t>Thép cuộn cán nóng 2.2x1300mm SS400, II</t>
  </si>
  <si>
    <t>1251120490113</t>
  </si>
  <si>
    <t>Thép cuộn cán nóng 3.0x1300mm SS400, II</t>
  </si>
  <si>
    <t>1251120490106</t>
  </si>
  <si>
    <t>Thép cuộn cán nóng 1.8x1250mm SS400, II</t>
  </si>
  <si>
    <t>1251120490090</t>
  </si>
  <si>
    <t>Thép cuộn cán nóng 2.0x1250mm SS400, II</t>
  </si>
  <si>
    <t>1251120490083</t>
  </si>
  <si>
    <t>Thép cuộn cán nóng 3.0x1250mm SS400, II</t>
  </si>
  <si>
    <t>1251120490076</t>
  </si>
  <si>
    <t>Thép cuộn cán nóng 3.5x1250mm SS400, II</t>
  </si>
  <si>
    <t>1251120490069</t>
  </si>
  <si>
    <t>Thép cuộn cán nóng 4.0x1250mm SS400, II</t>
  </si>
  <si>
    <t>1251120490052</t>
  </si>
  <si>
    <t>Thép cuộn cán nóng 5.0x1250mm SS400, II</t>
  </si>
  <si>
    <t>1251120490045</t>
  </si>
  <si>
    <t>Thép cuộn cán nóng 1.8x1100mm SPHC</t>
  </si>
  <si>
    <t>1251120490038</t>
  </si>
  <si>
    <t>Thép cuộn cán nóng 1.8x1300mm SPHC</t>
  </si>
  <si>
    <t>1251120490021</t>
  </si>
  <si>
    <t>Thép cuộn cán nóng 2.0x1300mm SPHC</t>
  </si>
  <si>
    <t>1251120490014</t>
  </si>
  <si>
    <t>Thép cuộn cán nóng 2.2x1300mm SPHC</t>
  </si>
  <si>
    <t>1251120490007</t>
  </si>
  <si>
    <t>Thép cuộn cán nóng 1.8x1250mm SPHC</t>
  </si>
  <si>
    <t>1251120489995</t>
  </si>
  <si>
    <t>Thép cuộn cán nóng 2.0x1250mm SPHC</t>
  </si>
  <si>
    <t>1251120489988</t>
  </si>
  <si>
    <t>Thép cuộn cán nóng 2.2x1250mm SPHC</t>
  </si>
  <si>
    <t>1251120489971</t>
  </si>
  <si>
    <t>Thép cuộn cán nóng 2.4x1250mm SPHC</t>
  </si>
  <si>
    <t>1251120489964</t>
  </si>
  <si>
    <t>[D]Thép cuộn cán nóng 2.6x1250mm SPHC</t>
  </si>
  <si>
    <t>1251120489957</t>
  </si>
  <si>
    <t>Thép cuộn cán nóng 3.0x1250mm SPHC</t>
  </si>
  <si>
    <t>1251120489940</t>
  </si>
  <si>
    <t>Thép cuộn cán nóng 2.0x1100mm SS400</t>
  </si>
  <si>
    <t>1251120489933</t>
  </si>
  <si>
    <t>Thép cuộn cán nóng 2.2x1100mm SS400</t>
  </si>
  <si>
    <t>1251120489926</t>
  </si>
  <si>
    <t>Thép cuộn cán nóng 2.4x1100mm SS400</t>
  </si>
  <si>
    <t>1251120489919</t>
  </si>
  <si>
    <t>Thép cuộn cán nóng 1.8x1300mm SS400</t>
  </si>
  <si>
    <t>1251120489902</t>
  </si>
  <si>
    <t>Thép cuộn cán nóng 2.2x1300mm SS400</t>
  </si>
  <si>
    <t>1251120489896</t>
  </si>
  <si>
    <t>Thép cuộn cán nóng 3.0x1300mm SS400</t>
  </si>
  <si>
    <t>1251120489889</t>
  </si>
  <si>
    <t>Thép cuộn cán nóng 1.8x1250mm SS400</t>
  </si>
  <si>
    <t>1251120489872</t>
  </si>
  <si>
    <t>[D]Thép cuộn cán nóng 2.0x1250mm SS400</t>
  </si>
  <si>
    <t>1251120489865</t>
  </si>
  <si>
    <t>[D]Thép cuộn cán nóng 3.0x1250mm SS400</t>
  </si>
  <si>
    <t>1251120489858</t>
  </si>
  <si>
    <t>[D]Thép cuộn cán nóng 3.5x1250mm SS400</t>
  </si>
  <si>
    <t>1251120489841</t>
  </si>
  <si>
    <t>[D]Thép cuộn cán nóng 4.0x1250mm SS400</t>
  </si>
  <si>
    <t>1251120489834</t>
  </si>
  <si>
    <t>[D]Thép cuộn cán nóng 5.0x1250mm SS400</t>
  </si>
  <si>
    <t>1251120489827</t>
  </si>
  <si>
    <t>Thép cuộn cán nóng 2.40x1260 SAE1006 II</t>
  </si>
  <si>
    <t>1251121460962</t>
  </si>
  <si>
    <t>Thép cuộn cán nóng 2.40x1260 SAE1006</t>
  </si>
  <si>
    <t>1251121460955</t>
  </si>
  <si>
    <t>Thép cuộn cán nóng 2.00x1264 SAE1006 II</t>
  </si>
  <si>
    <t>2.00×1264×C</t>
  </si>
  <si>
    <t>1251121460948</t>
  </si>
  <si>
    <t>Thép cuộn cán nóng 2.00x1264 SAE1006</t>
  </si>
  <si>
    <t>1251121460931</t>
  </si>
  <si>
    <t>Thép cuộn cán nóng 2.30x1290 SAE1006 II</t>
  </si>
  <si>
    <t>2.30×1290×C</t>
  </si>
  <si>
    <t>1251121460924</t>
  </si>
  <si>
    <t>Thép cuộn cán nóng 2.30x1290 SAE1006</t>
  </si>
  <si>
    <t>1251121460917</t>
  </si>
  <si>
    <t>Thép cuộn cán nóng 3.40x1250 SS400 II</t>
  </si>
  <si>
    <t>1251121460481</t>
  </si>
  <si>
    <t>Thép cuộn cán nóng 3.40x1250 SS400</t>
  </si>
  <si>
    <t>1251121460474</t>
  </si>
  <si>
    <t>Thép cuộn cán nóng 4.30x1500 SS400 II</t>
  </si>
  <si>
    <t>1251121460214</t>
  </si>
  <si>
    <t>Thép cuộn cán nóng 4.30x1500 SS400</t>
  </si>
  <si>
    <t>1251121460207</t>
  </si>
  <si>
    <t>Thép cuộn cán nóng 2.70x1500 SS400 II</t>
  </si>
  <si>
    <t>1251121460191</t>
  </si>
  <si>
    <t>Thép cuộn cán nóng 2.70x1500 SS400</t>
  </si>
  <si>
    <t>1251121460184</t>
  </si>
  <si>
    <t>Thép cuộn cán nóng 2.20x1260 SAE1006 II</t>
  </si>
  <si>
    <t>2.20×1260×C</t>
  </si>
  <si>
    <t>1251121460177</t>
  </si>
  <si>
    <t>Thép cuộn cán nóng 2.20x1260 SAE1006</t>
  </si>
  <si>
    <t>1251121460160</t>
  </si>
  <si>
    <t>Thép cuộn cán nóng 2.20x1262 SAE1006 II</t>
  </si>
  <si>
    <t>1251121460153</t>
  </si>
  <si>
    <t>Thép cuộn cán nóng 2.20x1262 SAE1006</t>
  </si>
  <si>
    <t>1251121460146</t>
  </si>
  <si>
    <t>Thép cuộn cán nóng 4.30x1490 SS400 II</t>
  </si>
  <si>
    <t>4.30×1490×C</t>
  </si>
  <si>
    <t>1251121459348</t>
  </si>
  <si>
    <t>Thép cuộn cán nóng 4.30x1490 SS400</t>
  </si>
  <si>
    <t>1251121459331</t>
  </si>
  <si>
    <t>Thép cuộn cán nóng 3.85x1490 SS400 II</t>
  </si>
  <si>
    <t>3.85×1490×C</t>
  </si>
  <si>
    <t>1251121459324</t>
  </si>
  <si>
    <t>Thép cuộn cán nóng 3.85x1490 SS400</t>
  </si>
  <si>
    <t>1251121459317</t>
  </si>
  <si>
    <t>Thép cuộn cán nóng 3.80x1490 SS400 II</t>
  </si>
  <si>
    <t>3.80×1490×C</t>
  </si>
  <si>
    <t>1251121459300</t>
  </si>
  <si>
    <t>Thép cuộn cán nóng 3.80x1490 SS400</t>
  </si>
  <si>
    <t>1251121459294</t>
  </si>
  <si>
    <t>Thép cuộn cán nóng 3.15x1490 SS400 II</t>
  </si>
  <si>
    <t>3.15×1490×C</t>
  </si>
  <si>
    <t>1251121459287</t>
  </si>
  <si>
    <t>Thép cuộn cán nóng 3.15x1490 SS400</t>
  </si>
  <si>
    <t>1251121459270</t>
  </si>
  <si>
    <t>Thép cuộn cán nóng 2.95x1490 SS400 II</t>
  </si>
  <si>
    <t>2.95×1490×C</t>
  </si>
  <si>
    <t>1251121459263</t>
  </si>
  <si>
    <t>Thép cuộn cán nóng 2.95x1490 SS400</t>
  </si>
  <si>
    <t>1251121459256</t>
  </si>
  <si>
    <t>Thép cuộn cán nóng 7.90x1500 SS400 II</t>
  </si>
  <si>
    <t>1251121459249</t>
  </si>
  <si>
    <t>Thép cuộn cán nóng 7.90x1500 SS400</t>
  </si>
  <si>
    <t>1251121459232</t>
  </si>
  <si>
    <t>Thép cuộn cán nóng 3.50x1500 SS400 II</t>
  </si>
  <si>
    <t>1251121459225</t>
  </si>
  <si>
    <t>Thép cuộn cán nóng 3.50x1500 SS400</t>
  </si>
  <si>
    <t>1251121459218</t>
  </si>
  <si>
    <t>Thép cuộn cán nóng 4.20x1500 SS400 II</t>
  </si>
  <si>
    <t>4.20×1500×C</t>
  </si>
  <si>
    <t>1251121459201</t>
  </si>
  <si>
    <t>Thép cuộn cán nóng 4.20x1500 SS400</t>
  </si>
  <si>
    <t>1251121459195</t>
  </si>
  <si>
    <t>Thép cuộn cán nóng 2.40x1500 SS400 II</t>
  </si>
  <si>
    <t>2.40×1500×C</t>
  </si>
  <si>
    <t>1251121459188</t>
  </si>
  <si>
    <t>Thép cuộn cán nóng 2.40x1500 SS400</t>
  </si>
  <si>
    <t>1251121459171</t>
  </si>
  <si>
    <t>[D]Thép cuộn cán nóng 3.00x1219 SAE1006</t>
  </si>
  <si>
    <t>1251121459164</t>
  </si>
  <si>
    <t>1251121459157</t>
  </si>
  <si>
    <t>Thép cuộn cán nóng 2.25x1262 SAE1006 II</t>
  </si>
  <si>
    <t>1251121459140</t>
  </si>
  <si>
    <t>Thép cuộn cán nóng 2.25x1262 SAE1006</t>
  </si>
  <si>
    <t>1251121459133</t>
  </si>
  <si>
    <t>Thép cuộn cán nóng 2.40x1230 SAE1006 II</t>
  </si>
  <si>
    <t>2.40×1230×C</t>
  </si>
  <si>
    <t>1251121459126</t>
  </si>
  <si>
    <t>Thép cuộn cán nóng 2.40x1230 SAE1006</t>
  </si>
  <si>
    <t>1251121459119</t>
  </si>
  <si>
    <t>Thép cuộn cán nóng 2.30x1260 SAE1006 II</t>
  </si>
  <si>
    <t>1251121459102</t>
  </si>
  <si>
    <t>Thép cuộn cán nóng 2.30x1260 SAE1006</t>
  </si>
  <si>
    <t>1251121459096</t>
  </si>
  <si>
    <t>Thép cuộn cán nóng 2.00x1260 SAE1006 II</t>
  </si>
  <si>
    <t>1251121459089</t>
  </si>
  <si>
    <t>Thép cuộn cán nóng 2.00x1260 SAE1006</t>
  </si>
  <si>
    <t>1251121459072</t>
  </si>
  <si>
    <t>Thép cuộn cán nóng 2.30x1264 SAE1006 II</t>
  </si>
  <si>
    <t>2.30×1264×C</t>
  </si>
  <si>
    <t>1251121459065</t>
  </si>
  <si>
    <t>Thép cuộn cán nóng 2.30x1264 SAE1006</t>
  </si>
  <si>
    <t>1251121459058</t>
  </si>
  <si>
    <t>Thép cuộn cán nóng 2.50x1264 SAE1006 II</t>
  </si>
  <si>
    <t>2.50×1264×C</t>
  </si>
  <si>
    <t>1251121459041</t>
  </si>
  <si>
    <t>Thép cuộn cán nóng 2.50x1264 SAE1006</t>
  </si>
  <si>
    <t>1251121459034</t>
  </si>
  <si>
    <t>Thép cuộn cán nóng 2.20x1264 SAE1006 II</t>
  </si>
  <si>
    <t>2.20×1264×C</t>
  </si>
  <si>
    <t>1251121459027</t>
  </si>
  <si>
    <t>Thép cuộn cán nóng 2.20x1264 SAE1006</t>
  </si>
  <si>
    <t>1251121459010</t>
  </si>
  <si>
    <t>Thép cuộn cán nóng 2.20x1232 SAE1006 II</t>
  </si>
  <si>
    <t>1251121459003</t>
  </si>
  <si>
    <t>Thép cuộn cán nóng 2.20x1232 SAE1006</t>
  </si>
  <si>
    <t>1251121458990</t>
  </si>
  <si>
    <t>Thép cuộn cán nóng 2.00x1230 SPA-H II</t>
  </si>
  <si>
    <t>1251121458488</t>
  </si>
  <si>
    <t>Thép cuộn cán nóng 2.00x1230 SPA-H</t>
  </si>
  <si>
    <t>1251121458471</t>
  </si>
  <si>
    <t>Thép cuộn cán nóng 2.15x1230 SPA-H II</t>
  </si>
  <si>
    <t>1251121458464</t>
  </si>
  <si>
    <t>Thép cuộn cán nóng 2.15x1230 SPA-H</t>
  </si>
  <si>
    <t>1251121458457</t>
  </si>
  <si>
    <t>Thép cuộn cán nóng 2.25x1230 SPA-H II</t>
  </si>
  <si>
    <t>1251121458440</t>
  </si>
  <si>
    <t>Thép cuộn cán nóng 2.25x1230 SPA-H</t>
  </si>
  <si>
    <t>1251121458433</t>
  </si>
  <si>
    <t>Thép cuộn cán nóng 2.50x1230 SPA-H II</t>
  </si>
  <si>
    <t>1251121458426</t>
  </si>
  <si>
    <t>Thép cuộn cán nóng 2.50x1230 SPA-H</t>
  </si>
  <si>
    <t>1251121458419</t>
  </si>
  <si>
    <t>Thép cuộn cán nóng 2.75x1230 SPA-H II</t>
  </si>
  <si>
    <t>1251121458402</t>
  </si>
  <si>
    <t>Thép cuộn cán nóng 2.75x1230 SPA-H</t>
  </si>
  <si>
    <t>1251121458396</t>
  </si>
  <si>
    <t>Thép cuộn cán nóng 3.25x1230 SPA-H II</t>
  </si>
  <si>
    <t>1251121458389</t>
  </si>
  <si>
    <t>Thép cuộn cán nóng 3.25x1230 SPA-H</t>
  </si>
  <si>
    <t>1251121458372</t>
  </si>
  <si>
    <t>Thép cuộn cán nóng 3.95x1230 SPA-H II</t>
  </si>
  <si>
    <t>3.95×1230×C</t>
  </si>
  <si>
    <t>1251121458365</t>
  </si>
  <si>
    <t>Thép cuộn cán nóng 3.95x1230 SPA-H</t>
  </si>
  <si>
    <t>1251121458358</t>
  </si>
  <si>
    <t>Thép cuộn cán nóng 2.73x1230 SAE1006 II</t>
  </si>
  <si>
    <t>2.73×1230×C</t>
  </si>
  <si>
    <t>1251121458310</t>
  </si>
  <si>
    <t>Thép cuộn cán nóng 2.73x1230 SAE1006</t>
  </si>
  <si>
    <t>1251121458303</t>
  </si>
  <si>
    <t>Thép cuộn cán nóng 7.80x1360 SS400 II</t>
  </si>
  <si>
    <t>7.80×1360×C</t>
  </si>
  <si>
    <t>1251121458204</t>
  </si>
  <si>
    <t>Thép cuộn cán nóng 7.80x1360 SS400</t>
  </si>
  <si>
    <t>1251121458198</t>
  </si>
  <si>
    <t>Thép cuộn cán nóng 6.80x1360 SS400 II</t>
  </si>
  <si>
    <t>6.80×1360×C</t>
  </si>
  <si>
    <t>1251121458181</t>
  </si>
  <si>
    <t>Thép cuộn cán nóng 6.80x1360 SS400</t>
  </si>
  <si>
    <t>1251121458174</t>
  </si>
  <si>
    <t>Thép cuộn cán nóng 2.45x1244 SAE1006 II</t>
  </si>
  <si>
    <t>2.45×1244×C</t>
  </si>
  <si>
    <t>1251121458129</t>
  </si>
  <si>
    <t>Thép cuộn cán nóng 2.45x1244 SAE1006</t>
  </si>
  <si>
    <t>1251121458112</t>
  </si>
  <si>
    <t>Thép cuộn cán nóng 2.75x1262 SAE1006 II</t>
  </si>
  <si>
    <t>1251121458105</t>
  </si>
  <si>
    <t>Thép cuộn cán nóng 2.75x1262 SAE1006</t>
  </si>
  <si>
    <t>1251121458099</t>
  </si>
  <si>
    <t>Thép cuộn cán nóng 3.45x1262 SAE1006 II</t>
  </si>
  <si>
    <t>1251121458082</t>
  </si>
  <si>
    <t>Thép cuộn cán nóng 3.45x1262 SAE1006</t>
  </si>
  <si>
    <t>1251121458075</t>
  </si>
  <si>
    <t>Thép cuộn cán nóng 2.80x1217 SAE1006 II</t>
  </si>
  <si>
    <t>1251121458037</t>
  </si>
  <si>
    <t>Thép cuộn cán nóng 2.80x1217 SAE1006</t>
  </si>
  <si>
    <t>1251121458020</t>
  </si>
  <si>
    <t>Thép cuộn cán nóng 2.30x1217 SAE1006 II</t>
  </si>
  <si>
    <t>1251121458013</t>
  </si>
  <si>
    <t>Thép cuộn cán nóng 2.30x1217 SAE1006</t>
  </si>
  <si>
    <t>1251121458006</t>
  </si>
  <si>
    <t>Thép cuộn cán nóng 2.80x1219 SAE1006 II</t>
  </si>
  <si>
    <t>1251121457993</t>
  </si>
  <si>
    <t>Thép cuộn cán nóng 2.80x1219 SAE1006</t>
  </si>
  <si>
    <t>1251121457986</t>
  </si>
  <si>
    <t>Thép cuộn cán nóng 2.30x1219 SAE1006 II</t>
  </si>
  <si>
    <t>1251121457979</t>
  </si>
  <si>
    <t>Thép cuộn cán nóng 2.30x1219 SAE1006</t>
  </si>
  <si>
    <t>1251121457962</t>
  </si>
  <si>
    <t>Thép cuộn cán nóng 4.50x1260 SAE1006 II</t>
  </si>
  <si>
    <t>1251121457955</t>
  </si>
  <si>
    <t>Thép cuộn cán nóng 4.50x1260 SAE1006</t>
  </si>
  <si>
    <t>1251121457948</t>
  </si>
  <si>
    <t>Thép cuộn cán nóng 3.00x1232 SAE1006 II</t>
  </si>
  <si>
    <t>1251121457931</t>
  </si>
  <si>
    <t>Thép cuộn cán nóng 3.00x1232 SAE1006</t>
  </si>
  <si>
    <t>1251121457924</t>
  </si>
  <si>
    <t>Thép cuộn cán nóng 2.50x1234 SAE1006 II</t>
  </si>
  <si>
    <t>2.50×1234×C</t>
  </si>
  <si>
    <t>1251121457917</t>
  </si>
  <si>
    <t>Thép cuộn cán nóng 2.50x1234 SAE1006</t>
  </si>
  <si>
    <t>1251121457900</t>
  </si>
  <si>
    <t>Thép cuộn cán nóng 2.20x1217 SAE1006 II</t>
  </si>
  <si>
    <t>1251121457894</t>
  </si>
  <si>
    <t>Thép cuộn cán nóng 2.20x1217 SAE1006</t>
  </si>
  <si>
    <t>1251121457887</t>
  </si>
  <si>
    <t>Thép cuộn cán nóng 2.00x1217 SAE1006 II</t>
  </si>
  <si>
    <t>1251121457870</t>
  </si>
  <si>
    <t>Thép cuộn cán nóng 2.00x1217 SAE1006</t>
  </si>
  <si>
    <t>1251121457863</t>
  </si>
  <si>
    <t>Thép cuộn cán nóng 3.20x1260 SAE1006 II</t>
  </si>
  <si>
    <t>1251121457856</t>
  </si>
  <si>
    <t>Thép cuộn cán nóng 3.20x1260 SAE1006</t>
  </si>
  <si>
    <t>1251121457849</t>
  </si>
  <si>
    <t>Thép cuộn cán nóng 2.80x1260 SAE1006 II</t>
  </si>
  <si>
    <t>1251121457832</t>
  </si>
  <si>
    <t>Thép cuộn cán nóng 2.80x1260 SAE1006</t>
  </si>
  <si>
    <t>1251121457825</t>
  </si>
  <si>
    <t>Thép cuộn cán nóng 2.50x1260 SAE1006 II</t>
  </si>
  <si>
    <t>1251121457818</t>
  </si>
  <si>
    <t>Thép cuộn cán nóng 2.50x1260 SAE1006</t>
  </si>
  <si>
    <t>1251121457801</t>
  </si>
  <si>
    <t>Thép cuộn cán nóng 2.20x1219 SAE1006 II</t>
  </si>
  <si>
    <t>2.20×1219×C</t>
  </si>
  <si>
    <t>1251121457795</t>
  </si>
  <si>
    <t>Thép cuộn cán nóng 2.20x1219 SAE1006</t>
  </si>
  <si>
    <t>1251121457788</t>
  </si>
  <si>
    <t>Thép cuộn cán nóng 2.65x1250 SAE1006 II</t>
  </si>
  <si>
    <t>2.65×1250×C</t>
  </si>
  <si>
    <t>1251121457771</t>
  </si>
  <si>
    <t>Thép cuộn cán nóng 2.65x1250 SAE1006</t>
  </si>
  <si>
    <t>1251121457764</t>
  </si>
  <si>
    <t>Thép cuộn cán nóng 3.20x1230 SAE1006 II</t>
  </si>
  <si>
    <t>3.20×1230×C</t>
  </si>
  <si>
    <t>1251121456187</t>
  </si>
  <si>
    <t>Thép cuộn cán nóng 3.20x1230 SAE1006</t>
  </si>
  <si>
    <t>1251121456170</t>
  </si>
  <si>
    <t>Thép cuộn cán nóng 4.95x1250 SS400 II</t>
  </si>
  <si>
    <t>1251121456163</t>
  </si>
  <si>
    <t>Thép cuộn cán nóng 4.95x1250 SS400</t>
  </si>
  <si>
    <t>1251121456156</t>
  </si>
  <si>
    <t>Thép cuộn cán nóng 2.75x1220 SAE1006 II</t>
  </si>
  <si>
    <t>2.75×1220×C</t>
  </si>
  <si>
    <t>1251121456118</t>
  </si>
  <si>
    <t>Thép cuộn cán nóng 2.75x1220 SAE1006</t>
  </si>
  <si>
    <t>1251121456101</t>
  </si>
  <si>
    <t>Thép cuộn cán nóng 4.95x1250 SAE1006 II</t>
  </si>
  <si>
    <t>1251121456095</t>
  </si>
  <si>
    <t>Thép cuộn cán nóng 4.95x1250 SAE1006</t>
  </si>
  <si>
    <t>1251121456088</t>
  </si>
  <si>
    <t>Thép cuộn cán nóng 2.20x1212 SAE1006 II</t>
  </si>
  <si>
    <t>1251121455944</t>
  </si>
  <si>
    <t>Thép cuộn cán nóng 2.20x1212 SAE1006</t>
  </si>
  <si>
    <t>1251121455937</t>
  </si>
  <si>
    <t>Thép cuộn cán nóng 2.30x1212 SAE1006 II</t>
  </si>
  <si>
    <t>1251121455920</t>
  </si>
  <si>
    <t>Thép cuộn cán nóng 2.30x1212 SAE1006</t>
  </si>
  <si>
    <t>1251121455913</t>
  </si>
  <si>
    <t>Thép cuộn cán nóng 2.50x1212 SAE1006 II</t>
  </si>
  <si>
    <t>1251121455906</t>
  </si>
  <si>
    <t>Thép cuộn cán nóng 2.50x1212 SAE1006</t>
  </si>
  <si>
    <t>1251121455890</t>
  </si>
  <si>
    <t>Thép cuộn cán nóng 4.90x1290 SAE1006 II</t>
  </si>
  <si>
    <t>4.90×1290×C</t>
  </si>
  <si>
    <t>1251121455883</t>
  </si>
  <si>
    <t>Thép cuộn cán nóng 4.90x1290 SAE1006</t>
  </si>
  <si>
    <t>1251121455876</t>
  </si>
  <si>
    <t>Thép cuộn cán nóng 3.80x1250 SAE1006 II</t>
  </si>
  <si>
    <t>1251121455838</t>
  </si>
  <si>
    <t>Thép cuộn cán nóng 3.80x1250 SAE1006</t>
  </si>
  <si>
    <t>1251121455821</t>
  </si>
  <si>
    <t>Thép cuộn cán nóng 3.15x1260 SAE1006 II</t>
  </si>
  <si>
    <t>3.15×1260×C</t>
  </si>
  <si>
    <t>1251121455814</t>
  </si>
  <si>
    <t>Thép cuộn cán nóng 3.15x1260 SAE1006</t>
  </si>
  <si>
    <t>1251121455807</t>
  </si>
  <si>
    <t>Thép cuộn cán nóng 2.65x1212 SAE1006 II</t>
  </si>
  <si>
    <t>1251121455678</t>
  </si>
  <si>
    <t>Thép cuộn cán nóng 2.65x1212 SAE1006</t>
  </si>
  <si>
    <t>1251121455661</t>
  </si>
  <si>
    <t>Thép cuộn cán nóng 2.60x1212 SAE1006 II</t>
  </si>
  <si>
    <t>1251121455654</t>
  </si>
  <si>
    <t>Thép cuộn cán nóng 2.60x1212 SAE1006</t>
  </si>
  <si>
    <t>1251121455647</t>
  </si>
  <si>
    <t>Thép cuộn cán nóng 2.00x1212 SAE1006 II</t>
  </si>
  <si>
    <t>1251121452615</t>
  </si>
  <si>
    <t>Thép cuộn cán nóng 2.45x1234 SAE1006 II</t>
  </si>
  <si>
    <t>1251121452608</t>
  </si>
  <si>
    <t>Thép cuộn cán nóng 2.70x1239 SAE1006 II</t>
  </si>
  <si>
    <t>1251121452592</t>
  </si>
  <si>
    <t>Thép cuộn cán nóng 2.60x1219 SAE1006 II</t>
  </si>
  <si>
    <t>1251121452585</t>
  </si>
  <si>
    <t>Thép cuộn cán nóng 2.80x1230 SAE1006 II</t>
  </si>
  <si>
    <t>1251121452578</t>
  </si>
  <si>
    <t>Thép cuộn cán nóng 2.50x1219 SAE1006 II</t>
  </si>
  <si>
    <t>1251121452561</t>
  </si>
  <si>
    <t>Thép cuộn cán nóng 2.45x1260 SAE1006 II</t>
  </si>
  <si>
    <t>1251121452554</t>
  </si>
  <si>
    <t>Thép cuộn cán nóng 3.20x1250 SAE1006 II</t>
  </si>
  <si>
    <t>1251121452547</t>
  </si>
  <si>
    <t>Thép cuộn cán nóng 2.90x1250 SAE1006 II</t>
  </si>
  <si>
    <t>1251121452530</t>
  </si>
  <si>
    <t>Thép cuộn cán nóng 2.70x1250 SAE1006 II</t>
  </si>
  <si>
    <t>1251121452523</t>
  </si>
  <si>
    <t>Thép cuộn cán nóng 3.95x1262 SAE1006 II</t>
  </si>
  <si>
    <t>1251121452073</t>
  </si>
  <si>
    <t>Thép cuộn cán nóng 2.00x1265 SAE1006 II</t>
  </si>
  <si>
    <t>1251121452059</t>
  </si>
  <si>
    <t>Thép cuộn cán nóng 2.15x1265 SAE1006 II</t>
  </si>
  <si>
    <t>1251121452042</t>
  </si>
  <si>
    <t>Thép cuộn cán nóng 2.25x1265 SAE1006 II</t>
  </si>
  <si>
    <t>1251121452035</t>
  </si>
  <si>
    <t>Thép cuộn cán nóng 2.35x1265 SAE1006 II</t>
  </si>
  <si>
    <t>1251121452028</t>
  </si>
  <si>
    <t>Thép cuộn cán nóng 2.45x1265 SAE1006 II</t>
  </si>
  <si>
    <t>1251121452011</t>
  </si>
  <si>
    <t>Thép cuộn cán nóng 2.75x1265 SAE1006 II</t>
  </si>
  <si>
    <t>1251121452004</t>
  </si>
  <si>
    <t>Thép cuộn cán nóng 2.95x1265 SAE1006 II</t>
  </si>
  <si>
    <t>1251121451991</t>
  </si>
  <si>
    <t>Thép cuộn cán nóng 3.15x1265 SAE1006 II</t>
  </si>
  <si>
    <t>1251121451984</t>
  </si>
  <si>
    <t>Thép cuộn cán nóng 3.45x1265 SAE1006 II</t>
  </si>
  <si>
    <t>1251121451977</t>
  </si>
  <si>
    <t>Thép cuộn cán nóng 3.75x1265 SAE1006 II</t>
  </si>
  <si>
    <t>1251121451960</t>
  </si>
  <si>
    <t>Thép cuộn cán nóng 3.95x1265 SAE1006 II</t>
  </si>
  <si>
    <t>1251121451953</t>
  </si>
  <si>
    <t>Thép cuộn cán nóng 4.00x1500 SS400 II</t>
  </si>
  <si>
    <t>1251121451779</t>
  </si>
  <si>
    <t>Thép cuộn cán nóng 3.75x1219 SS400 II</t>
  </si>
  <si>
    <t>1251121451557</t>
  </si>
  <si>
    <t>Thép cuộn cán nóng 3.70x1500 SS400 II</t>
  </si>
  <si>
    <t>1251121451427</t>
  </si>
  <si>
    <t>Thép cuộn cán nóng 3.90x1500 SS400 II</t>
  </si>
  <si>
    <t>1251121451410</t>
  </si>
  <si>
    <t>Thép cuộn cán nóng 4.40x1500 SS400 II</t>
  </si>
  <si>
    <t>1251121451403</t>
  </si>
  <si>
    <t>Thép cuộn cán nóng 6.00x1500 SS400 II</t>
  </si>
  <si>
    <t>1251121451397</t>
  </si>
  <si>
    <t>Thép cuộn cán nóng 10.00x1500 SS400 II</t>
  </si>
  <si>
    <t>1251121451380</t>
  </si>
  <si>
    <t>Thép cuộn cán nóng 8.00x1500 SS400 II</t>
  </si>
  <si>
    <t>1251121451373</t>
  </si>
  <si>
    <t>Thép cuộn cán nóng 12.00x1500 SS400 II</t>
  </si>
  <si>
    <t>1251121451366</t>
  </si>
  <si>
    <t>Thép cuộn cán nóng 2.45x1500 SS400 II</t>
  </si>
  <si>
    <t>1251121451281</t>
  </si>
  <si>
    <t>Thép cuộn cán nóng 2.75x1500 SS400 II</t>
  </si>
  <si>
    <t>1251121451274</t>
  </si>
  <si>
    <t>Thép cuộn cán nóng 2.80x1500 SS400 II</t>
  </si>
  <si>
    <t>1251121451267</t>
  </si>
  <si>
    <t>Thép cuộn cán nóng 2.85x1500 SS400 II</t>
  </si>
  <si>
    <t>1251121451250</t>
  </si>
  <si>
    <t>Thép cuộn cán nóng 2.90x1500 SS400 II</t>
  </si>
  <si>
    <t>1251121451243</t>
  </si>
  <si>
    <t>Thép cuộn cán nóng 2.95x1500 SS400 II</t>
  </si>
  <si>
    <t>1251121451236</t>
  </si>
  <si>
    <t>Thép cuộn cán nóng 3.10x1500 SS400 II</t>
  </si>
  <si>
    <t>3.10×1500×C</t>
  </si>
  <si>
    <t>1251121451229</t>
  </si>
  <si>
    <t>Thép cuộn cán nóng 3.15x1500 SS400 II</t>
  </si>
  <si>
    <t>1251121451212</t>
  </si>
  <si>
    <t>Thép cuộn cán nóng 3.40x1500 SS400 II</t>
  </si>
  <si>
    <t>1251121451205</t>
  </si>
  <si>
    <t>Thép cuộn cán nóng 3.45x1500 SS400 II</t>
  </si>
  <si>
    <t>1251121451199</t>
  </si>
  <si>
    <t>Thép cuộn cán nóng 3.85x1500 SS400 II</t>
  </si>
  <si>
    <t>1251121451182</t>
  </si>
  <si>
    <t>Thép cuộn cán nóng 3.95x1500 SS400 II</t>
  </si>
  <si>
    <t>1251121451175</t>
  </si>
  <si>
    <t>Thép cuộn cán nóng 4.85x1500 SS400 II</t>
  </si>
  <si>
    <t>1251121451168</t>
  </si>
  <si>
    <t>Thép cuộn cán nóng 4.95x1500 SS400 II</t>
  </si>
  <si>
    <t>1251121451151</t>
  </si>
  <si>
    <t>Thép cuộn cán nóng 5.85x1500 SS400 II</t>
  </si>
  <si>
    <t>1251121451144</t>
  </si>
  <si>
    <t>Thép cuộn cán nóng 5.90x1500 SS400 II</t>
  </si>
  <si>
    <t>1251121451137</t>
  </si>
  <si>
    <t>Thép cuộn cán nóng 7.85x1500 SS400 II</t>
  </si>
  <si>
    <t>1251121451120</t>
  </si>
  <si>
    <t>Thép cuộn cán nóng 9.80x1500 SS400 II</t>
  </si>
  <si>
    <t>9.80×1500×C</t>
  </si>
  <si>
    <t>1251121451113</t>
  </si>
  <si>
    <t>Thép cuộn cán nóng 11.80x1500 SS400 II</t>
  </si>
  <si>
    <t>11.8×1500×C</t>
  </si>
  <si>
    <t>1251121451106</t>
  </si>
  <si>
    <t>Thép cuộn cán nóng 9.85x1500 SS400 II</t>
  </si>
  <si>
    <t>1251121451090</t>
  </si>
  <si>
    <t>Thép cuộn cán nóng 11.85x1500 SS400 II</t>
  </si>
  <si>
    <t>1251121451083</t>
  </si>
  <si>
    <t>Thép cuộn cán nóng 2.85x1500 SS400</t>
  </si>
  <si>
    <t>1251121451045</t>
  </si>
  <si>
    <t>Thép cuộn cán nóng 2.90x1500 SS400</t>
  </si>
  <si>
    <t>1251121451038</t>
  </si>
  <si>
    <t>Thép cuộn cán nóng 2.95x1500 SS400</t>
  </si>
  <si>
    <t>1251121451021</t>
  </si>
  <si>
    <t>Thép cuộn cán nóng 3.10x1500 SS400</t>
  </si>
  <si>
    <t>1251121451014</t>
  </si>
  <si>
    <t>Thép cuộn cán nóng 2.95x1250 SM400A II</t>
  </si>
  <si>
    <t>1251121450505</t>
  </si>
  <si>
    <t>Thép cuộn cán nóng 3.45x1250 SM400A II</t>
  </si>
  <si>
    <t>1251121450499</t>
  </si>
  <si>
    <t>Thép cuộn cán nóng 2.75x1250 Q195 II</t>
  </si>
  <si>
    <t>GB/T 700-2006</t>
  </si>
  <si>
    <t>1251121450482</t>
  </si>
  <si>
    <t>Thép cuộn cán nóng 3.45x1250 Q195 II</t>
  </si>
  <si>
    <t>1251121450475</t>
  </si>
  <si>
    <t>Thép cuộn cán nóng 2.50x1250 Type A II</t>
  </si>
  <si>
    <t>1251121450468</t>
  </si>
  <si>
    <t>Thép cuộn cán nóng 2.75x1250 Type A II</t>
  </si>
  <si>
    <t>1251121450451</t>
  </si>
  <si>
    <t>Thép cuộn cán nóng 2.50x1250 SPHT1 II</t>
  </si>
  <si>
    <t>1251121450444</t>
  </si>
  <si>
    <t>Thép cuộn cán nóng 2.75x1250 SPHT1 II</t>
  </si>
  <si>
    <t>1251121450437</t>
  </si>
  <si>
    <t>Thép cuộn cán nóng 2.50x1250 SPHC II</t>
  </si>
  <si>
    <t>1251121450420</t>
  </si>
  <si>
    <t>Thép cuộn cán nóng 2.75x1250 SPHC II</t>
  </si>
  <si>
    <t>1251121450413</t>
  </si>
  <si>
    <t>Thép cuộn cán nóng 2.95x1250 SM400A</t>
  </si>
  <si>
    <t>1251121450406</t>
  </si>
  <si>
    <t>Thép cuộn cán nóng 3.45x1250 SM400A</t>
  </si>
  <si>
    <t>1251121450390</t>
  </si>
  <si>
    <t>Thép cuộn cán nóng 2.75x1250 Q195</t>
  </si>
  <si>
    <t>1251121450383</t>
  </si>
  <si>
    <t>Thép cuộn cán nóng 3.45x1250 Q195</t>
  </si>
  <si>
    <t>1251121450376</t>
  </si>
  <si>
    <t>Thép cuộn cán nóng 2.50x1250 Type A</t>
  </si>
  <si>
    <t>1251121450369</t>
  </si>
  <si>
    <t>Thép cuộn cán nóng 2.75x1250 Type A</t>
  </si>
  <si>
    <t>1251121450352</t>
  </si>
  <si>
    <t>Thép cuộn cán nóng 2.50x1250 SPHT1</t>
  </si>
  <si>
    <t>1251121450345</t>
  </si>
  <si>
    <t>Thép cuộn cán nóng 2.75x1250 SPHT1</t>
  </si>
  <si>
    <t>1251121450338</t>
  </si>
  <si>
    <t>Thép cuộn cán nóng 2.50x1250 SPHC</t>
  </si>
  <si>
    <t>1251121450321</t>
  </si>
  <si>
    <t>Thép cuộn cán nóng 2.75x1250 SPHC</t>
  </si>
  <si>
    <t>1251121450314</t>
  </si>
  <si>
    <t>Thép cuộn cán nóng 4.90x1250 SS400 II</t>
  </si>
  <si>
    <t>1251121449905</t>
  </si>
  <si>
    <t>Thép cuộn cán nóng 4.90x1250 SS400</t>
  </si>
  <si>
    <t>1251121449899</t>
  </si>
  <si>
    <t>Thép cuộn cán nóng 2.35x1230 SAE1006 II</t>
  </si>
  <si>
    <t>2.35×1230×C</t>
  </si>
  <si>
    <t>1251121449646</t>
  </si>
  <si>
    <t>Thép cuộn cán nóng 3.90x1290 SAE1006 II</t>
  </si>
  <si>
    <t>3.90×1290×C</t>
  </si>
  <si>
    <t>1251121449639</t>
  </si>
  <si>
    <t>Thép cuộn cán nóng 2.35x1230 SAE1006</t>
  </si>
  <si>
    <t>1251121449622</t>
  </si>
  <si>
    <t>Thép cuộn cán nóng 3.90x1290 SAE1006</t>
  </si>
  <si>
    <t>1251121449615</t>
  </si>
  <si>
    <t>Thép cuộn cán nóng 1.48x1219 SAE1006 II</t>
  </si>
  <si>
    <t>1.48×1219×C</t>
  </si>
  <si>
    <t>1251121449417</t>
  </si>
  <si>
    <t>Thép cuộn cán nóng 1.48x1219 SAE1006</t>
  </si>
  <si>
    <t>1251121449400</t>
  </si>
  <si>
    <t>Thép cuộn cán nóng 2.00x1215 SAE1006 II</t>
  </si>
  <si>
    <t>1251121449196</t>
  </si>
  <si>
    <t>Thép cuộn cán nóng 2.15x1215 SAE1006 II</t>
  </si>
  <si>
    <t>2.15×1215×C</t>
  </si>
  <si>
    <t>1251121449189</t>
  </si>
  <si>
    <t>Thép cuộn cán nóng 2.00x1215 SAE1006</t>
  </si>
  <si>
    <t>1251121449172</t>
  </si>
  <si>
    <t>Thép cuộn cán nóng 2.15x1215 SAE1006</t>
  </si>
  <si>
    <t>1251121449165</t>
  </si>
  <si>
    <t>[D]Thép cuộn cán nóng 2.00x1219 SAE1006</t>
  </si>
  <si>
    <t>1251121439586</t>
  </si>
  <si>
    <t>Thép cuộn cán nóng 2.15x1219 SAE1006 II</t>
  </si>
  <si>
    <t>1251121439579</t>
  </si>
  <si>
    <t>1251121439562</t>
  </si>
  <si>
    <t>Thép cuộn cán nóng 2.15x1219 SAE1006</t>
  </si>
  <si>
    <t>1251121439555</t>
  </si>
  <si>
    <t>[D]Thép cuộn cán nóng 2.45x1230 SAE1006</t>
  </si>
  <si>
    <t>2.45×1230×C</t>
  </si>
  <si>
    <t>1251121439388</t>
  </si>
  <si>
    <t>Thép cuộn cán nóng 3.95x1230 SAE1006 II</t>
  </si>
  <si>
    <t>1251121439371</t>
  </si>
  <si>
    <t>1251121439364</t>
  </si>
  <si>
    <t>Thép cuộn cán nóng 3.95x1230 SAE1006</t>
  </si>
  <si>
    <t>1251121439357</t>
  </si>
  <si>
    <t>Thép cuộn cán nóng 2.95x1219 SAE1006 II</t>
  </si>
  <si>
    <t>1251121439159</t>
  </si>
  <si>
    <t>Thép cuộn cán nóng 2.95x1219 SAE1006</t>
  </si>
  <si>
    <t>1251121439142</t>
  </si>
  <si>
    <t>Thép cuộn cán nóng 3.95x1219 SAE1006 II</t>
  </si>
  <si>
    <t>1251121439074</t>
  </si>
  <si>
    <t>Thép cuộn cán nóng 3.45x1219 SAE1006 II</t>
  </si>
  <si>
    <t>1251121439067</t>
  </si>
  <si>
    <t>Thép cuộn cán nóng 3.25x1219 SAE1006 II</t>
  </si>
  <si>
    <t>1251121439050</t>
  </si>
  <si>
    <t>Thép cuộn cán nóng 3.15x1219 SAE1006 II</t>
  </si>
  <si>
    <t>1251121439043</t>
  </si>
  <si>
    <t>Thép cuộn cán nóng 2.70x1219 SAE1006 II</t>
  </si>
  <si>
    <t>1251121439036</t>
  </si>
  <si>
    <t>Thép cuộn cán nóng 2.75x1219 SAE1006 II</t>
  </si>
  <si>
    <t>1251121439029</t>
  </si>
  <si>
    <t>Thép cuộn cán nóng 2.45x1219 SAE1006 II</t>
  </si>
  <si>
    <t>1251121439012</t>
  </si>
  <si>
    <t>Thép cuộn cán nóng 2.25x1219 SAE1006 II</t>
  </si>
  <si>
    <t>1251121439005</t>
  </si>
  <si>
    <t>Thép cuộn cán nóng 1.75x1219 SAE1006 II</t>
  </si>
  <si>
    <t>1251121438992</t>
  </si>
  <si>
    <t>Thép cuộn cán nóng 1.45x1219 SAE1006 II</t>
  </si>
  <si>
    <t>1.45×1219×C</t>
  </si>
  <si>
    <t>1251121438985</t>
  </si>
  <si>
    <t>Thép cuộn cán nóng 3.95x1219 SAE1006</t>
  </si>
  <si>
    <t>1251121438978</t>
  </si>
  <si>
    <t>Thép cuộn cán nóng 3.45x1219 SAE1006</t>
  </si>
  <si>
    <t>1251121438961</t>
  </si>
  <si>
    <t>Thép cuộn cán nóng 3.25x1219 SAE1006</t>
  </si>
  <si>
    <t>1251121438954</t>
  </si>
  <si>
    <t>Thép cuộn cán nóng 3.15x1219 SAE1006</t>
  </si>
  <si>
    <t>1251121438947</t>
  </si>
  <si>
    <t>Thép cuộn cán nóng 2.70x1219 SAE1006</t>
  </si>
  <si>
    <t>1251121438930</t>
  </si>
  <si>
    <t>Thép cuộn cán nóng 2.75x1219 SAE1006</t>
  </si>
  <si>
    <t>1251121438923</t>
  </si>
  <si>
    <t>Thép cuộn cán nóng 2.45x1219 SAE1006</t>
  </si>
  <si>
    <t>1251121438916</t>
  </si>
  <si>
    <t>Thép cuộn cán nóng 2.25x1219 SAE1006</t>
  </si>
  <si>
    <t>1251121438909</t>
  </si>
  <si>
    <t>Thép cuộn cán nóng 1.75x1219 SAE1006</t>
  </si>
  <si>
    <t>1251121438893</t>
  </si>
  <si>
    <t>Thép cuộn cán nóng 1.45x1219 SAE1006</t>
  </si>
  <si>
    <t>1251121438886</t>
  </si>
  <si>
    <t>Thép cuộn cán nóng 3.15x1250 SAE1006 II</t>
  </si>
  <si>
    <t>1251121438176</t>
  </si>
  <si>
    <t>Thép cuộn cán nóng 2.25x1250 SAE1006 II</t>
  </si>
  <si>
    <t>1251121438169</t>
  </si>
  <si>
    <t>Thép cuộn cán nóng 1.75x1250 SAE1006 II</t>
  </si>
  <si>
    <t>1251121438152</t>
  </si>
  <si>
    <t>Thép cuộn cán nóng 1.45x1250 SAE1006 II</t>
  </si>
  <si>
    <t>1.45×1250×C</t>
  </si>
  <si>
    <t>1251121438145</t>
  </si>
  <si>
    <t>Thép cuộn cán nóng 3.15x1250 SAE1006</t>
  </si>
  <si>
    <t>1251121438138</t>
  </si>
  <si>
    <t>Thép cuộn cán nóng 2.25x1250 SAE1006</t>
  </si>
  <si>
    <t>1251121438121</t>
  </si>
  <si>
    <t>Thép cuộn cán nóng 1.75x1250 SAE1006</t>
  </si>
  <si>
    <t>1251121438114</t>
  </si>
  <si>
    <t>Thép cuộn cán nóng 1.45x1250 SAE1006</t>
  </si>
  <si>
    <t>1251121438107</t>
  </si>
  <si>
    <t>Thép cuộn cán nóng 2.75x1212 SAE1006 II</t>
  </si>
  <si>
    <t>1251121438015</t>
  </si>
  <si>
    <t>Thép cuộn cán nóng 2.25x1212 SAE1006 II</t>
  </si>
  <si>
    <t>1251121438008</t>
  </si>
  <si>
    <t>Thép cuộn cán nóng 1.95x1212 SAE1006 II</t>
  </si>
  <si>
    <t>1251121437995</t>
  </si>
  <si>
    <t>Thép cuộn cán nóng 1.75x1212 SAE1006 II</t>
  </si>
  <si>
    <t>1251121437988</t>
  </si>
  <si>
    <t>Thép cuộn cán nóng 1.45x1212 SAE1006 II</t>
  </si>
  <si>
    <t>1.45×1212×C</t>
  </si>
  <si>
    <t>1251121437971</t>
  </si>
  <si>
    <t>Thép cuộn cán nóng 2.75x1212 SAE1006</t>
  </si>
  <si>
    <t>1251121437964</t>
  </si>
  <si>
    <t>Thép cuộn cán nóng 2.25x1212 SAE1006</t>
  </si>
  <si>
    <t>1251121437957</t>
  </si>
  <si>
    <t>Thép cuộn cán nóng 1.95x1212 SAE1006</t>
  </si>
  <si>
    <t>1251121437940</t>
  </si>
  <si>
    <t>Thép cuộn cán nóng 1.75x1212 SAE1006</t>
  </si>
  <si>
    <t>1251121437933</t>
  </si>
  <si>
    <t>Thép cuộn cán nóng 1.45x1212 SAE1006</t>
  </si>
  <si>
    <t>1251121437926</t>
  </si>
  <si>
    <t>Thép cuộn cán nóng 2.15x1212 SAE1006 II</t>
  </si>
  <si>
    <t>2.15×1212×C</t>
  </si>
  <si>
    <t>1251121437889</t>
  </si>
  <si>
    <t>Thép cuộn cán nóng 2.45x1212 SAE1006 II</t>
  </si>
  <si>
    <t>1251121437872</t>
  </si>
  <si>
    <t>Thép cuộn cán nóng 2.95x1212 SAE1006 II</t>
  </si>
  <si>
    <t>1251121437865</t>
  </si>
  <si>
    <t>Thép cuộn cán nóng 3.15x1212 SAE1006 II</t>
  </si>
  <si>
    <t>3.15×1212×C</t>
  </si>
  <si>
    <t>1251121437858</t>
  </si>
  <si>
    <t>Thép cuộn cán nóng 3.45x1212 SAE1006 II</t>
  </si>
  <si>
    <t>1251121437841</t>
  </si>
  <si>
    <t>Thép cuộn cán nóng 3.75x1212 SAE1006 II</t>
  </si>
  <si>
    <t>1251121437834</t>
  </si>
  <si>
    <t>Thép cuộn cán nóng 3.95x1212 SAE1006 II</t>
  </si>
  <si>
    <t>1251121437827</t>
  </si>
  <si>
    <t>Thép cuộn cán nóng 5.00x1212 SAE1006 II</t>
  </si>
  <si>
    <t>5.00×1212×C</t>
  </si>
  <si>
    <t>1251121437810</t>
  </si>
  <si>
    <t>Thép cuộn cán nóng 6.00x1212 SAE1006 II</t>
  </si>
  <si>
    <t>6.00×1212×C</t>
  </si>
  <si>
    <t>1251121437803</t>
  </si>
  <si>
    <t>Thép cuộn cán nóng 2.15x1212 SAE1006</t>
  </si>
  <si>
    <t>1251121437797</t>
  </si>
  <si>
    <t>Thép cuộn cán nóng 2.45x1212 SAE1006</t>
  </si>
  <si>
    <t>1251121437780</t>
  </si>
  <si>
    <t>Thép cuộn cán nóng 2.95x1212 SAE1006</t>
  </si>
  <si>
    <t>1251121437773</t>
  </si>
  <si>
    <t>Thép cuộn cán nóng 3.15x1212 SAE1006</t>
  </si>
  <si>
    <t>1251121437766</t>
  </si>
  <si>
    <t>Thép cuộn cán nóng 3.45x1212 SAE1006</t>
  </si>
  <si>
    <t>1251121437759</t>
  </si>
  <si>
    <t>Thép cuộn cán nóng 3.75x1212 SAE1006</t>
  </si>
  <si>
    <t>1251121437742</t>
  </si>
  <si>
    <t>Thép cuộn cán nóng 3.95x1212 SAE1006</t>
  </si>
  <si>
    <t>1251121437735</t>
  </si>
  <si>
    <t>Thép cuộn cán nóng 5.00x1212 SAE1006</t>
  </si>
  <si>
    <t>1251121437728</t>
  </si>
  <si>
    <t>Thép cuộn cán nóng 6.00x1212 SAE1006</t>
  </si>
  <si>
    <t>1251121437711</t>
  </si>
  <si>
    <t>Thép cuộn cán nóng 6.00x1250 SAE1006 II</t>
  </si>
  <si>
    <t>1251121437674</t>
  </si>
  <si>
    <t>Thép cuộn cán nóng 6.00x1250 SAE1006</t>
  </si>
  <si>
    <t>1251121437667</t>
  </si>
  <si>
    <t>[D]Thép cuộn cán nóng 6x1250 SAE1006 II</t>
  </si>
  <si>
    <t>1251121437599</t>
  </si>
  <si>
    <t>[D]Thép cuộn cán nóng 6.00x1250 SAE1006</t>
  </si>
  <si>
    <t>1251121437582</t>
  </si>
  <si>
    <t>Thép cuộn cán nóng 6.0x1250mm SS490 II</t>
  </si>
  <si>
    <t>1251121434826</t>
  </si>
  <si>
    <t>Thép cuộn cán nóng 5.0x1250mm SS490 II</t>
  </si>
  <si>
    <t>1251121434819</t>
  </si>
  <si>
    <t>Thép cuộn cán nóng 6.0x1250mm SS490</t>
  </si>
  <si>
    <t>1251121434802</t>
  </si>
  <si>
    <t>Thép cuộn cán nóng 5.0x1250mm SS490</t>
  </si>
  <si>
    <t>1251121434796</t>
  </si>
  <si>
    <t>Thép cuộn cán nóng 3.00x1190 SPA-H</t>
  </si>
  <si>
    <t>3.00×1190×C</t>
  </si>
  <si>
    <t>1251121474242</t>
  </si>
  <si>
    <t>Thép cuộn cán nóng 2.00x1052 SAE1006 II</t>
  </si>
  <si>
    <t>1251121480144</t>
  </si>
  <si>
    <t>Thép cuộn cán nóng 2.00x1052 SAE1006</t>
  </si>
  <si>
    <t>1251121480137</t>
  </si>
  <si>
    <t>Thép cuộn cán nóng 2.00x1106 SAE1006 II</t>
  </si>
  <si>
    <t>2.00×1106×C</t>
  </si>
  <si>
    <t>1251121480120</t>
  </si>
  <si>
    <t>Thép cuộn cán nóng 2.00x1106 SAE1006</t>
  </si>
  <si>
    <t>1251121480113</t>
  </si>
  <si>
    <t>Thép cuộn cán nóng 4.05x1225 SAE1006 II</t>
  </si>
  <si>
    <t>4.05×1225×C</t>
  </si>
  <si>
    <t>1251121480106</t>
  </si>
  <si>
    <t>Thép cuộn cán nóng 4.05x1225 SAE1006</t>
  </si>
  <si>
    <t>1251121480090</t>
  </si>
  <si>
    <t>Thép cuộn cán nóng 3.30x1262 SAE1006 II</t>
  </si>
  <si>
    <t>1251121480083</t>
  </si>
  <si>
    <t>Thép cuộn cán nóng 3.30x1262 SAE1006</t>
  </si>
  <si>
    <t>1251121480076</t>
  </si>
  <si>
    <t>Thép cuộn cán nóng 3.90x1262 SAE1006 II</t>
  </si>
  <si>
    <t>1251121480069</t>
  </si>
  <si>
    <t>Thép cuộn cán nóng 3.90x1262 SAE1006</t>
  </si>
  <si>
    <t>1251121480052</t>
  </si>
  <si>
    <t>Thép cuộn cán nóng 3.50x1234 SAE1006 II</t>
  </si>
  <si>
    <t>3.50×1234×C</t>
  </si>
  <si>
    <t>1251121480007</t>
  </si>
  <si>
    <t>Thép cuộn cán nóng 3.50x1234 SAE1006</t>
  </si>
  <si>
    <t>1251121479995</t>
  </si>
  <si>
    <t>Thép cuộn cán nóng 3.90x1234 SAE1006 II</t>
  </si>
  <si>
    <t>1251121479988</t>
  </si>
  <si>
    <t>Thép cuộn cán nóng 3.90x1234 SAE1006</t>
  </si>
  <si>
    <t>1251121479971</t>
  </si>
  <si>
    <t>Thép cuộn cán nóng 3.70x1234 SAE1006 II</t>
  </si>
  <si>
    <t>3.70×1234×C</t>
  </si>
  <si>
    <t>1251121479964</t>
  </si>
  <si>
    <t>Thép cuộn cán nóng 3.70x1234 SAE1006</t>
  </si>
  <si>
    <t>1251121479957</t>
  </si>
  <si>
    <t>Thép cuộn cán nóng 3.20x1234 SAE1006 II</t>
  </si>
  <si>
    <t>3.20×1234×C</t>
  </si>
  <si>
    <t>1251121479940</t>
  </si>
  <si>
    <t>Thép cuộn cán nóng 3.20x1234 SAE1006</t>
  </si>
  <si>
    <t>1251121479933</t>
  </si>
  <si>
    <t>Thép cuộn cán nóng 4.95x1390 SS400 II</t>
  </si>
  <si>
    <t>4.95×1390×C</t>
  </si>
  <si>
    <t>1251121479926</t>
  </si>
  <si>
    <t>Thép cuộn cán nóng 4.95x1390 SS400</t>
  </si>
  <si>
    <t>1251121479919</t>
  </si>
  <si>
    <t>Thép cuộn cán nóng 4.90x1210 SS400 II</t>
  </si>
  <si>
    <t>1251121479902</t>
  </si>
  <si>
    <t>Thép cuộn cán nóng 4.90x1210 SS400</t>
  </si>
  <si>
    <t>1251121479896</t>
  </si>
  <si>
    <t>Thép cuộn cán nóng 4.55x1390 SS400 II</t>
  </si>
  <si>
    <t>4.55×1390×C</t>
  </si>
  <si>
    <t>1251121479889</t>
  </si>
  <si>
    <t>Thép cuộn cán nóng 4.55x1390 SS400</t>
  </si>
  <si>
    <t>1251121479872</t>
  </si>
  <si>
    <t>Thép cuộn cán nóng 3.45x1212 SS400 II</t>
  </si>
  <si>
    <t>1251121479865</t>
  </si>
  <si>
    <t>Thép cuộn cán nóng 3.45x1212 SS400</t>
  </si>
  <si>
    <t>1251121479858</t>
  </si>
  <si>
    <t>Thép cuộn cán nóng 2.95x1212 SS400 II</t>
  </si>
  <si>
    <t>1251121479841</t>
  </si>
  <si>
    <t>Thép cuộn cán nóng 2.95x1212 SS400</t>
  </si>
  <si>
    <t>1251121479834</t>
  </si>
  <si>
    <t>Thép cuộn cán nóng 5.20x1250 SS400 II</t>
  </si>
  <si>
    <t>5.20×1250×C</t>
  </si>
  <si>
    <t>1251121479827</t>
  </si>
  <si>
    <t>Thép cuộn cán nóng 5.20x1250 SS400</t>
  </si>
  <si>
    <t>1251121479810</t>
  </si>
  <si>
    <t>Thép cuộn cán nóng 10.80x1500 SS400 II</t>
  </si>
  <si>
    <t>10.80×1500×C</t>
  </si>
  <si>
    <t>1251121479803</t>
  </si>
  <si>
    <t>Thép cuộn cán nóng 10.80x1500 SS400</t>
  </si>
  <si>
    <t>1251121479797</t>
  </si>
  <si>
    <t>Thép cuộn cán nóng 3.00x1290 SS400 II</t>
  </si>
  <si>
    <t>3.00×1290×C</t>
  </si>
  <si>
    <t>1251121479780</t>
  </si>
  <si>
    <t>Thép cuộn cán nóng 3.00x1290 SS400</t>
  </si>
  <si>
    <t>1251121479773</t>
  </si>
  <si>
    <t>Thép cuộn cán nóng 2.85x1410 SS400 II</t>
  </si>
  <si>
    <t>2.85×1410×C</t>
  </si>
  <si>
    <t>1251121479766</t>
  </si>
  <si>
    <t>Thép cuộn cán nóng 2.85x1410 SS400</t>
  </si>
  <si>
    <t>1251121479759</t>
  </si>
  <si>
    <t>Thép cuộn cán nóng 2.95x1234 SS400 II</t>
  </si>
  <si>
    <t>2.95×1234×C</t>
  </si>
  <si>
    <t>1251121479674</t>
  </si>
  <si>
    <t>Thép cuộn cán nóng 2.95x1234 SS400</t>
  </si>
  <si>
    <t>1251121479667</t>
  </si>
  <si>
    <t>Thép cuộn cán nóng 3.45x1410 SS400 II</t>
  </si>
  <si>
    <t>3.45×1410×C</t>
  </si>
  <si>
    <t>1251121479650</t>
  </si>
  <si>
    <t>Thép cuộn cán nóng 3.45x1410 SS400</t>
  </si>
  <si>
    <t>1251121479643</t>
  </si>
  <si>
    <t>Thép cuộn cán nóng 3.15x1410 SS400 II</t>
  </si>
  <si>
    <t>3.15×1410×C</t>
  </si>
  <si>
    <t>1251121479636</t>
  </si>
  <si>
    <t>Thép cuộn cán nóng 3.15x1410 SS400</t>
  </si>
  <si>
    <t>1251121479629</t>
  </si>
  <si>
    <t>Thép cuộn cán nóng 3.90x1400 SS400 II</t>
  </si>
  <si>
    <t>1251121479612</t>
  </si>
  <si>
    <t>Thép cuộn cán nóng 3.90x1400 SS400</t>
  </si>
  <si>
    <t>1251121479605</t>
  </si>
  <si>
    <t>Thép cuộn cán nóng 2.20x1250 SS400 II</t>
  </si>
  <si>
    <t>1251121479582</t>
  </si>
  <si>
    <t>Thép cuộn cán nóng 2.20x1250 SS400</t>
  </si>
  <si>
    <t>1251121479575</t>
  </si>
  <si>
    <t>Thép cuộn cán nóng 4.35x1219 SS400 II</t>
  </si>
  <si>
    <t>4.35×1219×C</t>
  </si>
  <si>
    <t>1251121479476</t>
  </si>
  <si>
    <t>Thép cuộn cán nóng 4.35x1219 SS400</t>
  </si>
  <si>
    <t>1251121479469</t>
  </si>
  <si>
    <t>Thép cuộn cán nóng 2.95x1410 SS400 II</t>
  </si>
  <si>
    <t>2.95×1410×C</t>
  </si>
  <si>
    <t>1251121479452</t>
  </si>
  <si>
    <t>Thép cuộn cán nóng 2.95x1410 SS400</t>
  </si>
  <si>
    <t>1251121479445</t>
  </si>
  <si>
    <t>Thép cuộn cán nóng 3.50x1212 S235JR II</t>
  </si>
  <si>
    <t>1251121479438</t>
  </si>
  <si>
    <t>Thép cuộn cán nóng 3.50x1212 S235JR</t>
  </si>
  <si>
    <t>1251121479421</t>
  </si>
  <si>
    <t>Thép cuộn cán nóng 2.75x1212 S235JR II</t>
  </si>
  <si>
    <t>1251121479414</t>
  </si>
  <si>
    <t>Thép cuộn cán nóng 2.75x1212 S235JR</t>
  </si>
  <si>
    <t>1251121479407</t>
  </si>
  <si>
    <t>Thép cuộn cán nóng 2.45x1212 S235JR II</t>
  </si>
  <si>
    <t>1251121479391</t>
  </si>
  <si>
    <t>Thép cuộn cán nóng 2.45x1212 S235JR</t>
  </si>
  <si>
    <t>1251121479384</t>
  </si>
  <si>
    <t>Thép cuộn cán nóng 3.00x1212 SAE1006 II</t>
  </si>
  <si>
    <t>1251121479193</t>
  </si>
  <si>
    <t>Thép cuộn cán nóng 3.00x1212 SAE1006</t>
  </si>
  <si>
    <t>1251121479186</t>
  </si>
  <si>
    <t>Thép cuộn cán nóng 2.35x1212 SAE1006 II</t>
  </si>
  <si>
    <t>2.35×1212×C</t>
  </si>
  <si>
    <t>1251121479179</t>
  </si>
  <si>
    <t>Thép cuộn cán nóng 2.35x1212 SAE1006</t>
  </si>
  <si>
    <t>1251121479162</t>
  </si>
  <si>
    <t>Thép cuộn cán nóng 3.25x1260 SAE1006 II</t>
  </si>
  <si>
    <t>3.25×1260×C</t>
  </si>
  <si>
    <t>1251121479155</t>
  </si>
  <si>
    <t>Thép cuộn cán nóng 3.25x1260 SAE1006</t>
  </si>
  <si>
    <t>1251121479148</t>
  </si>
  <si>
    <t>Thép cuộn cán nóng 3.15x1225 SAE1006 II</t>
  </si>
  <si>
    <t>3.15×1225×C</t>
  </si>
  <si>
    <t>1251121479131</t>
  </si>
  <si>
    <t>Thép cuộn cán nóng 3.15x1225 SAE1006</t>
  </si>
  <si>
    <t>1251121479124</t>
  </si>
  <si>
    <t>Thép cuộn cán nóng 4.80x1520 SS400 II</t>
  </si>
  <si>
    <t>1251121479056</t>
  </si>
  <si>
    <t>Thép cuộn cán nóng 4.80x1520 SS400</t>
  </si>
  <si>
    <t>1251121479049</t>
  </si>
  <si>
    <t>Thép cuộn cán nóng 4.25x1520 SS400 II</t>
  </si>
  <si>
    <t>1251121479032</t>
  </si>
  <si>
    <t>Thép cuộn cán nóng 4.25x1520 SS400</t>
  </si>
  <si>
    <t>1251121479025</t>
  </si>
  <si>
    <t>Thép cuộn cán nóng 3.75x1520 SS400 II</t>
  </si>
  <si>
    <t>1251121479018</t>
  </si>
  <si>
    <t>Thép cuộn cán nóng 3.75x1520 SS400</t>
  </si>
  <si>
    <t>1251121479001</t>
  </si>
  <si>
    <t>Thép cuộn cán nóng 9.70x1219 SS400 II</t>
  </si>
  <si>
    <t>9.70×1219×C</t>
  </si>
  <si>
    <t>1251121478998</t>
  </si>
  <si>
    <t>Thép cuộn cán nóng 9.70x1219 SS400</t>
  </si>
  <si>
    <t>1251121478981</t>
  </si>
  <si>
    <t>Thép cuộn cán nóng 9.60x1219 SS400 II</t>
  </si>
  <si>
    <t>1251121478974</t>
  </si>
  <si>
    <t>Thép cuộn cán nóng 9.60x1219 SS400</t>
  </si>
  <si>
    <t>1251121478967</t>
  </si>
  <si>
    <t>Thép cuộn cán nóng 7.70x1219 SS400 II</t>
  </si>
  <si>
    <t>1251121478950</t>
  </si>
  <si>
    <t>Thép cuộn cán nóng 7.70x1219 SS400</t>
  </si>
  <si>
    <t>1251121478943</t>
  </si>
  <si>
    <t>Thép cuộn cán nóng 4.70x1219 SS400 II</t>
  </si>
  <si>
    <t>1251121478936</t>
  </si>
  <si>
    <t>Thép cuộn cán nóng 4.70x1219 SS400</t>
  </si>
  <si>
    <t>1251121478929</t>
  </si>
  <si>
    <t>Thép cuộn cán nóng 4.25x1219 SS400 II</t>
  </si>
  <si>
    <t>1251121478912</t>
  </si>
  <si>
    <t>Thép cuộn cán nóng 4.25x1219 SS400</t>
  </si>
  <si>
    <t>1251121478905</t>
  </si>
  <si>
    <t>Thép cuộn cán nóng 2.45x1219 SPHC II</t>
  </si>
  <si>
    <t>1251121478899</t>
  </si>
  <si>
    <t>Thép cuộn cán nóng 2.45x1219 SPHC</t>
  </si>
  <si>
    <t>1251121478882</t>
  </si>
  <si>
    <t>Thép cuộn cán nóng 2.25x1219 SPHC II</t>
  </si>
  <si>
    <t>1251121478875</t>
  </si>
  <si>
    <t>Thép cuộn cán nóng 2.25x1219 SPHC</t>
  </si>
  <si>
    <t>1251121478868</t>
  </si>
  <si>
    <t>Thép cuộn cán nóng 4.10x1219 SS400 II</t>
  </si>
  <si>
    <t>1251121478851</t>
  </si>
  <si>
    <t>Thép cuộn cán nóng 4.10x1219 SS400</t>
  </si>
  <si>
    <t>1251121478844</t>
  </si>
  <si>
    <t>Thép cuộn cán nóng 2.30x1237 SAE1006 II</t>
  </si>
  <si>
    <t>1251121478837</t>
  </si>
  <si>
    <t>Thép cuộn cán nóng 2.30x1237 SAE1006</t>
  </si>
  <si>
    <t>1251121478820</t>
  </si>
  <si>
    <t>Thép cuộn cán nóng 2.00x1239 SAE1006 II</t>
  </si>
  <si>
    <t>2.00×1239×C</t>
  </si>
  <si>
    <t>1251121478813</t>
  </si>
  <si>
    <t>Thép cuộn cán nóng 2.00x1239 SAE1006</t>
  </si>
  <si>
    <t>1251121478806</t>
  </si>
  <si>
    <t>Thép cuộn cán nóng 3.80x1290 SAE1006 II</t>
  </si>
  <si>
    <t>3.80×1290×C</t>
  </si>
  <si>
    <t>1251121478790</t>
  </si>
  <si>
    <t>Thép cuộn cán nóng 3.80x1290 SAE1006</t>
  </si>
  <si>
    <t>1251121478783</t>
  </si>
  <si>
    <t>Thép cuộn cán nóng 3.40x1252 SAE1006 II</t>
  </si>
  <si>
    <t>1251121478776</t>
  </si>
  <si>
    <t>Thép cuộn cán nóng 3.40x1252 SAE1006</t>
  </si>
  <si>
    <t>1251121478769</t>
  </si>
  <si>
    <t>Thép cuộn cán nóng 3.05x1250 SAE1006 II</t>
  </si>
  <si>
    <t>3.05×1250×C</t>
  </si>
  <si>
    <t>1251121478752</t>
  </si>
  <si>
    <t>Thép cuộn cán nóng 3.05x1250 SAE1006</t>
  </si>
  <si>
    <t>1251121478745</t>
  </si>
  <si>
    <t>Thép cuộn cán nóng 2.85x1270 SAE1006 II</t>
  </si>
  <si>
    <t>2.85×1270×C</t>
  </si>
  <si>
    <t>1251121478738</t>
  </si>
  <si>
    <t>Thép cuộn cán nóng 2.85x1270 SAE1006</t>
  </si>
  <si>
    <t>1251121478721</t>
  </si>
  <si>
    <t>Thép cuộn cán nóng 2.60x1200 SAE1006 II</t>
  </si>
  <si>
    <t>2.60×1200×C</t>
  </si>
  <si>
    <t>1251121478714</t>
  </si>
  <si>
    <t>Thép cuộn cán nóng 2.60x1200 SAE1006</t>
  </si>
  <si>
    <t>1251121478707</t>
  </si>
  <si>
    <t>Thép cuộn cán nóng 3.95x1158 SAE1006 II</t>
  </si>
  <si>
    <t>3.95×1158×C</t>
  </si>
  <si>
    <t>1251121478653</t>
  </si>
  <si>
    <t>Thép cuộn cán nóng 3.95x1158 SAE1006</t>
  </si>
  <si>
    <t>1251121478646</t>
  </si>
  <si>
    <t>Thép cuộn cán nóng 8.90x1500 SS400 II</t>
  </si>
  <si>
    <t>8.90×1500×C</t>
  </si>
  <si>
    <t>1251121478585</t>
  </si>
  <si>
    <t>Thép cuộn cán nóng 8.90x1500 SS400</t>
  </si>
  <si>
    <t>1251121478578</t>
  </si>
  <si>
    <t>Thép cuộn cán nóng 2.35x1234 SAE1006 II</t>
  </si>
  <si>
    <t>2.35×1234×C</t>
  </si>
  <si>
    <t>1251121478561</t>
  </si>
  <si>
    <t>Thép cuộn cán nóng 2.35x1234 SAE1006</t>
  </si>
  <si>
    <t>1251121478554</t>
  </si>
  <si>
    <t>Thép cuộn cán nóng 6.00x1500 BJ PS II</t>
  </si>
  <si>
    <t>1251121478387</t>
  </si>
  <si>
    <t>Thép cuộn cán nóng 6.00x1500 BJ PS</t>
  </si>
  <si>
    <t>1251121478370</t>
  </si>
  <si>
    <t>Thép cuộn cán nóng 4.50x1500 BJ PS II</t>
  </si>
  <si>
    <t>1251121478363</t>
  </si>
  <si>
    <t>Thép cuộn cán nóng 4.50x1500 BJ PS</t>
  </si>
  <si>
    <t>1251121478356</t>
  </si>
  <si>
    <t>Thép cuộn cán nóng 4.20x1500 BJ PS II</t>
  </si>
  <si>
    <t>1251121478349</t>
  </si>
  <si>
    <t>Thép cuộn cán nóng 4.20x1500 BJ PS</t>
  </si>
  <si>
    <t>1251121478332</t>
  </si>
  <si>
    <t>Thép cuộn cán nóng 3.45x1500 BJ PS II</t>
  </si>
  <si>
    <t>1251121478325</t>
  </si>
  <si>
    <t>Thép cuộn cán nóng 3.45x1500 BJ PS</t>
  </si>
  <si>
    <t>1251121478318</t>
  </si>
  <si>
    <t>Thép cuộn cán nóng 2.95x1500 BJ PS II</t>
  </si>
  <si>
    <t>1251121478301</t>
  </si>
  <si>
    <t>Thép cuộn cán nóng 2.95x1500 BJ PS</t>
  </si>
  <si>
    <t>1251121478295</t>
  </si>
  <si>
    <t>Thép cuộn cán nóng 2.40x1250 BJ PS II</t>
  </si>
  <si>
    <t>1251121478288</t>
  </si>
  <si>
    <t>Thép cuộn cán nóng 2.40x1250 BJ PS</t>
  </si>
  <si>
    <t>1251121478271</t>
  </si>
  <si>
    <t>Thép cuộn cán nóng 4.50x1290 BJ PD II</t>
  </si>
  <si>
    <t>4.50×1290×C</t>
  </si>
  <si>
    <t>1251121478240</t>
  </si>
  <si>
    <t>Thép cuộn cán nóng 4.50x1290 BJ PD</t>
  </si>
  <si>
    <t>1251121478233</t>
  </si>
  <si>
    <t>Thép cuộn cán nóng 4.20x1290 BJ PD II</t>
  </si>
  <si>
    <t>4.20×1290×C</t>
  </si>
  <si>
    <t>1251121478226</t>
  </si>
  <si>
    <t>Thép cuộn cán nóng 4.20x1290 BJ PD</t>
  </si>
  <si>
    <t>1251121478219</t>
  </si>
  <si>
    <t>Thép cuộn cán nóng 4.00x1290 BJ PD II</t>
  </si>
  <si>
    <t>4.00×1290×C</t>
  </si>
  <si>
    <t>1251121478202</t>
  </si>
  <si>
    <t>Thép cuộn cán nóng 4.00x1290 BJ PD</t>
  </si>
  <si>
    <t>1251121478196</t>
  </si>
  <si>
    <t>Thép cuộn cán nóng 3.65x1250 BJ PD II</t>
  </si>
  <si>
    <t>1251121478189</t>
  </si>
  <si>
    <t>Thép cuộn cán nóng 3.65x1250 BJ PD</t>
  </si>
  <si>
    <t>1251121478172</t>
  </si>
  <si>
    <t>Thép cuộn cán nóng 3.00x1250 BJ PD II</t>
  </si>
  <si>
    <t>1251121478165</t>
  </si>
  <si>
    <t>Thép cuộn cán nóng 3.00x1250 BJ PD</t>
  </si>
  <si>
    <t>1251121478158</t>
  </si>
  <si>
    <t>Thép cuộn cán nóng 2.30x1250 BJ PD II</t>
  </si>
  <si>
    <t>1251121478141</t>
  </si>
  <si>
    <t>Thép cuộn cán nóng 2.30x1250 BJ PD</t>
  </si>
  <si>
    <t>1251121478134</t>
  </si>
  <si>
    <t>Thép cuộn cán nóng 4.50x1290 BJ PC II</t>
  </si>
  <si>
    <t>1251121478127</t>
  </si>
  <si>
    <t>Thép cuộn cán nóng 4.50x1290 BJ PC</t>
  </si>
  <si>
    <t>1251121478110</t>
  </si>
  <si>
    <t>Thép cuộn cán nóng 4.20x1290 BJ PC II</t>
  </si>
  <si>
    <t>1251121478103</t>
  </si>
  <si>
    <t>Thép cuộn cán nóng 4.20x1290 BJ PC</t>
  </si>
  <si>
    <t>1251121478097</t>
  </si>
  <si>
    <t>Thép cuộn cán nóng 4.00x1290 BJ PC II</t>
  </si>
  <si>
    <t>1251121478080</t>
  </si>
  <si>
    <t>Thép cuộn cán nóng 4.00x1290 BJ PC</t>
  </si>
  <si>
    <t>1251121478073</t>
  </si>
  <si>
    <t>Thép cuộn cán nóng 3.65x1225 BJ PC II</t>
  </si>
  <si>
    <t>3.65×1225×C</t>
  </si>
  <si>
    <t>1251121478066</t>
  </si>
  <si>
    <t>Thép cuộn cán nóng 3.65x1225 BJ PC</t>
  </si>
  <si>
    <t>1251121478059</t>
  </si>
  <si>
    <t>Thép cuộn cán nóng 3.00x1250 BJ PC II</t>
  </si>
  <si>
    <t>1251121478042</t>
  </si>
  <si>
    <t>Thép cuộn cán nóng 3.00x1250 BJ PC</t>
  </si>
  <si>
    <t>1251121478035</t>
  </si>
  <si>
    <t>Thép cuộn cán nóng 2.30x1250 BJ PC II</t>
  </si>
  <si>
    <t>1251121478028</t>
  </si>
  <si>
    <t>Thép cuộn cán nóng 2.30x1250 BJ PC</t>
  </si>
  <si>
    <t>1251121478011</t>
  </si>
  <si>
    <t>Thép cuộn cán nóng 6.00x1500 BJ PC II</t>
  </si>
  <si>
    <t>1251121478004</t>
  </si>
  <si>
    <t>Thép cuộn cán nóng 6.00x1500 BJ PC</t>
  </si>
  <si>
    <t>1251121477991</t>
  </si>
  <si>
    <t>Thép cuộn cán nóng 4.50x1500 BJ PC II</t>
  </si>
  <si>
    <t>1251121477984</t>
  </si>
  <si>
    <t>Thép cuộn cán nóng 4.50x1500 BJ PC</t>
  </si>
  <si>
    <t>1251121477977</t>
  </si>
  <si>
    <t>Thép cuộn cán nóng 4.20x1500 BJ PC II</t>
  </si>
  <si>
    <t>1251121477960</t>
  </si>
  <si>
    <t>Thép cuộn cán nóng 4.20x1500 BJ PC</t>
  </si>
  <si>
    <t>1251121477953</t>
  </si>
  <si>
    <t>Thép cuộn cán nóng 3.45x1500 BJ PC II</t>
  </si>
  <si>
    <t>1251121477946</t>
  </si>
  <si>
    <t>Thép cuộn cán nóng 3.45x1500 BJ PC</t>
  </si>
  <si>
    <t>1251121477939</t>
  </si>
  <si>
    <t>Thép cuộn cán nóng 2.95x1500 BJ PC II</t>
  </si>
  <si>
    <t>1251121477922</t>
  </si>
  <si>
    <t>Thép cuộn cán nóng 2.95x1500 BJ PC</t>
  </si>
  <si>
    <t>1251121477915</t>
  </si>
  <si>
    <t>Thép cuộn cán nóng 2.40x1250 BJ PC II</t>
  </si>
  <si>
    <t>1251121477908</t>
  </si>
  <si>
    <t>Thép cuộn cán nóng 2.40x1250 BJ PC</t>
  </si>
  <si>
    <t>1251121477892</t>
  </si>
  <si>
    <t>Thép cuộn cán nóng 11.75x1500 SS400 II</t>
  </si>
  <si>
    <t>11.75×1500×C</t>
  </si>
  <si>
    <t>1251121477854</t>
  </si>
  <si>
    <t>Thép cuộn cán nóng 11.75x1500 SS400</t>
  </si>
  <si>
    <t>1251121477847</t>
  </si>
  <si>
    <t>Thép cuộn cán nóng 7.90x1250 SS400 II</t>
  </si>
  <si>
    <t>1251121477830</t>
  </si>
  <si>
    <t>Thép cuộn cán nóng 7.90x1250 SS400</t>
  </si>
  <si>
    <t>1251121477823</t>
  </si>
  <si>
    <t>Thép cuộn cán nóng 4.20x1420 SS400 II</t>
  </si>
  <si>
    <t>4.20×1420×C</t>
  </si>
  <si>
    <t>1251121477816</t>
  </si>
  <si>
    <t>Thép cuộn cán nóng 4.20x1420 SS400</t>
  </si>
  <si>
    <t>1251121477809</t>
  </si>
  <si>
    <t>Thép cuộn cán nóng 3.00x1420 SS400 II</t>
  </si>
  <si>
    <t>3.00×1420×C</t>
  </si>
  <si>
    <t>1251121477793</t>
  </si>
  <si>
    <t>Thép cuộn cán nóng 3.00x1420 SS400</t>
  </si>
  <si>
    <t>1251121477786</t>
  </si>
  <si>
    <t>Thép cuộn cán nóng 2.75x1300 SS400 II</t>
  </si>
  <si>
    <t>2.75×1300×C</t>
  </si>
  <si>
    <t>1251121477779</t>
  </si>
  <si>
    <t>Thép cuộn cán nóng 2.75x1300 SS400</t>
  </si>
  <si>
    <t>1251121477762</t>
  </si>
  <si>
    <t>Thép cuộn cán nóng 2.45x1300 SS400 II</t>
  </si>
  <si>
    <t>2.45×1300×C</t>
  </si>
  <si>
    <t>1251121477755</t>
  </si>
  <si>
    <t>Thép cuộn cán nóng 2.45x1300 SS400</t>
  </si>
  <si>
    <t>1251121477748</t>
  </si>
  <si>
    <t>Thép cuộn cán nóng 3.65x1250 SS400 II</t>
  </si>
  <si>
    <t>1251121477731</t>
  </si>
  <si>
    <t>Thép cuộn cán nóng 3.65x1250 SS400</t>
  </si>
  <si>
    <t>1251121477724</t>
  </si>
  <si>
    <t>Thép cuộn cán nóng 2.15x1252 SAE1006 II</t>
  </si>
  <si>
    <t>1251121477717</t>
  </si>
  <si>
    <t>Thép cuộn cán nóng 2.15x1252 SAE1006</t>
  </si>
  <si>
    <t>1251121477700</t>
  </si>
  <si>
    <t>Thép cuộn cán nóng 2.45x1252 SAE1006 II</t>
  </si>
  <si>
    <t>1251121477694</t>
  </si>
  <si>
    <t>Thép cuộn cán nóng 3.65x1262 SAE1006 II</t>
  </si>
  <si>
    <t>1251121477687</t>
  </si>
  <si>
    <t>Thép cuộn cán nóng 3.65x1262 SAE1006</t>
  </si>
  <si>
    <t>1251121477670</t>
  </si>
  <si>
    <t>Thép cuộn cán nóng 3.25x1262 SAE1006 II</t>
  </si>
  <si>
    <t>3.25×1262×C</t>
  </si>
  <si>
    <t>1251121477663</t>
  </si>
  <si>
    <t>Thép cuộn cán nóng 3.25x1262 SAE1006</t>
  </si>
  <si>
    <t>1251121477656</t>
  </si>
  <si>
    <t>Thép cuộn cán nóng 2.60x1262 SAE1006 II</t>
  </si>
  <si>
    <t>1251121477649</t>
  </si>
  <si>
    <t>Thép cuộn cán nóng 2.60x1262 SAE1006</t>
  </si>
  <si>
    <t>1251121477632</t>
  </si>
  <si>
    <t>Thép cuộn cán nóng 2.10x1262 SAE1006 II</t>
  </si>
  <si>
    <t>1251121477625</t>
  </si>
  <si>
    <t>Thép cuộn cán nóng 2.10x1262 SAE1006</t>
  </si>
  <si>
    <t>1251121477618</t>
  </si>
  <si>
    <t>Thép cuộn cán nóng 3.00x1200 SAE1006 II</t>
  </si>
  <si>
    <t>1251121477526</t>
  </si>
  <si>
    <t>Thép cuộn cán nóng 3.00x1200 SAE1006</t>
  </si>
  <si>
    <t>1251121477519</t>
  </si>
  <si>
    <t>Thép cuộn cán nóng 3.40x1400 SS400 II</t>
  </si>
  <si>
    <t>3.40×1400×C</t>
  </si>
  <si>
    <t>1251121477366</t>
  </si>
  <si>
    <t>Thép cuộn cán nóng 3.40x1400 SS400</t>
  </si>
  <si>
    <t>1251121477359</t>
  </si>
  <si>
    <t>Thép cuộn cán nóng 3.55x1225 SAE1006 II</t>
  </si>
  <si>
    <t>3.55×1225×C</t>
  </si>
  <si>
    <t>1251121477342</t>
  </si>
  <si>
    <t>Thép cuộn cán nóng 3.55x1225 SAE1006</t>
  </si>
  <si>
    <t>1251121477335</t>
  </si>
  <si>
    <t>Thép cuộn cán nóng 2.60x1225 SAE1006 II</t>
  </si>
  <si>
    <t>2.60×1225×C</t>
  </si>
  <si>
    <t>1251121477328</t>
  </si>
  <si>
    <t>Thép cuộn cán nóng 2.60x1225 SAE1006</t>
  </si>
  <si>
    <t>1251121477311</t>
  </si>
  <si>
    <t>Thép cuộn cán nóng 2.35x1225 SAE1006 II</t>
  </si>
  <si>
    <t>1251121477304</t>
  </si>
  <si>
    <t>Thép cuộn cán nóng 2.35x1225 SAE1006</t>
  </si>
  <si>
    <t>1251121477298</t>
  </si>
  <si>
    <t>Thép cuộn cán nóng 4.00x1400 SS400</t>
  </si>
  <si>
    <t>4.00×1400×C</t>
  </si>
  <si>
    <t>1251121477182</t>
  </si>
  <si>
    <t>Thép cuộn cán nóng 3.65x1225 SAE1006 II</t>
  </si>
  <si>
    <t>1251121477175</t>
  </si>
  <si>
    <t>Thép cuộn cán nóng 3.65x1225 SAE1006</t>
  </si>
  <si>
    <t>1251121477168</t>
  </si>
  <si>
    <t>Thép cuộn cán nóng 3.30x1225 SAE1006 II</t>
  </si>
  <si>
    <t>3.30×1225×C</t>
  </si>
  <si>
    <t>1251121477151</t>
  </si>
  <si>
    <t>Thép cuộn cán nóng 3.30x1225 SAE1006</t>
  </si>
  <si>
    <t>1251121477144</t>
  </si>
  <si>
    <t>Thép cuộn cán nóng 3.10x1225 SAE1006 II</t>
  </si>
  <si>
    <t>3.10×1225×C</t>
  </si>
  <si>
    <t>1251121477137</t>
  </si>
  <si>
    <t>Thép cuộn cán nóng 3.10x1225 SAE1006</t>
  </si>
  <si>
    <t>1251121477120</t>
  </si>
  <si>
    <t>Thép cuộn cán nóng 2.85x1225 SAE1006 II</t>
  </si>
  <si>
    <t>2.85×1225×C</t>
  </si>
  <si>
    <t>1251121477113</t>
  </si>
  <si>
    <t>Thép cuộn cán nóng 2.85x1225 SAE1006</t>
  </si>
  <si>
    <t>1251121477106</t>
  </si>
  <si>
    <t>Thép cuộn cán nóng 2.55x1225 SAE1006 II</t>
  </si>
  <si>
    <t>1251121477090</t>
  </si>
  <si>
    <t>Thép cuộn cán nóng 2.55x1225 SAE1006</t>
  </si>
  <si>
    <t>1251121477083</t>
  </si>
  <si>
    <t>Thép cuộn cán nóng 2.30x1225 SAE1006 II</t>
  </si>
  <si>
    <t>1251121477076</t>
  </si>
  <si>
    <t>Thép cuộn cán nóng 2.30x1225 SAE1006</t>
  </si>
  <si>
    <t>1251121477069</t>
  </si>
  <si>
    <t>Thép cuộn cán nóng 2.10x1225 SAE1006 II</t>
  </si>
  <si>
    <t>1251121477052</t>
  </si>
  <si>
    <t>Thép cuộn cán nóng 2.10x1225 SAE1006</t>
  </si>
  <si>
    <t>1251121477045</t>
  </si>
  <si>
    <t>Thép cuộn cán nóng 4.00x1400 SS400 II</t>
  </si>
  <si>
    <t>1251121477038</t>
  </si>
  <si>
    <t>Thép cuộn cán nóng 4.50x1290 SAE1006 II</t>
  </si>
  <si>
    <t>1251121476796</t>
  </si>
  <si>
    <t>Thép cuộn cán nóng 4.50x1290 SAE1006</t>
  </si>
  <si>
    <t>1251121476789</t>
  </si>
  <si>
    <t>Thép cuộn cán nóng 4.20x1290 SAE1006 II</t>
  </si>
  <si>
    <t>1251121476772</t>
  </si>
  <si>
    <t>Thép cuộn cán nóng 4.20x1290 SAE1006</t>
  </si>
  <si>
    <t>1251121476765</t>
  </si>
  <si>
    <t>Thép cuộn cán nóng 4.00x1290 SAE1006 II</t>
  </si>
  <si>
    <t>1251121476758</t>
  </si>
  <si>
    <t>Thép cuộn cán nóng 4.00x1290 SAE1006</t>
  </si>
  <si>
    <t>1251121476741</t>
  </si>
  <si>
    <t>Thép cuộn cán nóng 2.90x1400 SS400 II</t>
  </si>
  <si>
    <t>2.90×1400×C</t>
  </si>
  <si>
    <t>1251121476734</t>
  </si>
  <si>
    <t>Thép cuộn cán nóng 2.90x1400 SS400</t>
  </si>
  <si>
    <t>1251121476727</t>
  </si>
  <si>
    <t>Thép cuộn cán nóng 2.95x1217 SAE1006 II</t>
  </si>
  <si>
    <t>1251121476482</t>
  </si>
  <si>
    <t>Thép cuộn cán nóng 2.95x1217 SAE1006</t>
  </si>
  <si>
    <t>1251121476475</t>
  </si>
  <si>
    <t>Thép cuộn cán nóng 3.20x1264 SS400 II</t>
  </si>
  <si>
    <t>3.20×1264×C</t>
  </si>
  <si>
    <t>1251121476444</t>
  </si>
  <si>
    <t>Thép cuộn cán nóng 3.20x1264 SS400</t>
  </si>
  <si>
    <t>1251121476437</t>
  </si>
  <si>
    <t>Thép cuộn cán nóng 3.20x1234 SS400 II</t>
  </si>
  <si>
    <t>1251121476420</t>
  </si>
  <si>
    <t>Thép cuộn cán nóng 3.20x1234 SS400</t>
  </si>
  <si>
    <t>1251121476413</t>
  </si>
  <si>
    <t>Thép cuộn cán nóng 3.20x1200 SS400 II</t>
  </si>
  <si>
    <t>1251121476406</t>
  </si>
  <si>
    <t>Thép cuộn cán nóng 3.20x1200 SS400</t>
  </si>
  <si>
    <t>1251121476390</t>
  </si>
  <si>
    <t>Thép cuộn cán nóng 2.00x1219 SPHC II</t>
  </si>
  <si>
    <t>1251121476352</t>
  </si>
  <si>
    <t>Thép cuộn cán nóng 2.00x1219 SPHC</t>
  </si>
  <si>
    <t>1251121476345</t>
  </si>
  <si>
    <t>Thép cuộn cán nóng 5.85x1520 SS400 II</t>
  </si>
  <si>
    <t>1251121476338</t>
  </si>
  <si>
    <t>Thép cuộn cán nóng 5.85x1520 SS400</t>
  </si>
  <si>
    <t>1251121476321</t>
  </si>
  <si>
    <t>Thép cuộn cán nóng 4.10x1420 SS400 II</t>
  </si>
  <si>
    <t>4.10×1420×C</t>
  </si>
  <si>
    <t>1251121476208</t>
  </si>
  <si>
    <t>Thép cuộn cán nóng 4.10x1420 SS400</t>
  </si>
  <si>
    <t>1251121476192</t>
  </si>
  <si>
    <t>Thép cuộn cán nóng 3.65x1420 SS400 II</t>
  </si>
  <si>
    <t>3.65×1420×C</t>
  </si>
  <si>
    <t>1251121476185</t>
  </si>
  <si>
    <t>Thép cuộn cán nóng 3.65x1420 SS400</t>
  </si>
  <si>
    <t>1251121476178</t>
  </si>
  <si>
    <t>Thép cuộn cán nóng 3.25x1500 SS400 II</t>
  </si>
  <si>
    <t>1251121476161</t>
  </si>
  <si>
    <t>Thép cuộn cán nóng 3.25x1500 SS400</t>
  </si>
  <si>
    <t>1251121476154</t>
  </si>
  <si>
    <t>Thép cuộn cán nóng 2.60x1232 SS400 II</t>
  </si>
  <si>
    <t>2.60×1232×C</t>
  </si>
  <si>
    <t>1251121476147</t>
  </si>
  <si>
    <t>Thép cuộn cán nóng 2.60x1232 SS400</t>
  </si>
  <si>
    <t>1251121476130</t>
  </si>
  <si>
    <t>Thép cuộn cán nóng 9.75x1500 SS400 II</t>
  </si>
  <si>
    <t>9.75×1500×C</t>
  </si>
  <si>
    <t>1251121476062</t>
  </si>
  <si>
    <t>Thép cuộn cán nóng 9.75x1500 SS400</t>
  </si>
  <si>
    <t>1251121476055</t>
  </si>
  <si>
    <t>Thép cuộn cán nóng 8.75x1500 SS400 II</t>
  </si>
  <si>
    <t>8.75×1500×C</t>
  </si>
  <si>
    <t>1251121476048</t>
  </si>
  <si>
    <t>Thép cuộn cán nóng 8.75x1500 SS400</t>
  </si>
  <si>
    <t>1251121476031</t>
  </si>
  <si>
    <t>Thép cuộn cán nóng 7.75x1500 SS400 II</t>
  </si>
  <si>
    <t>7.75×1500×C</t>
  </si>
  <si>
    <t>1251121476024</t>
  </si>
  <si>
    <t>Thép cuộn cán nóng 7.75x1500 SS400</t>
  </si>
  <si>
    <t>1251121476017</t>
  </si>
  <si>
    <t>Thép cuộn cán nóng 6.75x1500 SS400 II</t>
  </si>
  <si>
    <t>6.75×1500×C</t>
  </si>
  <si>
    <t>1251121476000</t>
  </si>
  <si>
    <t>Thép cuộn cán nóng 6.75x1500 SS400</t>
  </si>
  <si>
    <t>1251121475997</t>
  </si>
  <si>
    <t>Thép cuộn cán nóng 3.95x1420 SS400 II</t>
  </si>
  <si>
    <t>3.95×1420×C</t>
  </si>
  <si>
    <t>1251121475980</t>
  </si>
  <si>
    <t>Thép cuộn cán nóng 3.95x1420 SS400</t>
  </si>
  <si>
    <t>1251121475973</t>
  </si>
  <si>
    <t>Thép cuộn cán nóng 2.45x1420 SS400 II</t>
  </si>
  <si>
    <t>2.45×1420×C</t>
  </si>
  <si>
    <t>1251121475966</t>
  </si>
  <si>
    <t>Thép cuộn cán nóng 2.45x1420 SS400</t>
  </si>
  <si>
    <t>1251121475959</t>
  </si>
  <si>
    <t>Thép cuộn cán nóng 3.60x1236 SAE1006 II</t>
  </si>
  <si>
    <t>3.60×1236×C</t>
  </si>
  <si>
    <t>1251121475942</t>
  </si>
  <si>
    <t>Thép cuộn cán nóng 3.60x1236 SAE1006</t>
  </si>
  <si>
    <t>1251121475935</t>
  </si>
  <si>
    <t>Thép cuộn cán nóng 3.60x1219 SAE1006 II</t>
  </si>
  <si>
    <t>1251121475928</t>
  </si>
  <si>
    <t>Thép cuộn cán nóng 3.60x1219 SAE1006</t>
  </si>
  <si>
    <t>1251121475911</t>
  </si>
  <si>
    <t>Thép cuộn cán nóng 3.95x1252 SAE1006 II</t>
  </si>
  <si>
    <t>1251121475904</t>
  </si>
  <si>
    <t>Thép cuộn cán nóng 3.95x1252 SAE1006</t>
  </si>
  <si>
    <t>1251121475898</t>
  </si>
  <si>
    <t>Thép cuộn cán nóng 3.00x1252 SAE1006 II</t>
  </si>
  <si>
    <t>1251121475881</t>
  </si>
  <si>
    <t>Thép cuộn cán nóng 3.00x1252 SAE1006</t>
  </si>
  <si>
    <t>1251121475874</t>
  </si>
  <si>
    <t>Thép cuộn cán nóng 3.80x1230 SAE1006 II</t>
  </si>
  <si>
    <t>3.80×1230×C</t>
  </si>
  <si>
    <t>1251121475867</t>
  </si>
  <si>
    <t>Thép cuộn cán nóng 3.80x1230 SAE1006</t>
  </si>
  <si>
    <t>1251121475850</t>
  </si>
  <si>
    <t>Thép cuộn cán nóng 3.70x1290 SAE1006 II</t>
  </si>
  <si>
    <t>3.70×1290×C</t>
  </si>
  <si>
    <t>1251121475775</t>
  </si>
  <si>
    <t>Thép cuộn cán nóng 3.70x1290 SAE1006</t>
  </si>
  <si>
    <t>1251121475768</t>
  </si>
  <si>
    <t>Thép cuộn cán nóng 3.40x1290 SAE1006 II</t>
  </si>
  <si>
    <t>3.40×1290×C</t>
  </si>
  <si>
    <t>1251121475751</t>
  </si>
  <si>
    <t>Thép cuộn cán nóng 3.40x1290 SAE1006</t>
  </si>
  <si>
    <t>1251121475744</t>
  </si>
  <si>
    <t>Thép cuộn cán nóng 3.20x1212 SAE1006 II</t>
  </si>
  <si>
    <t>1251121475737</t>
  </si>
  <si>
    <t>Thép cuộn cán nóng 3.20x1212 SAE1006</t>
  </si>
  <si>
    <t>1251121475720</t>
  </si>
  <si>
    <t>Thép cuộn cán nóng 2.75x1217 SAE1006 II</t>
  </si>
  <si>
    <t>1251121475690</t>
  </si>
  <si>
    <t>Thép cuộn cán nóng 2.75x1217 SAE1006</t>
  </si>
  <si>
    <t>1251121475683</t>
  </si>
  <si>
    <t>Thép cuộn cán nóng 2.75x1234 SAE1006 II</t>
  </si>
  <si>
    <t>2.75×1234×C</t>
  </si>
  <si>
    <t>1251121475553</t>
  </si>
  <si>
    <t>Thép cuộn cán nóng 2.75x1234 SAE1006</t>
  </si>
  <si>
    <t>1251121475546</t>
  </si>
  <si>
    <t>Thép cuộn cán nóng 2.95x1234 SAE1006 II</t>
  </si>
  <si>
    <t>1251121475539</t>
  </si>
  <si>
    <t>Thép cuộn cán nóng 2.95x1234 SAE1006</t>
  </si>
  <si>
    <t>1251121475522</t>
  </si>
  <si>
    <t>Thép cuộn cán nóng 2.45x1252 SAE1006</t>
  </si>
  <si>
    <t>1251121475492</t>
  </si>
  <si>
    <t>Thép cuộn cán nóng 3.20x1217 SAE1006 II</t>
  </si>
  <si>
    <t>1251121475423</t>
  </si>
  <si>
    <t>Thép cuộn cán nóng 3.20x1217 SAE1006</t>
  </si>
  <si>
    <t>1251121475416</t>
  </si>
  <si>
    <t>Thép cuộn cán nóng 2.60x1236 SAE1006 II</t>
  </si>
  <si>
    <t>2.60×1236×C</t>
  </si>
  <si>
    <t>1251121475409</t>
  </si>
  <si>
    <t>Thép cuộn cán nóng 2.60x1236 SAE1006</t>
  </si>
  <si>
    <t>1251121475393</t>
  </si>
  <si>
    <t>Thép cuộn cán nóng 2.60x1217 SAE1006 II</t>
  </si>
  <si>
    <t>1251121475386</t>
  </si>
  <si>
    <t>Thép cuộn cán nóng 2.60x1217 SAE1006</t>
  </si>
  <si>
    <t>1251121475379</t>
  </si>
  <si>
    <t>Thép cuộn cán nóng 2.00x1236 SAE1006 II</t>
  </si>
  <si>
    <t>2.00×1236×C</t>
  </si>
  <si>
    <t>1251121475362</t>
  </si>
  <si>
    <t>Thép cuộn cán nóng 2.00x1236 SAE1006</t>
  </si>
  <si>
    <t>1251121475355</t>
  </si>
  <si>
    <t>Thép cuộn cán nóng 2.75x1400 SAE1006 II</t>
  </si>
  <si>
    <t>2.75×1400×C</t>
  </si>
  <si>
    <t>1251121475348</t>
  </si>
  <si>
    <t>Thép cuộn cán nóng 2.75x1400 SAE1006</t>
  </si>
  <si>
    <t>1251121475331</t>
  </si>
  <si>
    <t>Thép cuộn cán nóng 11.80x1250 SS400 II</t>
  </si>
  <si>
    <t>11.80×1250×C</t>
  </si>
  <si>
    <t>1251121475324</t>
  </si>
  <si>
    <t>Thép cuộn cán nóng 11.80x1250 SS400</t>
  </si>
  <si>
    <t>1251121475317</t>
  </si>
  <si>
    <t>Thép cuộn cán nóng 3.35x1250 SS400 II</t>
  </si>
  <si>
    <t>3.35×1250×C</t>
  </si>
  <si>
    <t>1251121475300</t>
  </si>
  <si>
    <t>Thép cuộn cán nóng 3.35x1250 SS400</t>
  </si>
  <si>
    <t>1251121475294</t>
  </si>
  <si>
    <t>Thép cuộn cán nóng 2.85x1250 SS400 II</t>
  </si>
  <si>
    <t>1251121475287</t>
  </si>
  <si>
    <t>Thép cuộn cán nóng 2.85x1250 SS400</t>
  </si>
  <si>
    <t>1251121475270</t>
  </si>
  <si>
    <t>Thép cuộn cán nóng 3.00x1234 SS400 II</t>
  </si>
  <si>
    <t>1251121475263</t>
  </si>
  <si>
    <t>Thép cuộn cán nóng 3.00x1234 SS400</t>
  </si>
  <si>
    <t>1251121475256</t>
  </si>
  <si>
    <t>Thép cuộn cán nóng 3.30x1500 SS400 II</t>
  </si>
  <si>
    <t>1251121475249</t>
  </si>
  <si>
    <t>Thép cuộn cán nóng 3.30x1500 SS400</t>
  </si>
  <si>
    <t>1251121475232</t>
  </si>
  <si>
    <t>Thép cuộn cán nóng 2.25x1200 SAE1006 II</t>
  </si>
  <si>
    <t>1251121475171</t>
  </si>
  <si>
    <t>Thép cuộn cán nóng 2.25x1200 SAE1006</t>
  </si>
  <si>
    <t>1251121475164</t>
  </si>
  <si>
    <t>Thép cuộn cán nóng 2.45x1200 SAE1006 II</t>
  </si>
  <si>
    <t>1251121475157</t>
  </si>
  <si>
    <t>Thép cuộn cán nóng 2.45x1200 SAE1006</t>
  </si>
  <si>
    <t>1251121475140</t>
  </si>
  <si>
    <t>Thép cuộn cán nóng 2.95x1200 SAE1006 II</t>
  </si>
  <si>
    <t>1251121475133</t>
  </si>
  <si>
    <t>Thép cuộn cán nóng 2.95x1200 SAE1006</t>
  </si>
  <si>
    <t>1251121475126</t>
  </si>
  <si>
    <t>Thép cuộn cán nóng 5.60x1520 SS400 II</t>
  </si>
  <si>
    <t>1251121474938</t>
  </si>
  <si>
    <t>Thép cuộn cán nóng 5.60x1520 SS400</t>
  </si>
  <si>
    <t>1251121474921</t>
  </si>
  <si>
    <t>Thép cuộn cán nóng 3.45x1219 SS400 II</t>
  </si>
  <si>
    <t>1251121474914</t>
  </si>
  <si>
    <t>Thép cuộn cán nóng 3.45x1219 SS400</t>
  </si>
  <si>
    <t>1251121474907</t>
  </si>
  <si>
    <t>Thép cuộn cán nóng 3.45x1520 SS400 II</t>
  </si>
  <si>
    <t>3.45×1520×C</t>
  </si>
  <si>
    <t>1251121474891</t>
  </si>
  <si>
    <t>Thép cuộn cán nóng 3.45x1520 SS400</t>
  </si>
  <si>
    <t>1251121474884</t>
  </si>
  <si>
    <t>Thép cuộn cán nóng 11.80x1520 SS400 II</t>
  </si>
  <si>
    <t>1251121474846</t>
  </si>
  <si>
    <t>Thép cuộn cán nóng 11.80x1520 SS400</t>
  </si>
  <si>
    <t>1251121474839</t>
  </si>
  <si>
    <t>Thép cuộn cán nóng 11.60x1219 SS400 II</t>
  </si>
  <si>
    <t>1251121474822</t>
  </si>
  <si>
    <t>Thép cuộn cán nóng 11.60x1219 SS400</t>
  </si>
  <si>
    <t>1251121474815</t>
  </si>
  <si>
    <t>Thép cuộn cán nóng 8.60x1219 SS400 II</t>
  </si>
  <si>
    <t>1251121474808</t>
  </si>
  <si>
    <t>Thép cuộn cán nóng 8.60x1219 SS400</t>
  </si>
  <si>
    <t>1251121474792</t>
  </si>
  <si>
    <t>Thép cuộn cán nóng 5.60x1219 SS400 II</t>
  </si>
  <si>
    <t>1251121474785</t>
  </si>
  <si>
    <t>Thép cuộn cán nóng 5.60x1219 SS400</t>
  </si>
  <si>
    <t>1251121474778</t>
  </si>
  <si>
    <t>Thép cuộn cán nóng 4.30x1219 SS400 II</t>
  </si>
  <si>
    <t>1251121474761</t>
  </si>
  <si>
    <t>Thép cuộn cán nóng 4.30x1219 SS400</t>
  </si>
  <si>
    <t>1251121474754</t>
  </si>
  <si>
    <t>Thép cuộn cán nóng 2.70x1219 SS400 II</t>
  </si>
  <si>
    <t>1251121474747</t>
  </si>
  <si>
    <t>Thép cuộn cán nóng 2.70x1219 SS400</t>
  </si>
  <si>
    <t>1251121474730</t>
  </si>
  <si>
    <t>Thép cuộn cán nóng 11.70x1520 SS400 II</t>
  </si>
  <si>
    <t>1251121474723</t>
  </si>
  <si>
    <t>Thép cuộn cán nóng 11.70x1520 SS400</t>
  </si>
  <si>
    <t>1251121474716</t>
  </si>
  <si>
    <t>Thép cuộn cán nóng 9.80x1520 SS400 II</t>
  </si>
  <si>
    <t>1251121474709</t>
  </si>
  <si>
    <t>Thép cuộn cán nóng 9.80x1520 SS400</t>
  </si>
  <si>
    <t>1251121474693</t>
  </si>
  <si>
    <t>Thép cuộn cán nóng 9.70x1520 SS400 II</t>
  </si>
  <si>
    <t>1251121474686</t>
  </si>
  <si>
    <t>Thép cuộn cán nóng 9.70x1520 SS400</t>
  </si>
  <si>
    <t>1251121474679</t>
  </si>
  <si>
    <t>Thép cuộn cán nóng 8.80x1520 SS400 II</t>
  </si>
  <si>
    <t>1251121474662</t>
  </si>
  <si>
    <t>Thép cuộn cán nóng 8.80x1520 SS400</t>
  </si>
  <si>
    <t>1251121474655</t>
  </si>
  <si>
    <t>Thép cuộn cán nóng 8.70x1520 SS400 II</t>
  </si>
  <si>
    <t>1251121474648</t>
  </si>
  <si>
    <t>Thép cuộn cán nóng 8.70x1520 SS400</t>
  </si>
  <si>
    <t>1251121474631</t>
  </si>
  <si>
    <t>Thép cuộn cán nóng 7.80x1520 SS400 II</t>
  </si>
  <si>
    <t>1251121474624</t>
  </si>
  <si>
    <t>Thép cuộn cán nóng 7.80x1520 SS400</t>
  </si>
  <si>
    <t>1251121474617</t>
  </si>
  <si>
    <t>Thép cuộn cán nóng 7.70x1520 SS400 II</t>
  </si>
  <si>
    <t>1251121474600</t>
  </si>
  <si>
    <t>Thép cuộn cán nóng 7.70x1520 SS400</t>
  </si>
  <si>
    <t>1251121474594</t>
  </si>
  <si>
    <t>Thép cuộn cán nóng 5.80x1520 SS400 II</t>
  </si>
  <si>
    <t>1251121474587</t>
  </si>
  <si>
    <t>Thép cuộn cán nóng 5.80x1520 SS400</t>
  </si>
  <si>
    <t>1251121474570</t>
  </si>
  <si>
    <t>Thép cuộn cán nóng 4.30x1520 SS400 II</t>
  </si>
  <si>
    <t>1251121474563</t>
  </si>
  <si>
    <t>Thép cuộn cán nóng 4.30x1520 SS400</t>
  </si>
  <si>
    <t>1251121474556</t>
  </si>
  <si>
    <t>Thép cuộn cán nóng 3.80x1520 SS400 II</t>
  </si>
  <si>
    <t>1251121474549</t>
  </si>
  <si>
    <t>Thép cuộn cán nóng 3.80x1520 SS400</t>
  </si>
  <si>
    <t>1251121474532</t>
  </si>
  <si>
    <t>Thép cuộn cán nóng 2.90x1520 SS400 II</t>
  </si>
  <si>
    <t>1251121474525</t>
  </si>
  <si>
    <t>Thép cuộn cán nóng 2.90x1520 SS400</t>
  </si>
  <si>
    <t>1251121474518</t>
  </si>
  <si>
    <t>Thép cuộn cán nóng 2.80x1520 SS400 II</t>
  </si>
  <si>
    <t>1251121474501</t>
  </si>
  <si>
    <t>Thép cuộn cán nóng 2.80x1520 SS400</t>
  </si>
  <si>
    <t>1251121474495</t>
  </si>
  <si>
    <t>Thép cuộn cán nóng 4.50x1410 SPA-H II</t>
  </si>
  <si>
    <t>4.50×1410×C</t>
  </si>
  <si>
    <t>1251121474310</t>
  </si>
  <si>
    <t>Thép cuộn cán nóng 4.50x1410 SPA-H</t>
  </si>
  <si>
    <t>1251121474303</t>
  </si>
  <si>
    <t>Thép cuộn cán nóng 6.00x1300 SPA-H II</t>
  </si>
  <si>
    <t>6.00×1300×C</t>
  </si>
  <si>
    <t>1251121474297</t>
  </si>
  <si>
    <t>Thép cuộn cán nóng 6.00x1300 SPA-H</t>
  </si>
  <si>
    <t>1251121474280</t>
  </si>
  <si>
    <t>Thép cuộn cán nóng 3.45x1190 SPA-H II</t>
  </si>
  <si>
    <t>3.45×1190×C</t>
  </si>
  <si>
    <t>1251121474273</t>
  </si>
  <si>
    <t>Thép cuộn cán nóng 3.45x1190 SPA-H</t>
  </si>
  <si>
    <t>1251121474266</t>
  </si>
  <si>
    <t>Thép cuộn cán nóng 3.00x1190 SPA-H II</t>
  </si>
  <si>
    <t>1251121474259</t>
  </si>
  <si>
    <t>Thép cuộn cán nóng 2.95x1290 SS400 II</t>
  </si>
  <si>
    <t>1251121474211</t>
  </si>
  <si>
    <t>Thép cuộn cán nóng 2.95x1290 SS400</t>
  </si>
  <si>
    <t>1251121474204</t>
  </si>
  <si>
    <t>Thép cuộn cán nóng 4.60x1390 SS400 II</t>
  </si>
  <si>
    <t>4.60×1390×C</t>
  </si>
  <si>
    <t>1251121474181</t>
  </si>
  <si>
    <t>Thép cuộn cán nóng 4.60x1390 SS400</t>
  </si>
  <si>
    <t>1251121474174</t>
  </si>
  <si>
    <t>Thép cuộn cán nóng 4.30x1390 SS400 II</t>
  </si>
  <si>
    <t>4.30×1390×C</t>
  </si>
  <si>
    <t>1251121474167</t>
  </si>
  <si>
    <t>Thép cuộn cán nóng 4.30x1390 SS400</t>
  </si>
  <si>
    <t>1251121474150</t>
  </si>
  <si>
    <t>Thép cuộn cán nóng 6.00x1370 SS400 II</t>
  </si>
  <si>
    <t>6.00×1370×C</t>
  </si>
  <si>
    <t>1251121474143</t>
  </si>
  <si>
    <t>Thép cuộn cán nóng 6.00x1370 SS400</t>
  </si>
  <si>
    <t>1251121474136</t>
  </si>
  <si>
    <t>Thép cuộn cán nóng 5.30x1210 SS400 II</t>
  </si>
  <si>
    <t>5.30×1210×C</t>
  </si>
  <si>
    <t>1251121474129</t>
  </si>
  <si>
    <t>Thép cuộn cán nóng 5.30x1210 SS400</t>
  </si>
  <si>
    <t>1251121474112</t>
  </si>
  <si>
    <t>Thép cuộn cán nóng 4.60x1210 SS400 II</t>
  </si>
  <si>
    <t>4.60×1210×C</t>
  </si>
  <si>
    <t>1251121474105</t>
  </si>
  <si>
    <t>Thép cuộn cán nóng 4.60x1210 SS400</t>
  </si>
  <si>
    <t>1251121474099</t>
  </si>
  <si>
    <t>Thép cuộn cán nóng 3.80x1210 SS400 II</t>
  </si>
  <si>
    <t>3.80×1210×C</t>
  </si>
  <si>
    <t>1251121474082</t>
  </si>
  <si>
    <t>Thép cuộn cán nóng 3.80x1210 SS400</t>
  </si>
  <si>
    <t>1251121474075</t>
  </si>
  <si>
    <t>Thép cuộn cán nóng 4.90x1420 SS400 II</t>
  </si>
  <si>
    <t>4.90×1420×C</t>
  </si>
  <si>
    <t>1251121474068</t>
  </si>
  <si>
    <t>Thép cuộn cán nóng 4.90x1420 SS400</t>
  </si>
  <si>
    <t>1251121474051</t>
  </si>
  <si>
    <t>Thép cuộn cán nóng 2.70x1262 SAE1006 II</t>
  </si>
  <si>
    <t>1251121474044</t>
  </si>
  <si>
    <t>Thép cuộn cán nóng 2.70x1262 SAE1006</t>
  </si>
  <si>
    <t>1251121474037</t>
  </si>
  <si>
    <t>Thép cuộn cán nóng 2.70x1232 SAE1006 II</t>
  </si>
  <si>
    <t>1251121474020</t>
  </si>
  <si>
    <t>Thép cuộn cán nóng 2.70x1232 SAE1006</t>
  </si>
  <si>
    <t>1251121474013</t>
  </si>
  <si>
    <t>Thép cuộn cán nóng 4.00x1265 SAE1006 II</t>
  </si>
  <si>
    <t>4.00×1265×C</t>
  </si>
  <si>
    <t>1251121474006</t>
  </si>
  <si>
    <t>Thép cuộn cán nóng 4.00x1265 SAE1006</t>
  </si>
  <si>
    <t>1251121473993</t>
  </si>
  <si>
    <t>Thép cuộn cán nóng 3.50x1265 SAE1006 II</t>
  </si>
  <si>
    <t>1251121473986</t>
  </si>
  <si>
    <t>Thép cuộn cán nóng 3.50x1265 SAE1006</t>
  </si>
  <si>
    <t>1251121473979</t>
  </si>
  <si>
    <t>Thép cuộn cán nóng 3.00x1265 SAE1006 II</t>
  </si>
  <si>
    <t>1251121473962</t>
  </si>
  <si>
    <t>Thép cuộn cán nóng 3.00x1265 SAE1006</t>
  </si>
  <si>
    <t>1251121473955</t>
  </si>
  <si>
    <t>Thép cuộn cán nóng 3.45x1267 SAE1006 II</t>
  </si>
  <si>
    <t>1251121473948</t>
  </si>
  <si>
    <t>Thép cuộn cán nóng 3.45x1267 SAE1006</t>
  </si>
  <si>
    <t>1251121473931</t>
  </si>
  <si>
    <t>Thép cuộn cán nóng 2.50x1267 SAE1006 II</t>
  </si>
  <si>
    <t>1251121473924</t>
  </si>
  <si>
    <t>Thép cuộn cán nóng 2.50x1267 SAE1006</t>
  </si>
  <si>
    <t>1251121473917</t>
  </si>
  <si>
    <t>Thép cuộn cán nóng 2.35x1267 SAE1006 II</t>
  </si>
  <si>
    <t>2.35×1267×C</t>
  </si>
  <si>
    <t>1251121473900</t>
  </si>
  <si>
    <t>Thép cuộn cán nóng 2.35x1267 SAE1006</t>
  </si>
  <si>
    <t>1251121473894</t>
  </si>
  <si>
    <t>Thép cuộn cán nóng 3.00x1237 SAE1006 II</t>
  </si>
  <si>
    <t>1251121473887</t>
  </si>
  <si>
    <t>Thép cuộn cán nóng 3.00x1237 SAE1006</t>
  </si>
  <si>
    <t>1251121473870</t>
  </si>
  <si>
    <t>Thép cuộn cán nóng 3.50x1238 SAE1006 II</t>
  </si>
  <si>
    <t>3.50×1238×C</t>
  </si>
  <si>
    <t>1251121473863</t>
  </si>
  <si>
    <t>Thép cuộn cán nóng 3.50x1238 SAE1006</t>
  </si>
  <si>
    <t>1251121473856</t>
  </si>
  <si>
    <t>Thép cuộn cán nóng 3.20x1238 SAE1006 II</t>
  </si>
  <si>
    <t>3.20×1238×C</t>
  </si>
  <si>
    <t>1251121473849</t>
  </si>
  <si>
    <t>Thép cuộn cán nóng 3.20x1238 SAE1006</t>
  </si>
  <si>
    <t>1251121473832</t>
  </si>
  <si>
    <t>Thép cuộn cán nóng 2.80x1238 SAE1006 II</t>
  </si>
  <si>
    <t>2.80×1238×C</t>
  </si>
  <si>
    <t>1251121473825</t>
  </si>
  <si>
    <t>Thép cuộn cán nóng 2.80x1238 SAE1006</t>
  </si>
  <si>
    <t>1251121473818</t>
  </si>
  <si>
    <t>Thép cuộn cán nóng 3.40x1264 SAE1006 II</t>
  </si>
  <si>
    <t>3.40×1264×C</t>
  </si>
  <si>
    <t>1251121473801</t>
  </si>
  <si>
    <t>Thép cuộn cán nóng 3.20x1264 SAE1006 II</t>
  </si>
  <si>
    <t>1251121473788</t>
  </si>
  <si>
    <t>Thép cuộn cán nóng 3.20x1264 SAE1006</t>
  </si>
  <si>
    <t>1251121473771</t>
  </si>
  <si>
    <t>Thép cuộn cán nóng 3.45x1400 SAE1006 II</t>
  </si>
  <si>
    <t>1251121473764</t>
  </si>
  <si>
    <t>Thép cuộn cán nóng 3.45x1400 SAE1006</t>
  </si>
  <si>
    <t>1251121473757</t>
  </si>
  <si>
    <t>Thép cuộn cán nóng 3.15x1400 SAE1006 II</t>
  </si>
  <si>
    <t>3.15×1400×C</t>
  </si>
  <si>
    <t>1251121473740</t>
  </si>
  <si>
    <t>Thép cuộn cán nóng 3.15x1400 SAE1006</t>
  </si>
  <si>
    <t>1251121473733</t>
  </si>
  <si>
    <t>Thép cuộn cán nóng 2.95x1400 SAE1006 II</t>
  </si>
  <si>
    <t>2.95×1400×C</t>
  </si>
  <si>
    <t>1251121473726</t>
  </si>
  <si>
    <t>Thép cuộn cán nóng 2.95x1400 SAE1006</t>
  </si>
  <si>
    <t>1251121473719</t>
  </si>
  <si>
    <t>Thép cuộn cán nóng 2.45x1400 SAE1006 II</t>
  </si>
  <si>
    <t>2.45×1400×C</t>
  </si>
  <si>
    <t>1251121473702</t>
  </si>
  <si>
    <t>Thép cuộn cán nóng 2.45x1400 SAE1006</t>
  </si>
  <si>
    <t>1251121473696</t>
  </si>
  <si>
    <t>Thép cuộn cán nóng 2.30x1400 SAE1006 II</t>
  </si>
  <si>
    <t>2.30×1400×C</t>
  </si>
  <si>
    <t>1251121473689</t>
  </si>
  <si>
    <t>Thép cuộn cán nóng 2.30x1400 SAE1006</t>
  </si>
  <si>
    <t>1251121473672</t>
  </si>
  <si>
    <t>Thép cuộn cán nóng 3.50x1252 SAE1006 II</t>
  </si>
  <si>
    <t>1251121473665</t>
  </si>
  <si>
    <t>Thép cuộn cán nóng 3.50x1252 SAE1006</t>
  </si>
  <si>
    <t>1251121473658</t>
  </si>
  <si>
    <t>Thép cuộn cán nóng 2.75x1252 SAE1006 II</t>
  </si>
  <si>
    <t>1251121473641</t>
  </si>
  <si>
    <t>Thép cuộn cán nóng 2.75x1252 SAE1006</t>
  </si>
  <si>
    <t>1251121473634</t>
  </si>
  <si>
    <t>Thép cuộn cán nóng 2.50x1252 SAE1006 II</t>
  </si>
  <si>
    <t>1251121473627</t>
  </si>
  <si>
    <t>Thép cuộn cán nóng 2.50x1252 SAE1006</t>
  </si>
  <si>
    <t>1251121473610</t>
  </si>
  <si>
    <t>Thép cuộn cán nóng 2.30x1252 SAE1006 II</t>
  </si>
  <si>
    <t>1251121473603</t>
  </si>
  <si>
    <t>Thép cuộn cán nóng 2.30x1252 SAE1006</t>
  </si>
  <si>
    <t>1251121473597</t>
  </si>
  <si>
    <t>Thép cuộn cán nóng 2.00x1252 SAE1006 II</t>
  </si>
  <si>
    <t>1251121473580</t>
  </si>
  <si>
    <t>Thép cuộn cán nóng 2.00x1252 SAE1006</t>
  </si>
  <si>
    <t>1251121473573</t>
  </si>
  <si>
    <t>Thép cuộn cán nóng 2.00x1200 SAE1006 II</t>
  </si>
  <si>
    <t>1251121473566</t>
  </si>
  <si>
    <t>Thép cuộn cán nóng 3.15x1219 SPA-H II</t>
  </si>
  <si>
    <t>1251121473054</t>
  </si>
  <si>
    <t>Thép cuộn cán nóng 3.15x1219 SPA-H</t>
  </si>
  <si>
    <t>1251121473047</t>
  </si>
  <si>
    <t>Thép cuộn cán nóng 4.20x1219 SPA-H II</t>
  </si>
  <si>
    <t>4.20×1219×C</t>
  </si>
  <si>
    <t>1251121473030</t>
  </si>
  <si>
    <t>Thép cuộn cán nóng 4.20x1219 SPA-H</t>
  </si>
  <si>
    <t>1251121473023</t>
  </si>
  <si>
    <t>Thép cuộn cán nóng 6.00x1219 SPA-H II</t>
  </si>
  <si>
    <t>1251121473016</t>
  </si>
  <si>
    <t>Thép cuộn cán nóng 6.00x1219 SPA-H</t>
  </si>
  <si>
    <t>1251121473009</t>
  </si>
  <si>
    <t>Thép cuộn cán nóng 4.50x1219 SPA-H II</t>
  </si>
  <si>
    <t>1251121472996</t>
  </si>
  <si>
    <t>Thép cuộn cán nóng 4.50x1219 SPA-H</t>
  </si>
  <si>
    <t>1251121472989</t>
  </si>
  <si>
    <t>Thép cuộn cán nóng 6.00x1230 SPA-H II</t>
  </si>
  <si>
    <t>1251121472774</t>
  </si>
  <si>
    <t>Thép cuộn cán nóng 6.00x1230 SPA-H</t>
  </si>
  <si>
    <t>1251121472767</t>
  </si>
  <si>
    <t>Thép cuộn cán nóng 4.50x1230 SPA-H II</t>
  </si>
  <si>
    <t>1251121472750</t>
  </si>
  <si>
    <t>Thép cuộn cán nóng 4.50x1230 SPA-H</t>
  </si>
  <si>
    <t>1251121472743</t>
  </si>
  <si>
    <t>Thép cuộn cán nóng 2.95x1230 SPA-H II</t>
  </si>
  <si>
    <t>1251121472705</t>
  </si>
  <si>
    <t>Thép cuộn cán nóng 2.95x1230 SPA-H</t>
  </si>
  <si>
    <t>1251121472699</t>
  </si>
  <si>
    <t>Thép cuộn cán nóng 3.45x1230 SPA-H II</t>
  </si>
  <si>
    <t>1251121472682</t>
  </si>
  <si>
    <t>Thép cuộn cán nóng 3.45x1230 SPA-H</t>
  </si>
  <si>
    <t>1251121472675</t>
  </si>
  <si>
    <t>Thép cuộn cán nóng 3.15x1267 SAE1006 II</t>
  </si>
  <si>
    <t>1251121472538</t>
  </si>
  <si>
    <t>Thép cuộn cán nóng 3.15x1267 SAE1006</t>
  </si>
  <si>
    <t>1251121472521</t>
  </si>
  <si>
    <t>Thép cuộn cán nóng 2.95x1267 SAE1006 II</t>
  </si>
  <si>
    <t>1251121472514</t>
  </si>
  <si>
    <t>Thép cuộn cán nóng 2.95x1267 SAE1006</t>
  </si>
  <si>
    <t>1251121472507</t>
  </si>
  <si>
    <t>Thép cuộn cán nóng 2.75x1267 SAE1006 II</t>
  </si>
  <si>
    <t>1251121472491</t>
  </si>
  <si>
    <t>Thép cuộn cán nóng 2.75x1267 SAE1006</t>
  </si>
  <si>
    <t>1251121472484</t>
  </si>
  <si>
    <t>Thép cuộn cán nóng 2.45x1267 SAE1006 II</t>
  </si>
  <si>
    <t>1251121472477</t>
  </si>
  <si>
    <t>Thép cuộn cán nóng 2.45x1267 SAE1006</t>
  </si>
  <si>
    <t>1251121472460</t>
  </si>
  <si>
    <t>Thép cuộn cán nóng 2.15x1267 SAE1006 II</t>
  </si>
  <si>
    <t>2.15×1267×C</t>
  </si>
  <si>
    <t>1251121472453</t>
  </si>
  <si>
    <t>Thép cuộn cán nóng 2.15x1267 SAE1006</t>
  </si>
  <si>
    <t>1251121472446</t>
  </si>
  <si>
    <t>Thép cuộn cán nóng 2.30x1267 SAE1006 II</t>
  </si>
  <si>
    <t>1251121472439</t>
  </si>
  <si>
    <t>Thép cuộn cán nóng 2.30x1267 SAE1006</t>
  </si>
  <si>
    <t>1251121472422</t>
  </si>
  <si>
    <t>Thép cuộn cán nóng 2.00x1267 SAE1006 II</t>
  </si>
  <si>
    <t>1251121472415</t>
  </si>
  <si>
    <t>Thép cuộn cán nóng 2.00x1267 SAE1006</t>
  </si>
  <si>
    <t>1251121472408</t>
  </si>
  <si>
    <t>Thép cuộn cán nóng 3.75x1262 SAE1006 II</t>
  </si>
  <si>
    <t>3.75×1262×C</t>
  </si>
  <si>
    <t>1251121472293</t>
  </si>
  <si>
    <t>Thép cuộn cán nóng 3.75x1262 SAE1006</t>
  </si>
  <si>
    <t>1251121472286</t>
  </si>
  <si>
    <t>Thép cuộn cán nóng 4.50x1190 SPA-H II</t>
  </si>
  <si>
    <t>4.50×1190×C</t>
  </si>
  <si>
    <t>1251121472279</t>
  </si>
  <si>
    <t>Thép cuộn cán nóng 4.50x1190 SPA-H</t>
  </si>
  <si>
    <t>1251121472262</t>
  </si>
  <si>
    <t>Thép cuộn cán nóng 4.00x1190 SPA-H II</t>
  </si>
  <si>
    <t>4.00×1190×C</t>
  </si>
  <si>
    <t>1251121472255</t>
  </si>
  <si>
    <t>Thép cuộn cán nóng 4.00x1190 SPA-H</t>
  </si>
  <si>
    <t>1251121472248</t>
  </si>
  <si>
    <t>Thép cuộn cán nóng 3.20x1190 SPA-H II</t>
  </si>
  <si>
    <t>3.20×1190×C</t>
  </si>
  <si>
    <t>1251121472231</t>
  </si>
  <si>
    <t>Thép cuộn cán nóng 3.20x1190 SPA-H</t>
  </si>
  <si>
    <t>1251121472224</t>
  </si>
  <si>
    <t>Thép cuộn cán nóng 3.00x1262 SAE1006 II</t>
  </si>
  <si>
    <t>1251121471944</t>
  </si>
  <si>
    <t>Thép cuộn cán nóng 3.00x1262 SAE1006</t>
  </si>
  <si>
    <t>1251121471937</t>
  </si>
  <si>
    <t>Thép cuộn cán nóng 2.90x1262 SAE1006 II</t>
  </si>
  <si>
    <t>2.90×1262×C</t>
  </si>
  <si>
    <t>1251121471807</t>
  </si>
  <si>
    <t>Thép cuộn cán nóng 2.90x1262 SAE1006</t>
  </si>
  <si>
    <t>1251121471791</t>
  </si>
  <si>
    <t>Thép cuộn cán nóng 2.50x1214 SAE1006 II</t>
  </si>
  <si>
    <t>2.50×1214×C</t>
  </si>
  <si>
    <t>1251121471784</t>
  </si>
  <si>
    <t>Thép cuộn cán nóng 2.50x1214 SAE1006</t>
  </si>
  <si>
    <t>1251121471777</t>
  </si>
  <si>
    <t>Thép cuộn cán nóng 3.50x1290 SAE1006 II</t>
  </si>
  <si>
    <t>3.50×1290×C</t>
  </si>
  <si>
    <t>1251121471760</t>
  </si>
  <si>
    <t>Thép cuộn cán nóng 3.50x1290 SAE1006</t>
  </si>
  <si>
    <t>1251121471753</t>
  </si>
  <si>
    <t>Thép cuộn cán nóng 3.00x1290 SAE1006 II</t>
  </si>
  <si>
    <t>1251121471746</t>
  </si>
  <si>
    <t>Thép cuộn cán nóng 3.00x1290 SAE1006</t>
  </si>
  <si>
    <t>1251121471739</t>
  </si>
  <si>
    <t>Thép cuộn cán nóng 3.50x1264 SAE1006 II</t>
  </si>
  <si>
    <t>3.50×1264×C</t>
  </si>
  <si>
    <t>1251121471722</t>
  </si>
  <si>
    <t>Thép cuộn cán nóng 3.50x1264 SAE1006</t>
  </si>
  <si>
    <t>1251121471715</t>
  </si>
  <si>
    <t>Thép cuộn cán nóng 5.40x1420 SS400 II</t>
  </si>
  <si>
    <t>5.40×1420×C</t>
  </si>
  <si>
    <t>1251121471708</t>
  </si>
  <si>
    <t>Thép cuộn cán nóng 5.40x1420 SS400</t>
  </si>
  <si>
    <t>1251121471692</t>
  </si>
  <si>
    <t>Thép cuộn cán nóng 4.80x1420 SS400 II</t>
  </si>
  <si>
    <t>4.80×1420×C</t>
  </si>
  <si>
    <t>1251121471685</t>
  </si>
  <si>
    <t>Thép cuộn cán nóng 4.80x1420 SS400</t>
  </si>
  <si>
    <t>1251121471678</t>
  </si>
  <si>
    <t>Thép cuộn cán nóng 4.50x1420 SS400 II</t>
  </si>
  <si>
    <t>4.50×1420×C</t>
  </si>
  <si>
    <t>1251121471661</t>
  </si>
  <si>
    <t>Thép cuộn cán nóng 4.50x1420 SS400</t>
  </si>
  <si>
    <t>1251121471654</t>
  </si>
  <si>
    <t>Thép cuộn cán nóng 2.75x1214 SS400 II</t>
  </si>
  <si>
    <t>2.75×1214×C</t>
  </si>
  <si>
    <t>1251121471494</t>
  </si>
  <si>
    <t>Thép cuộn cán nóng 2.75x1214 SS400</t>
  </si>
  <si>
    <t>1251121471487</t>
  </si>
  <si>
    <t>Thép cuộn cán nóng 2.95x1214 SS400 II</t>
  </si>
  <si>
    <t>2.95×1214×C</t>
  </si>
  <si>
    <t>1251121471470</t>
  </si>
  <si>
    <t>Thép cuộn cán nóng 2.95x1214 SS400</t>
  </si>
  <si>
    <t>1251121471463</t>
  </si>
  <si>
    <t>Thép cuộn cán nóng 3.90x1145 SS400 II</t>
  </si>
  <si>
    <t>3.90×1145×C</t>
  </si>
  <si>
    <t>1251121471234</t>
  </si>
  <si>
    <t>Thép cuộn cán nóng 3.90x1145 SS400</t>
  </si>
  <si>
    <t>1251121471227</t>
  </si>
  <si>
    <t>Thép cuộn cán nóng 3.50x1264 SS400 II</t>
  </si>
  <si>
    <t>1251121471210</t>
  </si>
  <si>
    <t>Thép cuộn cán nóng 3.50x1264 SS400</t>
  </si>
  <si>
    <t>1251121471203</t>
  </si>
  <si>
    <t>Thép cuộn cán nóng 3.30x1264 SS400 II</t>
  </si>
  <si>
    <t>3.30×1264×C</t>
  </si>
  <si>
    <t>1251121471197</t>
  </si>
  <si>
    <t>Thép cuộn cán nóng 3.30x1264 SS400</t>
  </si>
  <si>
    <t>1251121471180</t>
  </si>
  <si>
    <t>Thép cuộn cán nóng 2.80x1264 SS400 II</t>
  </si>
  <si>
    <t>1251121471173</t>
  </si>
  <si>
    <t>Thép cuộn cán nóng 3.40x1264 SAE1006</t>
  </si>
  <si>
    <t>1251121473795</t>
  </si>
  <si>
    <t>Thép cuộn cán nóng 2.00x1200 SAE1006</t>
  </si>
  <si>
    <t>1251121473559</t>
  </si>
  <si>
    <t>Thép cuộn cán nóng 2.40x1264 SAE1006 II</t>
  </si>
  <si>
    <t>2.40×1264×C</t>
  </si>
  <si>
    <t>1251121473542</t>
  </si>
  <si>
    <t>Thép cuộn cán nóng 2.40x1264 SAE1006</t>
  </si>
  <si>
    <t>1251121473535</t>
  </si>
  <si>
    <t>Thép cuộn cán nóng 3.40x1260 SAE1006 II</t>
  </si>
  <si>
    <t>1251121473344</t>
  </si>
  <si>
    <t>Thép cuộn cán nóng 3.40x1260 SAE1006</t>
  </si>
  <si>
    <t>1251121473337</t>
  </si>
  <si>
    <t>Thép cuộn cán nóng 3.95x1260 SAE1006 II</t>
  </si>
  <si>
    <t>1251121473269</t>
  </si>
  <si>
    <t>Thép cuộn cán nóng 3.95x1260 SAE1006</t>
  </si>
  <si>
    <t>1251121473252</t>
  </si>
  <si>
    <t>Thép cuộn cán nóng 2.25x1217 SAE1006 II</t>
  </si>
  <si>
    <t>1251121473245</t>
  </si>
  <si>
    <t>Thép cuộn cán nóng 2.25x1217 SAE1006</t>
  </si>
  <si>
    <t>1251121473238</t>
  </si>
  <si>
    <t>Thép cuộn cán nóng 2.80x1262 SAE1006 II</t>
  </si>
  <si>
    <t>1251121473214</t>
  </si>
  <si>
    <t>Thép cuộn cán nóng 2.80x1262 SAE1006</t>
  </si>
  <si>
    <t>1251121473207</t>
  </si>
  <si>
    <t>Thép cuộn cán nóng 2.40x1212 SAE1006 II</t>
  </si>
  <si>
    <t>1251121473191</t>
  </si>
  <si>
    <t>Thép cuộn cán nóng 2.40x1212 SAE1006</t>
  </si>
  <si>
    <t>1251121473184</t>
  </si>
  <si>
    <t>Thép cuộn cán nóng 2.60x1232 SAE1006 II</t>
  </si>
  <si>
    <t>1251121473177</t>
  </si>
  <si>
    <t>Thép cuộn cán nóng 2.60x1232 SAE1006</t>
  </si>
  <si>
    <t>1251121473160</t>
  </si>
  <si>
    <t>Thép cuộn cán nóng 4.00x1230 SAE1006 II</t>
  </si>
  <si>
    <t>1251121473153</t>
  </si>
  <si>
    <t>Thép cuộn cán nóng 4.00x1230 SAE1006</t>
  </si>
  <si>
    <t>1251121473146</t>
  </si>
  <si>
    <t>Thép cuộn cán nóng 2.00x1219 SPA-H II</t>
  </si>
  <si>
    <t>1251121473078</t>
  </si>
  <si>
    <t>Thép cuộn cán nóng 2.00x1219 SPA-H</t>
  </si>
  <si>
    <t>1251121473061</t>
  </si>
  <si>
    <t>Thép cuộn cán nóng 2.80x1264 SS400</t>
  </si>
  <si>
    <t>1251121471166</t>
  </si>
  <si>
    <t>Thép cuộn cán nóng 5.30x1219 SS400 II</t>
  </si>
  <si>
    <t>5.30×1219×C</t>
  </si>
  <si>
    <t>1251121471159</t>
  </si>
  <si>
    <t>Thép cuộn cán nóng 5.30x1219 SS400</t>
  </si>
  <si>
    <t>1251121471142</t>
  </si>
  <si>
    <t>Thép cuộn cán nóng 2.80x1420 SS400 II</t>
  </si>
  <si>
    <t>2.80×1420×C</t>
  </si>
  <si>
    <t>1251121471135</t>
  </si>
  <si>
    <t>Thép cuộn cán nóng 2.80x1420 SS400</t>
  </si>
  <si>
    <t>1251121471128</t>
  </si>
  <si>
    <t>Thép cuộn cán nóng 5.30x1420 SS400 II</t>
  </si>
  <si>
    <t>5.30×1420×C</t>
  </si>
  <si>
    <t>1251121471111</t>
  </si>
  <si>
    <t>Thép cuộn cán nóng 5.30x1420 SS400</t>
  </si>
  <si>
    <t>1251121471104</t>
  </si>
  <si>
    <t>Thép cuộn cán nóng 4.40x1420 SS400 II</t>
  </si>
  <si>
    <t>4.40×1420×C</t>
  </si>
  <si>
    <t>1251121471098</t>
  </si>
  <si>
    <t>Thép cuộn cán nóng 4.40x1420 SS400</t>
  </si>
  <si>
    <t>1251121471081</t>
  </si>
  <si>
    <t>Thép cuộn cán nóng 6.90x1500 SS400 II</t>
  </si>
  <si>
    <t>6.90×1500×C</t>
  </si>
  <si>
    <t>1251121471036</t>
  </si>
  <si>
    <t>Thép cuộn cán nóng 6.90x1500 SS400</t>
  </si>
  <si>
    <t>1251121471029</t>
  </si>
  <si>
    <t>Thép cuộn cán nóng 2.45x1270 SAE1006 II</t>
  </si>
  <si>
    <t>1251121469316</t>
  </si>
  <si>
    <t>Thép cuộn cán nóng 2.45x1270 SAE1006</t>
  </si>
  <si>
    <t>1251121469309</t>
  </si>
  <si>
    <t>Thép cuộn cán nóng 2.95x1262 SAE1006 II</t>
  </si>
  <si>
    <t>1251121469132</t>
  </si>
  <si>
    <t>Thép cuộn cán nóng 2.95x1262 SAE1006</t>
  </si>
  <si>
    <t>1251121469125</t>
  </si>
  <si>
    <t>Thép cuộn cán nóng 5.75x1500 SS400 II</t>
  </si>
  <si>
    <t>5.75×1500×C</t>
  </si>
  <si>
    <t>1251121469118</t>
  </si>
  <si>
    <t>Thép cuộn cán nóng 5.75x1500 SS400</t>
  </si>
  <si>
    <t>1251121469101</t>
  </si>
  <si>
    <t>Thép cuộn cán nóng 11.70x1500 SS400 II</t>
  </si>
  <si>
    <t>11.70×1500×C</t>
  </si>
  <si>
    <t>1251121469095</t>
  </si>
  <si>
    <t>Thép cuộn cán nóng 9.70x1500 SS400 II</t>
  </si>
  <si>
    <t>9.70×1500×C</t>
  </si>
  <si>
    <t>1251121469071</t>
  </si>
  <si>
    <t>Thép cuộn cán nóng 9.70x1500 SS400</t>
  </si>
  <si>
    <t>1251121469064</t>
  </si>
  <si>
    <t>Thép cuộn cán nóng 3.90x1214 SS400 II</t>
  </si>
  <si>
    <t>1251121469057</t>
  </si>
  <si>
    <t>Thép cuộn cán nóng 3.90x1214 SS400</t>
  </si>
  <si>
    <t>1251121469040</t>
  </si>
  <si>
    <t>Thép cuộn cán nóng 6.25x1420 SS400 II</t>
  </si>
  <si>
    <t>6.25×1420×C</t>
  </si>
  <si>
    <t>1251121469033</t>
  </si>
  <si>
    <t>Thép cuộn cán nóng 6.25x1420 SS400</t>
  </si>
  <si>
    <t>1251121469026</t>
  </si>
  <si>
    <t>Thép cuộn cán nóng 3.95x1360 SAE1006 II</t>
  </si>
  <si>
    <t>3.95×1360×C</t>
  </si>
  <si>
    <t>1251121469019</t>
  </si>
  <si>
    <t>Thép cuộn cán nóng 3.95x1360 SAE1006</t>
  </si>
  <si>
    <t>1251121469002</t>
  </si>
  <si>
    <t>Thép cuộn cán nóng 2.30x1240 SAE1006 II</t>
  </si>
  <si>
    <t>2.30×1240×C</t>
  </si>
  <si>
    <t>1251121468999</t>
  </si>
  <si>
    <t>Thép cuộn cán nóng 2.30x1240 SAE1006</t>
  </si>
  <si>
    <t>1251121468982</t>
  </si>
  <si>
    <t>Thép cuộn cán nóng 2.20x1020 SAE1006 II</t>
  </si>
  <si>
    <t>1251121468975</t>
  </si>
  <si>
    <t>Thép cuộn cán nóng 2.20x1020 SAE1006</t>
  </si>
  <si>
    <t>1251121468968</t>
  </si>
  <si>
    <t>Thép cuộn cán nóng 2.75x1020 SAE1006 II</t>
  </si>
  <si>
    <t>2.75×1020×C</t>
  </si>
  <si>
    <t>1251121468951</t>
  </si>
  <si>
    <t>Thép cuộn cán nóng 2.75x1020 SAE1006</t>
  </si>
  <si>
    <t>1251121468944</t>
  </si>
  <si>
    <t>Thép cuộn cán nóng 2.45x1020 SAE1006 II</t>
  </si>
  <si>
    <t>2.45×1020×C</t>
  </si>
  <si>
    <t>1251121468937</t>
  </si>
  <si>
    <t>Thép cuộn cán nóng 2.45x1020 SAE1006</t>
  </si>
  <si>
    <t>1251121468920</t>
  </si>
  <si>
    <t>Thép cuộn cán nóng 2.30x1020 SAE1006 II</t>
  </si>
  <si>
    <t>2.30×1020×C</t>
  </si>
  <si>
    <t>1251121468913</t>
  </si>
  <si>
    <t>Thép cuộn cán nóng 2.30x1020 SAE1006</t>
  </si>
  <si>
    <t>1251121468906</t>
  </si>
  <si>
    <t>Thép cuộn cán nóng 2.00x1020 SAE1006 II</t>
  </si>
  <si>
    <t>1251121468890</t>
  </si>
  <si>
    <t>Thép cuộn cán nóng 2.00x1020 SAE1006</t>
  </si>
  <si>
    <t>1251121468883</t>
  </si>
  <si>
    <t>Thép cuộn cán nóng 2.73x1250 SAE1006 II</t>
  </si>
  <si>
    <t>1251121468876</t>
  </si>
  <si>
    <t>Thép cuộn cán nóng 2.73x1250 SAE1006</t>
  </si>
  <si>
    <t>1251121468869</t>
  </si>
  <si>
    <t>Thép cuộn cán nóng 4.35x1250 SS400 II</t>
  </si>
  <si>
    <t>4.35×1250×C</t>
  </si>
  <si>
    <t>1251121468814</t>
  </si>
  <si>
    <t>Thép cuộn cán nóng 4.35x1250 SS400</t>
  </si>
  <si>
    <t>1251121468807</t>
  </si>
  <si>
    <t>Thép cuộn cán nóng 2.51x1230 SAE1006 II</t>
  </si>
  <si>
    <t>2.51×1230×C</t>
  </si>
  <si>
    <t>1251121468722</t>
  </si>
  <si>
    <t>Thép cuộn cán nóng 2.51x1230 SAE1006</t>
  </si>
  <si>
    <t>1251121468715</t>
  </si>
  <si>
    <t>Thép cuộn cán nóng 2.51x1250 SAE1006 II</t>
  </si>
  <si>
    <t>2.51×1250×C</t>
  </si>
  <si>
    <t>1251121468692</t>
  </si>
  <si>
    <t>Thép cuộn cán nóng 2.51x1250 SAE1006</t>
  </si>
  <si>
    <t>1251121468685</t>
  </si>
  <si>
    <t>Thép cuộn cán nóng 2.31x1250 SAE1006 II</t>
  </si>
  <si>
    <t>2.31×1250×C</t>
  </si>
  <si>
    <t>1251121468678</t>
  </si>
  <si>
    <t>Thép cuộn cán nóng 2.31x1250 SAE1006</t>
  </si>
  <si>
    <t>1251121468661</t>
  </si>
  <si>
    <t>Thép cuộn cán nóng 2.51x1232 SAE1006 II</t>
  </si>
  <si>
    <t>2.51×1232×C</t>
  </si>
  <si>
    <t>1251121468654</t>
  </si>
  <si>
    <t>Thép cuộn cán nóng 2.51x1232 SAE1006</t>
  </si>
  <si>
    <t>1251121468647</t>
  </si>
  <si>
    <t>Thép cuộn cán nóng 2.31x1232 SAE1006 II</t>
  </si>
  <si>
    <t>2.31×1232×C</t>
  </si>
  <si>
    <t>1251121468630</t>
  </si>
  <si>
    <t>Thép cuộn cán nóng 2.31x1232 SAE1006</t>
  </si>
  <si>
    <t>1251121468623</t>
  </si>
  <si>
    <t>Thép cuộn cán nóng 7.70x1500 SS400 II</t>
  </si>
  <si>
    <t>7.70×1500×C</t>
  </si>
  <si>
    <t>1251121468296</t>
  </si>
  <si>
    <t>Thép cuộn cán nóng 7.70x1500 SS400</t>
  </si>
  <si>
    <t>1251121468289</t>
  </si>
  <si>
    <t>Thép cuộn cán nóng 11.00x1219 SS400 II</t>
  </si>
  <si>
    <t>11.00×1219×C</t>
  </si>
  <si>
    <t>1251121468272</t>
  </si>
  <si>
    <t>Thép cuộn cán nóng 11.00x1219 SS400</t>
  </si>
  <si>
    <t>1251121468265</t>
  </si>
  <si>
    <t>Thép cuộn cán nóng 9.50x1219 SS400 II</t>
  </si>
  <si>
    <t>9.50×1219×C</t>
  </si>
  <si>
    <t>1251121468258</t>
  </si>
  <si>
    <t>Thép cuộn cán nóng 9.50x1219 SS400</t>
  </si>
  <si>
    <t>1251121468241</t>
  </si>
  <si>
    <t>Thép cuộn cán nóng 8.70x1219 SS400 II</t>
  </si>
  <si>
    <t>8.70×1219×C</t>
  </si>
  <si>
    <t>1251121468234</t>
  </si>
  <si>
    <t>Thép cuộn cán nóng 8.70x1219 SS400</t>
  </si>
  <si>
    <t>1251121468227</t>
  </si>
  <si>
    <t>Thép cuộn cán nóng 5.90x1219 SS400 II</t>
  </si>
  <si>
    <t>1251121468210</t>
  </si>
  <si>
    <t>Thép cuộn cán nóng 5.90x1219 SS400</t>
  </si>
  <si>
    <t>1251121468203</t>
  </si>
  <si>
    <t>Thép cuộn cán nóng 5.70x1219 SS400 II</t>
  </si>
  <si>
    <t>5.70×1219×C</t>
  </si>
  <si>
    <t>1251121468197</t>
  </si>
  <si>
    <t>Thép cuộn cán nóng 5.70x1219 SS400</t>
  </si>
  <si>
    <t>1251121468180</t>
  </si>
  <si>
    <t>Thép cuộn cán nóng 4.80x1219 SS400 II</t>
  </si>
  <si>
    <t>4.80×1219×C</t>
  </si>
  <si>
    <t>1251121468173</t>
  </si>
  <si>
    <t>Thép cuộn cán nóng 4.80x1219 SS400</t>
  </si>
  <si>
    <t>1251121468166</t>
  </si>
  <si>
    <t>Thép cuộn cán nóng 4.40x1219 SS400 II</t>
  </si>
  <si>
    <t>1251121468159</t>
  </si>
  <si>
    <t>Thép cuộn cán nóng 4.40x1219 SS400</t>
  </si>
  <si>
    <t>1251121468142</t>
  </si>
  <si>
    <t>Thép cuộn cán nóng 3.50x1219 SS400 II</t>
  </si>
  <si>
    <t>1251121468135</t>
  </si>
  <si>
    <t>Thép cuộn cán nóng 3.50x1219 SS400</t>
  </si>
  <si>
    <t>1251121468128</t>
  </si>
  <si>
    <t>Thép cuộn cán nóng 3.00x1219 SS400 II</t>
  </si>
  <si>
    <t>1251121468111</t>
  </si>
  <si>
    <t>Thép cuộn cán nóng 3.00x1219 SS400</t>
  </si>
  <si>
    <t>1251121468104</t>
  </si>
  <si>
    <t>Thép cuộn cán nóng 2.80x1219 SS400 II</t>
  </si>
  <si>
    <t>1251121468098</t>
  </si>
  <si>
    <t>Thép cuộn cán nóng 2.80x1219 SS400</t>
  </si>
  <si>
    <t>1251121468081</t>
  </si>
  <si>
    <t>Thép cuộn cán nóng 5.40x1219 SS400 II</t>
  </si>
  <si>
    <t>5.40×1219×C</t>
  </si>
  <si>
    <t>1251121468074</t>
  </si>
  <si>
    <t>Thép cuộn cán nóng 5.40x1219 SS400</t>
  </si>
  <si>
    <t>1251121468067</t>
  </si>
  <si>
    <t>Thép cuộn cán nóng 2.45x1230 SS400 II</t>
  </si>
  <si>
    <t>1251121468050</t>
  </si>
  <si>
    <t>Thép cuộn cán nóng 2.45x1230 SS400</t>
  </si>
  <si>
    <t>1251121468043</t>
  </si>
  <si>
    <t>Thép cuộn cán nóng 11.70x1219 SS400 II</t>
  </si>
  <si>
    <t>11.70×1219×C</t>
  </si>
  <si>
    <t>1251121468036</t>
  </si>
  <si>
    <t>Thép cuộn cán nóng 11.70x1219 SS400</t>
  </si>
  <si>
    <t>1251121468029</t>
  </si>
  <si>
    <t>Thép cuộn cán nóng 8.00x1219 SS400 II</t>
  </si>
  <si>
    <t>8.00×1219×C</t>
  </si>
  <si>
    <t>1251121468012</t>
  </si>
  <si>
    <t>Thép cuộn cán nóng 8.00x1219 SS400</t>
  </si>
  <si>
    <t>1251121468005</t>
  </si>
  <si>
    <t>Thép cuộn cán nóng 6.80x1219 SS400 II</t>
  </si>
  <si>
    <t>6.80×1219×C</t>
  </si>
  <si>
    <t>1251121467992</t>
  </si>
  <si>
    <t>Thép cuộn cán nóng 6.80x1219 SS400</t>
  </si>
  <si>
    <t>1251121467985</t>
  </si>
  <si>
    <t>Thép cuộn cán nóng 5.50x1219 SS400 II</t>
  </si>
  <si>
    <t>1251121467978</t>
  </si>
  <si>
    <t>Thép cuộn cán nóng 5.50x1219 SS400</t>
  </si>
  <si>
    <t>1251121467961</t>
  </si>
  <si>
    <t>Thép cuộn cán nóng 4.90x1219 SS400 II</t>
  </si>
  <si>
    <t>1251121467954</t>
  </si>
  <si>
    <t>Thép cuộn cán nóng 4.90x1219 SS400</t>
  </si>
  <si>
    <t>1251121467947</t>
  </si>
  <si>
    <t>Thép cuộn cán nóng 3.90x1219 SS400 II</t>
  </si>
  <si>
    <t>3.90×1219×C</t>
  </si>
  <si>
    <t>1251121467930</t>
  </si>
  <si>
    <t>Thép cuộn cán nóng 3.90x1219 SS400</t>
  </si>
  <si>
    <t>1251121467923</t>
  </si>
  <si>
    <t>Thép cuộn cán nóng 3.70x1219 SS400 II</t>
  </si>
  <si>
    <t>3.70×1219×C</t>
  </si>
  <si>
    <t>1251121467916</t>
  </si>
  <si>
    <t>Thép cuộn cán nóng 3.70x1219 SS400</t>
  </si>
  <si>
    <t>1251121467909</t>
  </si>
  <si>
    <t>Thép cuộn cán nóng 2.50x1262 SS400 II</t>
  </si>
  <si>
    <t>1251121467893</t>
  </si>
  <si>
    <t>Thép cuộn cán nóng 2.50x1262 SS400</t>
  </si>
  <si>
    <t>1251121467886</t>
  </si>
  <si>
    <t>Thép cuộn cán nóng 2.20x1010 SAE1006 II</t>
  </si>
  <si>
    <t>2.20×1010×C</t>
  </si>
  <si>
    <t>1251121467879</t>
  </si>
  <si>
    <t>Thép cuộn cán nóng 2.20x1010 SAE1006</t>
  </si>
  <si>
    <t>1251121467862</t>
  </si>
  <si>
    <t>Thép cuộn cán nóng 2.30x1234 SAE1006 II</t>
  </si>
  <si>
    <t>2.30×1234×C</t>
  </si>
  <si>
    <t>1251121467855</t>
  </si>
  <si>
    <t>Thép cuộn cán nóng 2.30x1234 SAE1006</t>
  </si>
  <si>
    <t>1251121467848</t>
  </si>
  <si>
    <t>Thép cuộn cán nóng 2.70x1260 SAE1006 II</t>
  </si>
  <si>
    <t>1251121467831</t>
  </si>
  <si>
    <t>Thép cuộn cán nóng 2.70x1260 SAE1006</t>
  </si>
  <si>
    <t>1251121467824</t>
  </si>
  <si>
    <t>Thép cuộn cán nóng 2.00x1000 SAE1006 II</t>
  </si>
  <si>
    <t>1251121467817</t>
  </si>
  <si>
    <t>Thép cuộn cán nóng 2.00x1000 SAE1006</t>
  </si>
  <si>
    <t>1251121467800</t>
  </si>
  <si>
    <t>Thép cuộn cán nóng 2.25x1000 SAE1006 II</t>
  </si>
  <si>
    <t>2.25×1000×C</t>
  </si>
  <si>
    <t>1251121467794</t>
  </si>
  <si>
    <t>Thép cuộn cán nóng 2.25x1000 SAE1006</t>
  </si>
  <si>
    <t>1251121467787</t>
  </si>
  <si>
    <t>Thép cuộn cán nóng 2.45x1000 SAE1006 II</t>
  </si>
  <si>
    <t>1251121467770</t>
  </si>
  <si>
    <t>Thép cuộn cán nóng 2.45x1000 SAE1006</t>
  </si>
  <si>
    <t>1251121467763</t>
  </si>
  <si>
    <t>Thép cuộn cán nóng 2.75x1000 SAE1006 II</t>
  </si>
  <si>
    <t>1251121467756</t>
  </si>
  <si>
    <t>Thép cuộn cán nóng 2.75x1000 SAE1006</t>
  </si>
  <si>
    <t>1251121467749</t>
  </si>
  <si>
    <t>Thép cuộn cán nóng 3.15x1000 SAE1006 II</t>
  </si>
  <si>
    <t>3.15×1000×C</t>
  </si>
  <si>
    <t>1251121467732</t>
  </si>
  <si>
    <t>Thép cuộn cán nóng 3.15x1000 SAE1006</t>
  </si>
  <si>
    <t>1251121467725</t>
  </si>
  <si>
    <t>Thép cuộn cán nóng 3.45x1000 SAE1006 II</t>
  </si>
  <si>
    <t>3.45×1000×C</t>
  </si>
  <si>
    <t>1251121467718</t>
  </si>
  <si>
    <t>Thép cuộn cán nóng 3.45x1000 SAE1006</t>
  </si>
  <si>
    <t>1251121467701</t>
  </si>
  <si>
    <t>Thép cuộn cán nóng 2.00x1270 SAE1006 II</t>
  </si>
  <si>
    <t>1251121467695</t>
  </si>
  <si>
    <t>Thép cuộn cán nóng 2.00x1270 SAE1006</t>
  </si>
  <si>
    <t>1251121467688</t>
  </si>
  <si>
    <t>Thép cuộn cán nóng 2.25x1270 SAE1006 II</t>
  </si>
  <si>
    <t>2.25×1270×C</t>
  </si>
  <si>
    <t>1251121467671</t>
  </si>
  <si>
    <t>Thép cuộn cán nóng 2.25x1270 SAE1006</t>
  </si>
  <si>
    <t>1251121467664</t>
  </si>
  <si>
    <t>Thép cuộn cán nóng 2.40x1270 SAE1006 II</t>
  </si>
  <si>
    <t>2.40×1270×C</t>
  </si>
  <si>
    <t>1251121467657</t>
  </si>
  <si>
    <t>Thép cuộn cán nóng 2.40x1270 SAE1006</t>
  </si>
  <si>
    <t>1251121467640</t>
  </si>
  <si>
    <t>Thép cuộn cán nóng 2.75x1270 SAE1006 II</t>
  </si>
  <si>
    <t>2.75×1270×C</t>
  </si>
  <si>
    <t>1251121467633</t>
  </si>
  <si>
    <t>Thép cuộn cán nóng 2.75x1270 SAE1006</t>
  </si>
  <si>
    <t>1251121467626</t>
  </si>
  <si>
    <t>Thép cuộn cán nóng 3.15x1270 SAE1006 II</t>
  </si>
  <si>
    <t>3.15×1270×C</t>
  </si>
  <si>
    <t>1251121467619</t>
  </si>
  <si>
    <t>Thép cuộn cán nóng 3.15x1270 SAE1006</t>
  </si>
  <si>
    <t>1251121467602</t>
  </si>
  <si>
    <t>Thép cuộn cán nóng 3.45x1270 SAE1006 II</t>
  </si>
  <si>
    <t>3.45×1270×C</t>
  </si>
  <si>
    <t>1251121467596</t>
  </si>
  <si>
    <t>Thép cuộn cán nóng 3.45x1270 SAE1006</t>
  </si>
  <si>
    <t>1251121467589</t>
  </si>
  <si>
    <t>Thép cuộn cán nóng 2.25x1260 SAE1006 II</t>
  </si>
  <si>
    <t>2.25×1260×C</t>
  </si>
  <si>
    <t>1251121467572</t>
  </si>
  <si>
    <t>Thép cuộn cán nóng 2.25x1260 SAE1006</t>
  </si>
  <si>
    <t>1251121467565</t>
  </si>
  <si>
    <t>Thép cuộn cán nóng 2.45x1241 SAE1006 II</t>
  </si>
  <si>
    <t>2.45×1241×C</t>
  </si>
  <si>
    <t>1251121467497</t>
  </si>
  <si>
    <t>Thép cuộn cán nóng 2.45x1241 SAE1006</t>
  </si>
  <si>
    <t>1251121467480</t>
  </si>
  <si>
    <t>Thép cuộn cán nóng 2.40x1219 SPHT1 II</t>
  </si>
  <si>
    <t>1251121467473</t>
  </si>
  <si>
    <t>Thép cuộn cán nóng 2.40x1219 SPHT1</t>
  </si>
  <si>
    <t>1251121467466</t>
  </si>
  <si>
    <t>Thép cuộn cán nóng 2.95x1219 SPHT1 II</t>
  </si>
  <si>
    <t>1251121467459</t>
  </si>
  <si>
    <t>Thép cuộn cán nóng 2.95x1219 SPHT1</t>
  </si>
  <si>
    <t>1251121467442</t>
  </si>
  <si>
    <t>Thép cuộn cán nóng 3.65x1219 SPHT1 II</t>
  </si>
  <si>
    <t>1251121467435</t>
  </si>
  <si>
    <t>Thép cuộn cán nóng 3.65x1219 SPHT1</t>
  </si>
  <si>
    <t>1251121467428</t>
  </si>
  <si>
    <t>Thép cuộn cán nóng 2.10x1230 SAE1006 II</t>
  </si>
  <si>
    <t>2.10×1230×C</t>
  </si>
  <si>
    <t>1251121467312</t>
  </si>
  <si>
    <t>Thép cuộn cán nóng 2.10x1230 SAE1006</t>
  </si>
  <si>
    <t>1251121467305</t>
  </si>
  <si>
    <t>Thép cuộn cán nóng 2.00x1214 SAE1006 II</t>
  </si>
  <si>
    <t>2.00×1214×C</t>
  </si>
  <si>
    <t>1251121467275</t>
  </si>
  <si>
    <t>Thép cuộn cán nóng 2.30x1214 SAE1006 II</t>
  </si>
  <si>
    <t>2.30×1214×C</t>
  </si>
  <si>
    <t>1251121467268</t>
  </si>
  <si>
    <t>Thép cuộn cán nóng 2.30x1214 SAE1006</t>
  </si>
  <si>
    <t>1251121467251</t>
  </si>
  <si>
    <t>Deleted</t>
  </si>
  <si>
    <t>1251121467244</t>
  </si>
  <si>
    <t>Thép cuộn cán nóng 2.00x1214 SAE1006</t>
  </si>
  <si>
    <t>1251121467237</t>
  </si>
  <si>
    <t>Thép cuộn cán nóng 2.30x1219 SAE1008 II</t>
  </si>
  <si>
    <t>1251121467183</t>
  </si>
  <si>
    <t>Thép cuộn cán nóng 2.30x1219 SAE1008</t>
  </si>
  <si>
    <t>1251121467176</t>
  </si>
  <si>
    <t>Thép cuộn cán nóng 3.00x1219 SAE1008 II</t>
  </si>
  <si>
    <t>1251121467169</t>
  </si>
  <si>
    <t>Thép cuộn cán nóng 3.00x1219 SAE1008</t>
  </si>
  <si>
    <t>1251121467152</t>
  </si>
  <si>
    <t>Thép cuộn cán nóng 3.15x1200 SAE1006 II</t>
  </si>
  <si>
    <t>1251121467121</t>
  </si>
  <si>
    <t>Thép cuộn cán nóng 3.15x1200 SAE1006</t>
  </si>
  <si>
    <t>1251121467114</t>
  </si>
  <si>
    <t>Thép cuộn cán nóng 4.76x1219 ASTM A36 II</t>
  </si>
  <si>
    <t>1251121467053</t>
  </si>
  <si>
    <t>Thép cuộn cán nóng 4.76x1219 ASTM A36</t>
  </si>
  <si>
    <t>1251121467046</t>
  </si>
  <si>
    <t>Thép cuộn cán nóng 3.42x1219 ASTM A36 II</t>
  </si>
  <si>
    <t>1251121467039</t>
  </si>
  <si>
    <t>Thép cuộn cán nóng 3.42x1219 ASTM A36</t>
  </si>
  <si>
    <t>1251121467022</t>
  </si>
  <si>
    <t>Thép cuộn cán nóng 3.40x1219 SAE1008 II</t>
  </si>
  <si>
    <t>1251121467015</t>
  </si>
  <si>
    <t>Thép cuộn cán nóng 3.40x1219 SAE1008</t>
  </si>
  <si>
    <t>1251121467008</t>
  </si>
  <si>
    <t>Thép cuộn cán nóng 2.66x1219 SAE1008 II</t>
  </si>
  <si>
    <t>1251121466995</t>
  </si>
  <si>
    <t>Thép cuộn cán nóng 2.66x1219 SAE1008</t>
  </si>
  <si>
    <t>1251121466988</t>
  </si>
  <si>
    <t>Thép cuộn cán nóng 2.00x1219 SAE1008 II</t>
  </si>
  <si>
    <t>1251121466971</t>
  </si>
  <si>
    <t>Thép cuộn cán nóng 2.00x1219 SAE1008</t>
  </si>
  <si>
    <t>1251121466964</t>
  </si>
  <si>
    <t>Thép cuộn cán nóng 9.52x1219 SAE1006 II</t>
  </si>
  <si>
    <t>1251121466957</t>
  </si>
  <si>
    <t>Thép cuộn cán nóng 9.52x1219 SAE1006</t>
  </si>
  <si>
    <t>1251121466940</t>
  </si>
  <si>
    <t>Thép cuộn cán nóng 7.92x1219 SAE1006 II</t>
  </si>
  <si>
    <t>1251121466933</t>
  </si>
  <si>
    <t>Thép cuộn cán nóng 7.92x1219 SAE1006</t>
  </si>
  <si>
    <t>1251121466926</t>
  </si>
  <si>
    <t>Thép cuộn cán nóng 4.60x1219 SAE1006 II</t>
  </si>
  <si>
    <t>4.60×1219×C</t>
  </si>
  <si>
    <t>1251121466919</t>
  </si>
  <si>
    <t>Thép cuộn cán nóng 4.60x1219 SAE1006</t>
  </si>
  <si>
    <t>1251121466902</t>
  </si>
  <si>
    <t>Thép cuộn cán nóng 2.86x1250 SAE1006 II</t>
  </si>
  <si>
    <t>2.86×1250×C</t>
  </si>
  <si>
    <t>1251121466896</t>
  </si>
  <si>
    <t>Thép cuộn cán nóng 2.86x1250 SAE1006</t>
  </si>
  <si>
    <t>1251121466889</t>
  </si>
  <si>
    <t>Thép cuộn cán nóng 2.00x1201 SAE1006 II</t>
  </si>
  <si>
    <t>2.00×1201×C</t>
  </si>
  <si>
    <t>1251121466872</t>
  </si>
  <si>
    <t>Thép cuộn cán nóng 2.00x1201 SAE1006</t>
  </si>
  <si>
    <t>1251121466865</t>
  </si>
  <si>
    <t>Thép cuộn cán nóng 2.26x1200 SAE1006 II</t>
  </si>
  <si>
    <t>2.26×1200×C</t>
  </si>
  <si>
    <t>1251121466858</t>
  </si>
  <si>
    <t>Thép cuộn cán nóng 2.26x1200 SAE1006</t>
  </si>
  <si>
    <t>1251121466841</t>
  </si>
  <si>
    <t>Thép cuộn cán nóng 2.20x1236 SAE1006 II</t>
  </si>
  <si>
    <t>2.20×1236×C</t>
  </si>
  <si>
    <t>1251121466834</t>
  </si>
  <si>
    <t>Thép cuộn cán nóng 2.20x1236 SAE1006</t>
  </si>
  <si>
    <t>1251121466827</t>
  </si>
  <si>
    <t>Thép cuộn cán nóng 2.47x1260 SAE1006 II</t>
  </si>
  <si>
    <t>2.47×1260×C</t>
  </si>
  <si>
    <t>1251121466803</t>
  </si>
  <si>
    <t>Thép cuộn cán nóng 2.47x1260 SAE1006</t>
  </si>
  <si>
    <t>1251121466797</t>
  </si>
  <si>
    <t>Thép cuộn cán nóng 4.50x1219 SS400 II</t>
  </si>
  <si>
    <t>1251121466728</t>
  </si>
  <si>
    <t>Thép cuộn cán nóng 4.50x1219 SS400</t>
  </si>
  <si>
    <t>1251121466711</t>
  </si>
  <si>
    <t>Thép cuộn cán nóng 3.30x1262 SS400 II</t>
  </si>
  <si>
    <t>1251121466704</t>
  </si>
  <si>
    <t>Thép cuộn cán nóng 3.30x1262 SS400</t>
  </si>
  <si>
    <t>1251121466698</t>
  </si>
  <si>
    <t>Thép cuộn cán nóng 3.00x1262 SS400 II</t>
  </si>
  <si>
    <t>1251121466681</t>
  </si>
  <si>
    <t>Thép cuộn cán nóng 3.00x1262 SS400</t>
  </si>
  <si>
    <t>1251121466674</t>
  </si>
  <si>
    <t>Thép cuộn cán nóng 2.80x1262 SS400 II</t>
  </si>
  <si>
    <t>1251121466667</t>
  </si>
  <si>
    <t>Thép cuộn cán nóng 2.80x1262 SS400</t>
  </si>
  <si>
    <t>1251121466650</t>
  </si>
  <si>
    <t>Thép cuộn cán nóng 3.50x1234 SS400 II</t>
  </si>
  <si>
    <t>1251121466643</t>
  </si>
  <si>
    <t>Thép cuộn cán nóng 3.50x1234 SS400</t>
  </si>
  <si>
    <t>1251121466636</t>
  </si>
  <si>
    <t>Thép cuộn cán nóng 3.30x1234 SS400 II</t>
  </si>
  <si>
    <t>3.30×1234×C</t>
  </si>
  <si>
    <t>1251121466629</t>
  </si>
  <si>
    <t>Thép cuộn cán nóng 3.30x1234 SS400</t>
  </si>
  <si>
    <t>1251121466612</t>
  </si>
  <si>
    <t>Thép cuộn cán nóng 5.90x1420 SS400 II</t>
  </si>
  <si>
    <t>5.90×1420×C</t>
  </si>
  <si>
    <t>1251121466605</t>
  </si>
  <si>
    <t>Thép cuộn cán nóng 5.90x1420 SS400</t>
  </si>
  <si>
    <t>1251121466599</t>
  </si>
  <si>
    <t>Thép cuộn cán nóng 4.30x1420 SS400 II</t>
  </si>
  <si>
    <t>4.30×1420×C</t>
  </si>
  <si>
    <t>1251121466582</t>
  </si>
  <si>
    <t>Thép cuộn cán nóng 4.30x1420 SS400</t>
  </si>
  <si>
    <t>1251121466575</t>
  </si>
  <si>
    <t>Thép cuộn cán nóng 3.75x1420 SS400 II</t>
  </si>
  <si>
    <t>3.75×1420×C</t>
  </si>
  <si>
    <t>1251121466568</t>
  </si>
  <si>
    <t>Thép cuộn cán nóng 3.75x1420 SS400</t>
  </si>
  <si>
    <t>1251121466551</t>
  </si>
  <si>
    <t>Thép cuộn cán nóng 2.40x1250 SS400 II</t>
  </si>
  <si>
    <t>1251121466544</t>
  </si>
  <si>
    <t>Thép cuộn cán nóng 2.40x1250 SS400</t>
  </si>
  <si>
    <t>1251121466537</t>
  </si>
  <si>
    <t>Thép cuộn cán nóng 3.95x1270 SAE1006 II</t>
  </si>
  <si>
    <t>3.95×1270×C</t>
  </si>
  <si>
    <t>1251121466520</t>
  </si>
  <si>
    <t>Thép cuộn cán nóng 3.95x1270 SAE1006</t>
  </si>
  <si>
    <t>1251121466513</t>
  </si>
  <si>
    <t>Thép cuộn cán nóng 2.80x1250 SAE1006 II</t>
  </si>
  <si>
    <t>1251121466506</t>
  </si>
  <si>
    <t>Thép cuộn cán nóng 2.80x1250 SAE1006</t>
  </si>
  <si>
    <t>1251121466490</t>
  </si>
  <si>
    <t>Thép cuộn cán nóng 2.75x1200 SAE1006 II</t>
  </si>
  <si>
    <t>1251121466476</t>
  </si>
  <si>
    <t>Thép cuộn cán nóng 2.75x1200 SAE1006</t>
  </si>
  <si>
    <t>1251121466469</t>
  </si>
  <si>
    <t>Thép cuộn cán nóng 3.20x1200 SAE1006 II</t>
  </si>
  <si>
    <t>1251121466452</t>
  </si>
  <si>
    <t>Thép cuộn cán nóng 3.20x1200 SAE1006</t>
  </si>
  <si>
    <t>1251121466445</t>
  </si>
  <si>
    <t>Thép cuộn cán nóng 4.75x1219 SS 36 T2 II</t>
  </si>
  <si>
    <t>1251121466339</t>
  </si>
  <si>
    <t>Thép cuộn cán nóng 4.75x1219 SS 36 T2</t>
  </si>
  <si>
    <t>1251121466322</t>
  </si>
  <si>
    <t>Thép cuộn cán nóng 3.20x1219 SS400 II</t>
  </si>
  <si>
    <t>1251121466315</t>
  </si>
  <si>
    <t>Thép cuộn cán nóng 3.20x1219 SS400</t>
  </si>
  <si>
    <t>1251121466308</t>
  </si>
  <si>
    <t>Thép cuộn cán nóng 2.10x1219 SAE1006 II</t>
  </si>
  <si>
    <t>1251121466278</t>
  </si>
  <si>
    <t>Thép cuộn cán nóng 2.10x1219 SAE1006</t>
  </si>
  <si>
    <t>1251121466261</t>
  </si>
  <si>
    <t>Thép cuộn cán nóng 3.15x1262 SAE1006 II</t>
  </si>
  <si>
    <t>1251121466117</t>
  </si>
  <si>
    <t>Thép cuộn cán nóng 3.15x1262 SAE1006</t>
  </si>
  <si>
    <t>1251121466100</t>
  </si>
  <si>
    <t>Thép cuộn cán nóng 3.15x1234 SS400 II</t>
  </si>
  <si>
    <t>3.15×1234×C</t>
  </si>
  <si>
    <t>1251121466087</t>
  </si>
  <si>
    <t>Thép cuộn cán nóng 3.15x1234 SS400</t>
  </si>
  <si>
    <t>1251121466070</t>
  </si>
  <si>
    <t>Thép cuộn cán nóng 3.45x1234 SS400 II</t>
  </si>
  <si>
    <t>3.45×1234×C</t>
  </si>
  <si>
    <t>1251121466063</t>
  </si>
  <si>
    <t>Thép cuộn cán nóng 3.45x1234 SS400</t>
  </si>
  <si>
    <t>1251121466056</t>
  </si>
  <si>
    <t>Thép cuộn cán nóng 6.35x1219 SS 36 T2 II</t>
  </si>
  <si>
    <t>ASTM A1018</t>
  </si>
  <si>
    <t>1251121466049</t>
  </si>
  <si>
    <t>Thép cuộn cán nóng 6.35x1219 SS 36 T2</t>
  </si>
  <si>
    <t>1251121466032</t>
  </si>
  <si>
    <t>Thép cuộn cán nóng 4.76x1219 SS 36 T2 II</t>
  </si>
  <si>
    <t>1251121466025</t>
  </si>
  <si>
    <t>Thép cuộn cán nóng 4.76x1219 SS 36 T2</t>
  </si>
  <si>
    <t>1251121466018</t>
  </si>
  <si>
    <t>Thép cuộn cán nóng 2.10x1222 SAE1006 II</t>
  </si>
  <si>
    <t>2.10×1222×C</t>
  </si>
  <si>
    <t>1251121466001</t>
  </si>
  <si>
    <t>Thép cuộn cán nóng 2.10x1222 SAE1006</t>
  </si>
  <si>
    <t>1251121465998</t>
  </si>
  <si>
    <t>Thép cuộn cán nóng 2.85x1219 SAE1006 II</t>
  </si>
  <si>
    <t>2.85×1219×C</t>
  </si>
  <si>
    <t>1251121465981</t>
  </si>
  <si>
    <t>Thép cuộn cán nóng 2.85x1219 SAE1006</t>
  </si>
  <si>
    <t>1251121465974</t>
  </si>
  <si>
    <t>Thép cuộn cán nóng 2.55x1219 SAE1006 II</t>
  </si>
  <si>
    <t>2.55×1219×C</t>
  </si>
  <si>
    <t>1251121465967</t>
  </si>
  <si>
    <t>Thép cuộn cán nóng 2.55x1219 SAE1006</t>
  </si>
  <si>
    <t>1251121465950</t>
  </si>
  <si>
    <t>Thép cuộn cán nóng 2.40x1255 SAE1006 II</t>
  </si>
  <si>
    <t>2.40×1255×C</t>
  </si>
  <si>
    <t>1251121465943</t>
  </si>
  <si>
    <t>Thép cuộn cán nóng 2.40x1255 SAE1006</t>
  </si>
  <si>
    <t>1251121465936</t>
  </si>
  <si>
    <t>Thép cuộn cán nóng 3.30x1219 SAE1006 II</t>
  </si>
  <si>
    <t>1251121465929</t>
  </si>
  <si>
    <t>Thép cuộn cán nóng 3.30x1219 SAE1006</t>
  </si>
  <si>
    <t>1251121465912</t>
  </si>
  <si>
    <t>Thép cuộn cán nóng 4.70x1219 SAE1006 II</t>
  </si>
  <si>
    <t>1251121465905</t>
  </si>
  <si>
    <t>Thép cuộn cán nóng 4.70x1219 SAE1006</t>
  </si>
  <si>
    <t>1251121465899</t>
  </si>
  <si>
    <t>Thép cuộn cán nóng 6.20x1219 SAE1006 II</t>
  </si>
  <si>
    <t>1251121465882</t>
  </si>
  <si>
    <t>Thép cuộn cán nóng 6.20x1219 SAE1006</t>
  </si>
  <si>
    <t>1251121465875</t>
  </si>
  <si>
    <t>Thép cuộn cán nóng 9.40x1219 SAE1006 II</t>
  </si>
  <si>
    <t>9.40×1219×C</t>
  </si>
  <si>
    <t>1251121465868</t>
  </si>
  <si>
    <t>Thép cuộn cán nóng 9.40x1219 SAE1006</t>
  </si>
  <si>
    <t>1251121465851</t>
  </si>
  <si>
    <t>Thép cuộn cán nóng 6.25x1219 ASTM A36 II</t>
  </si>
  <si>
    <t>6.25×1219×C</t>
  </si>
  <si>
    <t>1251121465844</t>
  </si>
  <si>
    <t>Thép cuộn cán nóng 6.25x1219 ASTM A36</t>
  </si>
  <si>
    <t>1251121465837</t>
  </si>
  <si>
    <t>Thép cuộn cán nóng 7.70x1219 ASTM A36 II</t>
  </si>
  <si>
    <t>1251121465820</t>
  </si>
  <si>
    <t>Thép cuộn cán nóng 7.70x1219 ASTM A36</t>
  </si>
  <si>
    <t>1251121465813</t>
  </si>
  <si>
    <t>Thép cuộn cán nóng 9.30x1219 ASTM A36 II</t>
  </si>
  <si>
    <t>9.30×1219×C</t>
  </si>
  <si>
    <t>1251121465806</t>
  </si>
  <si>
    <t>Thép cuộn cán nóng 9.30x1219 ASTM A36</t>
  </si>
  <si>
    <t>1251121465790</t>
  </si>
  <si>
    <t>Thép cuộn cán nóng 7.95x1219 ASTM A36 II</t>
  </si>
  <si>
    <t>7.95×1219×C</t>
  </si>
  <si>
    <t>1251121465783</t>
  </si>
  <si>
    <t>Thép cuộn cán nóng 7.95x1219 ASTM A36</t>
  </si>
  <si>
    <t>1251121465776</t>
  </si>
  <si>
    <t>Thép cuộn cán nóng 6.10x1219 ASTM A36 II</t>
  </si>
  <si>
    <t>6.10×1219×C</t>
  </si>
  <si>
    <t>1251121465769</t>
  </si>
  <si>
    <t>Thép cuộn cán nóng 6.10x1219 ASTM A36</t>
  </si>
  <si>
    <t>1251121465752</t>
  </si>
  <si>
    <t>Thép cuộn cán nóng 4.55x1219 ASTM A36 II</t>
  </si>
  <si>
    <t>1251121465745</t>
  </si>
  <si>
    <t>Thép cuộn cán nóng 4.55x1219 ASTM A36</t>
  </si>
  <si>
    <t>1251121465738</t>
  </si>
  <si>
    <t>Thép cuộn cán nóng 3.25x1219 ASTM A36 II</t>
  </si>
  <si>
    <t>1251121465721</t>
  </si>
  <si>
    <t>Thép cuộn cán nóng 3.25x1219 ASTM A36</t>
  </si>
  <si>
    <t>1251121465714</t>
  </si>
  <si>
    <t>Thép cuộn cán nóng 2.85x1219 ASTM A36 II</t>
  </si>
  <si>
    <t>1251121465707</t>
  </si>
  <si>
    <t>Thép cuộn cán nóng 2.85x1219 ASTM A36</t>
  </si>
  <si>
    <t>1251121465691</t>
  </si>
  <si>
    <t>Thép cuộn cán nóng 2.45x1219 ASTM A36 II</t>
  </si>
  <si>
    <t>1251121465684</t>
  </si>
  <si>
    <t>Thép cuộn cán nóng 2.45x1219 ASTM A36</t>
  </si>
  <si>
    <t>1251121465677</t>
  </si>
  <si>
    <t>Thép cuộn cán nóng 3.20x1219 ASTM A36 II</t>
  </si>
  <si>
    <t>1251121465660</t>
  </si>
  <si>
    <t>Thép cuộn cán nóng 3.20x1219 ASTM A36</t>
  </si>
  <si>
    <t>1251121465653</t>
  </si>
  <si>
    <t>Thép cuộn cán nóng 4.50x1500 ASTM A36 II</t>
  </si>
  <si>
    <t>1251121465646</t>
  </si>
  <si>
    <t>Thép cuộn cán nóng 4.50x1500 ASTM A36</t>
  </si>
  <si>
    <t>1251121465639</t>
  </si>
  <si>
    <t>Thép cuộn cán nóng 9.40x1219 ASTM A36 II</t>
  </si>
  <si>
    <t>1251121465622</t>
  </si>
  <si>
    <t>Thép cuộn cán nóng 9.40x1219 ASTM A36</t>
  </si>
  <si>
    <t>1251121465615</t>
  </si>
  <si>
    <t>[D]Thép cuộn cán nóng 8.0x1250mm SAE1006</t>
  </si>
  <si>
    <t>1251120406268</t>
  </si>
  <si>
    <t>1251120406251</t>
  </si>
  <si>
    <t>[D]Thép cuộn cán nóng 5.0x1250mm SAE1006</t>
  </si>
  <si>
    <t>1251120406244</t>
  </si>
  <si>
    <t>1251120406237</t>
  </si>
  <si>
    <t>[D]Thép cuộn cán nóng 4.0x1250mm SAE1006</t>
  </si>
  <si>
    <t>1251120406220</t>
  </si>
  <si>
    <t>1251120406213</t>
  </si>
  <si>
    <t>[D]Thép cuộn cán nóng 3.0x1250mm SAE1006</t>
  </si>
  <si>
    <t>1251120406206</t>
  </si>
  <si>
    <t>[D]Thép cuộn cán nóng 2.3x1500mm SS400</t>
  </si>
  <si>
    <t>1251120406190</t>
  </si>
  <si>
    <t>[D]Thép cuộn cán nóng 2.3x1500mm SAE1006</t>
  </si>
  <si>
    <t>1251120406183</t>
  </si>
  <si>
    <t>[D]Thép cuộn cán nóng 2.3x1250mm SS400</t>
  </si>
  <si>
    <t>1251120406176</t>
  </si>
  <si>
    <t>[D]Thép cuộn cán nóng 2.3x1250mm SAE1006</t>
  </si>
  <si>
    <t>1251120406169</t>
  </si>
  <si>
    <t>[D]Thép cuộn cán nóng 2.0x1500mm SS400</t>
  </si>
  <si>
    <t>1251120406152</t>
  </si>
  <si>
    <t>1251120406145</t>
  </si>
  <si>
    <t>[D]Thép cuộn cán nóng 2.0x1250mm SAE1006</t>
  </si>
  <si>
    <t>1251120406138</t>
  </si>
  <si>
    <t>[D]Thép cuộn cán nóng 12.0x1500 SAE1006</t>
  </si>
  <si>
    <t>1251120406121</t>
  </si>
  <si>
    <t>[D]Thép cuộn cán nóng 1.8x1250mm SAE1006</t>
  </si>
  <si>
    <t>1251120406114</t>
  </si>
  <si>
    <t>[D]Thép cuộn cán nóng 1.5x1500mm SAE1006</t>
  </si>
  <si>
    <t>1251120406107</t>
  </si>
  <si>
    <t>[D]Thép cuộn cán nóng 1.5x1250mm SAE1006</t>
  </si>
  <si>
    <t>1251120406091</t>
  </si>
  <si>
    <t>Thép cuộn cán nóng 4.55x125X S235JR II</t>
  </si>
  <si>
    <t>4.55×1252×C</t>
  </si>
  <si>
    <t>EN10025-2</t>
  </si>
  <si>
    <t>1251121978511</t>
  </si>
  <si>
    <t>Thép cuộn cán nóng 2.42x126X SAE1006 II</t>
  </si>
  <si>
    <t>1251121978535</t>
  </si>
  <si>
    <t>Thép HRC HSPM 4.55x125X S235JR  II</t>
  </si>
  <si>
    <t>1251122114086</t>
  </si>
  <si>
    <t>Thép HRC HSPM 4.55x125X S235JR</t>
  </si>
  <si>
    <t>1251122114079</t>
  </si>
  <si>
    <t>Thép cuộn cán nóng 4.55x125X S235JR</t>
  </si>
  <si>
    <t>1251121978504</t>
  </si>
  <si>
    <t>Thép cuộn cán nóng 2.42x126X SAE1006</t>
  </si>
  <si>
    <t>1251121978528</t>
  </si>
  <si>
    <t>Thép cuộn cán nóng 11.70x1500 SS400</t>
  </si>
  <si>
    <t>1251121469088</t>
  </si>
  <si>
    <t>Thép cuộn cán nóng 4.90x1500 SS400 II</t>
  </si>
  <si>
    <t>1251121453001</t>
  </si>
  <si>
    <t>Thép cuộn cán nóng 4.90x1500 SS400</t>
  </si>
  <si>
    <t>1251121452943</t>
  </si>
  <si>
    <t>Thép cuộn cán nóng 9.80x1500 SS400</t>
  </si>
  <si>
    <t>1251121450901</t>
  </si>
  <si>
    <t>Thép cuộn cán nóng 7.80x1500 SS400 II</t>
  </si>
  <si>
    <t>7.80×1500×C</t>
  </si>
  <si>
    <t>1251121447161</t>
  </si>
  <si>
    <t>Thép cuộn cán nóng 7.80x1500 SS400</t>
  </si>
  <si>
    <t>1251121447123</t>
  </si>
  <si>
    <t>Thép cuộn cán nóng 7.00x150X SS400 II</t>
  </si>
  <si>
    <t>7.00×1502×C</t>
  </si>
  <si>
    <t>1251121977705</t>
  </si>
  <si>
    <t>Thép cuộn cán nóng 7.00x150X SS400</t>
  </si>
  <si>
    <t>1251121977699</t>
  </si>
  <si>
    <t>Thép cuộn cán nóng 20.00x1500 SS400 II</t>
  </si>
  <si>
    <t>20.00×1500×C</t>
  </si>
  <si>
    <t>1251121975510</t>
  </si>
  <si>
    <t>Thép cuộn cán nóng 20.00x1500 SS400</t>
  </si>
  <si>
    <t>1251121975503</t>
  </si>
  <si>
    <t>Thép HRC HSPM 2.00x149Y SPHC II</t>
  </si>
  <si>
    <t>2.00×1497×C</t>
  </si>
  <si>
    <t>1251122101048</t>
  </si>
  <si>
    <t>Thép HRC HSPM 2.00x149Y SPHC</t>
  </si>
  <si>
    <t>1251122101031</t>
  </si>
  <si>
    <t>Thép HRC HSPM 1.88x121Y SPHC II</t>
  </si>
  <si>
    <t>1251122101024</t>
  </si>
  <si>
    <t>Thép HRC HSPM 1.88x121Y SPHC</t>
  </si>
  <si>
    <t>1251122101017</t>
  </si>
  <si>
    <t>Thép HRC HSPM 1.78x121Y SPHC II</t>
  </si>
  <si>
    <t>1251122101000</t>
  </si>
  <si>
    <t>Thép HRC HSPM 1.78x121Y SPHC</t>
  </si>
  <si>
    <t>1251122100997</t>
  </si>
  <si>
    <t>Thép HRC HSPM 1.52x125X DD11 II</t>
  </si>
  <si>
    <t>1.52×1252×C</t>
  </si>
  <si>
    <t>1251122100980</t>
  </si>
  <si>
    <t>Thép HRC HSPM 1.52x125X DD11</t>
  </si>
  <si>
    <t>1251122100973</t>
  </si>
  <si>
    <t>Thép HRC HSPM 4.40x152X S275JR II</t>
  </si>
  <si>
    <t>1251122100966</t>
  </si>
  <si>
    <t>Thép HRC HSPM 4.40x152X S275JR</t>
  </si>
  <si>
    <t>1251122100959</t>
  </si>
  <si>
    <t>Thép HRC HSPM 4.20x152X S275JR II</t>
  </si>
  <si>
    <t>1251122100942</t>
  </si>
  <si>
    <t>Thép HRC HSPM 4.20x152X S275JR</t>
  </si>
  <si>
    <t>1251122100935</t>
  </si>
  <si>
    <t>Thép HRC HSPM 2.95x152X S275JR II</t>
  </si>
  <si>
    <t>1251122100928</t>
  </si>
  <si>
    <t>Thép HRC HSPM 2.95x152X S275JR</t>
  </si>
  <si>
    <t>1251122100911</t>
  </si>
  <si>
    <t>Thép HRC HSPM 4.75x134X S275JR II</t>
  </si>
  <si>
    <t>1251122100904</t>
  </si>
  <si>
    <t>Thép HRC HSPM 4.75x134X S275JR</t>
  </si>
  <si>
    <t>1251122100898</t>
  </si>
  <si>
    <t>Thép HRC HSPM 4.70x134X S275JR II</t>
  </si>
  <si>
    <t>1251122100881</t>
  </si>
  <si>
    <t>Thép HRC HSPM 4.70x134X S275JR</t>
  </si>
  <si>
    <t>1251122100874</t>
  </si>
  <si>
    <t>Thép HRC HSPM 4.20x134X S275JR II</t>
  </si>
  <si>
    <t>1251122100867</t>
  </si>
  <si>
    <t>Thép HRC HSPM 4.20x134X S275JR</t>
  </si>
  <si>
    <t>1251122100850</t>
  </si>
  <si>
    <t>Thép HRC HSPM 3.90x121Y S275JR II</t>
  </si>
  <si>
    <t>1251122100843</t>
  </si>
  <si>
    <t>Thép HRC HSPM 3.90x121Y S275JR</t>
  </si>
  <si>
    <t>1251122100836</t>
  </si>
  <si>
    <t>Thép HRC HSPM 2.95x121Y S275JR II</t>
  </si>
  <si>
    <t>1251122100829</t>
  </si>
  <si>
    <t>Thép HRC HSPM 2.95x121Y S275JR</t>
  </si>
  <si>
    <t>1251122100812</t>
  </si>
  <si>
    <t>Thép HRC HSPM 2.85x121Y S275JR II</t>
  </si>
  <si>
    <t>1251122100805</t>
  </si>
  <si>
    <t>Thép HRC HSPM 2.85x121Y S275JR</t>
  </si>
  <si>
    <t>1251122100799</t>
  </si>
  <si>
    <t>Thép HRC HSPM 2.75x121Y S275JR II</t>
  </si>
  <si>
    <t>1251122100782</t>
  </si>
  <si>
    <t>Thép HRC HSPM 2.75x121Y S275JR</t>
  </si>
  <si>
    <t>1251122100775</t>
  </si>
  <si>
    <t>Thép HRC HSPM 2.70x152X S275JR II</t>
  </si>
  <si>
    <t>1251122100768</t>
  </si>
  <si>
    <t>Thép HRC HSPM 2.70x152X S275JR</t>
  </si>
  <si>
    <t>1251122100751</t>
  </si>
  <si>
    <t>Thép HRC HSPM 1.90x121Y CS type B II</t>
  </si>
  <si>
    <t>1251122100744</t>
  </si>
  <si>
    <t>Thép HRC HSPM 1.90x121Y CS type B</t>
  </si>
  <si>
    <t>1251122100737</t>
  </si>
  <si>
    <t>Thép cuộn cán nóng 4.00x125X SAE1006 II</t>
  </si>
  <si>
    <t>1251121937846</t>
  </si>
  <si>
    <t>Thép cuộn cán nóng 4.00x125X SAE1006</t>
  </si>
  <si>
    <t>1251121937839</t>
  </si>
  <si>
    <t>Thép cuộn cán nóng 3.95x107X SAE1017 II</t>
  </si>
  <si>
    <t>1251121937822</t>
  </si>
  <si>
    <t>Thép cuộn cán nóng 3.95x107X SAE1017</t>
  </si>
  <si>
    <t>1251121937815</t>
  </si>
  <si>
    <t>Thép cuộn cán nóng 5.75x133Y S275JR II</t>
  </si>
  <si>
    <t>5.75×1337×C</t>
  </si>
  <si>
    <t>1251121937808</t>
  </si>
  <si>
    <t>Thép cuộn cán nóng 5.75x133Y S275JR</t>
  </si>
  <si>
    <t>1251121937792</t>
  </si>
  <si>
    <t>Thép cuộn cán nóng 3.90x140X S235JR II</t>
  </si>
  <si>
    <t>1251121937723</t>
  </si>
  <si>
    <t>Thép cuộn cán nóng 3.90x140X S235JR</t>
  </si>
  <si>
    <t>1251121937716</t>
  </si>
  <si>
    <t>Thép cuộn cán nóng 2.90x142Y S235JR II</t>
  </si>
  <si>
    <t>2.90×1427×C</t>
  </si>
  <si>
    <t>1251121937709</t>
  </si>
  <si>
    <t>Thép cuộn cán nóng 2.90x142Y S235JR</t>
  </si>
  <si>
    <t>1251121937693</t>
  </si>
  <si>
    <t>Thép cuộn cán nóng 2.45x142Y S235JR II</t>
  </si>
  <si>
    <t>2.45×1427×C</t>
  </si>
  <si>
    <t>1251121937686</t>
  </si>
  <si>
    <t>Thép cuộn cán nóng 2.45x142Y S235JR</t>
  </si>
  <si>
    <t>1251121937679</t>
  </si>
  <si>
    <t>Thép cuộn cán nóng 12.00x150X S235JR II</t>
  </si>
  <si>
    <t>1251121937662</t>
  </si>
  <si>
    <t>Thép cuộn cán nóng 12.00x150X S235JR</t>
  </si>
  <si>
    <t>1251121937655</t>
  </si>
  <si>
    <t>Thép cuộn cán nóng 10.00x150X S235JR II</t>
  </si>
  <si>
    <t>1251121937648</t>
  </si>
  <si>
    <t>Thép cuộn cán nóng 10.00x150X S235JR</t>
  </si>
  <si>
    <t>1251121937631</t>
  </si>
  <si>
    <t>Thép cuộn cán nóng 8.00x150X S235JR II</t>
  </si>
  <si>
    <t>1251121937624</t>
  </si>
  <si>
    <t>Thép cuộn cán nóng 8.00x150X S235JR</t>
  </si>
  <si>
    <t>1251121937617</t>
  </si>
  <si>
    <t>Thép cuộn cán nóng 3.60x150X S235JR II</t>
  </si>
  <si>
    <t>1251121937600</t>
  </si>
  <si>
    <t>Thép cuộn cán nóng 3.60x150X S235JR</t>
  </si>
  <si>
    <t>1251121937594</t>
  </si>
  <si>
    <t>Thép cuộn cán nóng 3.10x125X S235JR II</t>
  </si>
  <si>
    <t>1251121937587</t>
  </si>
  <si>
    <t>Thép cuộn cán nóng 3.10x125X S235JR</t>
  </si>
  <si>
    <t>1251121937570</t>
  </si>
  <si>
    <t>Thép cuộn cán nóng 3.62x150X S235JR II</t>
  </si>
  <si>
    <t>3.62×1502×C</t>
  </si>
  <si>
    <t>1251121937563</t>
  </si>
  <si>
    <t>Thép cuộn cán nóng 3.62x150X S235JR</t>
  </si>
  <si>
    <t>1251121937556</t>
  </si>
  <si>
    <t>Thép cuộn cán nóng 2.72x150X S235JR II</t>
  </si>
  <si>
    <t>2.72×1502×C</t>
  </si>
  <si>
    <t>1251121937549</t>
  </si>
  <si>
    <t>Thép cuộn cán nóng 2.72x150X S235JR</t>
  </si>
  <si>
    <t>1251121937532</t>
  </si>
  <si>
    <t>Thép cuộn cán nóng 3.70x150X S235JR II</t>
  </si>
  <si>
    <t>1251121937525</t>
  </si>
  <si>
    <t>Thép cuộn cán nóng 3.70x150X S235JR</t>
  </si>
  <si>
    <t>1251121937518</t>
  </si>
  <si>
    <t>Thép cuộn cán nóng 2.60x150X S235JR II</t>
  </si>
  <si>
    <t>1251121937501</t>
  </si>
  <si>
    <t>Thép cuộn cán nóng 2.60x150X S235JR</t>
  </si>
  <si>
    <t>1251121937495</t>
  </si>
  <si>
    <t>Thép cuộn cán nóng 2.95x120X SAE1006 II</t>
  </si>
  <si>
    <t>1251121937488</t>
  </si>
  <si>
    <t>Thép cuộn cán nóng 2.95x120X SAE1006</t>
  </si>
  <si>
    <t>1251121937471</t>
  </si>
  <si>
    <t>Thép cuộn cán nóng 2.70x120X BjPC II</t>
  </si>
  <si>
    <t>1251121937464</t>
  </si>
  <si>
    <t>Thép cuộn cán nóng 2.70x120X BjPC</t>
  </si>
  <si>
    <t>1251121937457</t>
  </si>
  <si>
    <t>Thép cuộn cán nóng 2.20x120X BjPC II</t>
  </si>
  <si>
    <t>1251121937440</t>
  </si>
  <si>
    <t>Thép cuộn cán nóng 2.20x120X BjPC</t>
  </si>
  <si>
    <t>1251121937433</t>
  </si>
  <si>
    <t>Thép cuộn cán nóng 2.95x125X DD11 II</t>
  </si>
  <si>
    <t>1251121937426</t>
  </si>
  <si>
    <t>Thép cuộn cán nóng 2.95x125X DD11</t>
  </si>
  <si>
    <t>1251121937419</t>
  </si>
  <si>
    <t>Thép cuộn cán nóng 2.00x125X DD11 II</t>
  </si>
  <si>
    <t>1251121937402</t>
  </si>
  <si>
    <t>Thép cuộn cán nóng 2.00x125X DD11</t>
  </si>
  <si>
    <t>1251121937396</t>
  </si>
  <si>
    <t>Thép cuộn cán nóng 1.52x125X DD11 II</t>
  </si>
  <si>
    <t>1251121937389</t>
  </si>
  <si>
    <t>Thép cuộn cán nóng 1.52x125X DD11</t>
  </si>
  <si>
    <t>1251121937372</t>
  </si>
  <si>
    <t>Thép cuộn cán nóng 4.40x121X SPHC II</t>
  </si>
  <si>
    <t>1251121937365</t>
  </si>
  <si>
    <t>Thép cuộn cán nóng 4.40x121X SPHC</t>
  </si>
  <si>
    <t>1251121937358</t>
  </si>
  <si>
    <t>Thép cuộn cán nóng 2.05x123X SPHC II</t>
  </si>
  <si>
    <t>2.05×1232×C</t>
  </si>
  <si>
    <t>1251121937341</t>
  </si>
  <si>
    <t>Thép cuộn cán nóng 2.05x123X SPHC</t>
  </si>
  <si>
    <t>1251121937334</t>
  </si>
  <si>
    <t>Thép cuộn cán nóng 2.40x137X SPHC II</t>
  </si>
  <si>
    <t>2.40×1372×C</t>
  </si>
  <si>
    <t>1251121937327</t>
  </si>
  <si>
    <t>Thép cuộn cán nóng 2.40x137X SPHC</t>
  </si>
  <si>
    <t>1251121937310</t>
  </si>
  <si>
    <t>Thép cuộn cán nóng 2.30x149Y SPHC II</t>
  </si>
  <si>
    <t>2.30×1497×C</t>
  </si>
  <si>
    <t>1251121937303</t>
  </si>
  <si>
    <t>Thép cuộn cán nóng 2.30x149Y SPHC</t>
  </si>
  <si>
    <t>1251121937297</t>
  </si>
  <si>
    <t>Thép cuộn cán nóng 2.00x149Y SPHC II</t>
  </si>
  <si>
    <t>1251121937280</t>
  </si>
  <si>
    <t>Thép cuộn cán nóng 2.00x149Y SPHC</t>
  </si>
  <si>
    <t>1251121937273</t>
  </si>
  <si>
    <t>Thép cuộn cán nóng 3.00x125X SPHC II</t>
  </si>
  <si>
    <t>1251121937266</t>
  </si>
  <si>
    <t>Thép cuộn cán nóng 3.00x125X SPHC</t>
  </si>
  <si>
    <t>1251121937259</t>
  </si>
  <si>
    <t>Thép cuộn cán nóng 2.50x125X SPHC II</t>
  </si>
  <si>
    <t>1251121937242</t>
  </si>
  <si>
    <t>Thép cuộn cán nóng 2.50x125X SPHC</t>
  </si>
  <si>
    <t>1251121937235</t>
  </si>
  <si>
    <t>Thép cuộn cán nóng 1.80x125X SPHC II</t>
  </si>
  <si>
    <t>1251121937228</t>
  </si>
  <si>
    <t>Thép cuộn cán nóng 1.80x125X SPHC</t>
  </si>
  <si>
    <t>1251121937211</t>
  </si>
  <si>
    <t>Thép cuộn cán nóng 5.95x150X S355JR II</t>
  </si>
  <si>
    <t>5.95×1502×C</t>
  </si>
  <si>
    <t>1251121937204</t>
  </si>
  <si>
    <t>Thép cuộn cán nóng 5.95x150X S355JR</t>
  </si>
  <si>
    <t>1251121937198</t>
  </si>
  <si>
    <t>Thép cuộn cán nóng 5.95x125X S355JR II</t>
  </si>
  <si>
    <t>5.95×1252×C</t>
  </si>
  <si>
    <t>1251121937181</t>
  </si>
  <si>
    <t>Thép cuộn cán nóng 5.95x125X S355JR</t>
  </si>
  <si>
    <t>1251121937174</t>
  </si>
  <si>
    <t>Thép cuộn cán nóng 4.95x150X S355JR II</t>
  </si>
  <si>
    <t>1251121937167</t>
  </si>
  <si>
    <t>Thép cuộn cán nóng 4.95x150X S355JR</t>
  </si>
  <si>
    <t>1251121937150</t>
  </si>
  <si>
    <t>Thép cuộn cán nóng 4.95x125X S355JR II</t>
  </si>
  <si>
    <t>4.95×1252×C</t>
  </si>
  <si>
    <t>1251121937143</t>
  </si>
  <si>
    <t>Thép cuộn cán nóng 4.95x125X S355JR</t>
  </si>
  <si>
    <t>1251121937136</t>
  </si>
  <si>
    <t>Thép cuộn cán nóng 3.95x150X S355JR II</t>
  </si>
  <si>
    <t>3.95×1502×C</t>
  </si>
  <si>
    <t>1251121937129</t>
  </si>
  <si>
    <t>Thép cuộn cán nóng 3.95x150X S355JR</t>
  </si>
  <si>
    <t>1251121937112</t>
  </si>
  <si>
    <t>Thép cuộn cán nóng 3.95x125X S355JR II</t>
  </si>
  <si>
    <t>1251121937105</t>
  </si>
  <si>
    <t>Thép cuộn cán nóng 3.95x125X S355JR</t>
  </si>
  <si>
    <t>1251121937099</t>
  </si>
  <si>
    <t>Thép cuộn cán nóng 6.00x125X S355JR II</t>
  </si>
  <si>
    <t>6.00×1252×C</t>
  </si>
  <si>
    <t>1251121937082</t>
  </si>
  <si>
    <t>Thép cuộn cán nóng 6.00x125X S355JR</t>
  </si>
  <si>
    <t>1251121937075</t>
  </si>
  <si>
    <t>Thép cuộn cán nóng 5.90x150X S355JR II</t>
  </si>
  <si>
    <t>1251121937068</t>
  </si>
  <si>
    <t>Thép cuộn cán nóng 5.90x150X S355JR</t>
  </si>
  <si>
    <t>1251121937051</t>
  </si>
  <si>
    <t>Thép cuộn cán nóng 2.50x150X S355JR II</t>
  </si>
  <si>
    <t>1251121937044</t>
  </si>
  <si>
    <t>Thép cuộn cán nóng 2.50x150X S355JR</t>
  </si>
  <si>
    <t>1251121937037</t>
  </si>
  <si>
    <t>Thép cuộn cán nóng 3.00x134Y S355JR II</t>
  </si>
  <si>
    <t>1251121937020</t>
  </si>
  <si>
    <t>Thép cuộn cán nóng 3.00x134Y S355JR</t>
  </si>
  <si>
    <t>1251121937013</t>
  </si>
  <si>
    <t>Thép cuộn cán nóng 4.00x124X S355JR II</t>
  </si>
  <si>
    <t>1251121937006</t>
  </si>
  <si>
    <t>Thép cuộn cán nóng 4.00x124X S355JR</t>
  </si>
  <si>
    <t>1251121936993</t>
  </si>
  <si>
    <t>Thép cuộn cán nóng 2.45x120X S355JR II</t>
  </si>
  <si>
    <t>1251121936986</t>
  </si>
  <si>
    <t>Thép cuộn cán nóng 2.45x120X S355JR</t>
  </si>
  <si>
    <t>1251121936979</t>
  </si>
  <si>
    <t>Thép cuộn cán nóng 11.90x150X S275JR II</t>
  </si>
  <si>
    <t>1251121936962</t>
  </si>
  <si>
    <t>Thép cuộn cán nóng 11.90x150X S275JR</t>
  </si>
  <si>
    <t>1251121936955</t>
  </si>
  <si>
    <t>Thép cuộn cán nóng 11.90x125X S275JR II</t>
  </si>
  <si>
    <t>1251121936948</t>
  </si>
  <si>
    <t>Thép cuộn cán nóng 11.90x125X S275JR</t>
  </si>
  <si>
    <t>1251121936931</t>
  </si>
  <si>
    <t>Thép cuộn cán nóng 9.95x150X S275JR II</t>
  </si>
  <si>
    <t>9.95×1502×C</t>
  </si>
  <si>
    <t>1251121936924</t>
  </si>
  <si>
    <t>Thép cuộn cán nóng 9.95x150X S275JR</t>
  </si>
  <si>
    <t>1251121936917</t>
  </si>
  <si>
    <t>Thép cuộn cán nóng 9.95x125X S275JR II</t>
  </si>
  <si>
    <t>9.95×1252×C</t>
  </si>
  <si>
    <t>1251121936900</t>
  </si>
  <si>
    <t>Thép cuộn cán nóng 9.95x125X S275JR</t>
  </si>
  <si>
    <t>1251121936894</t>
  </si>
  <si>
    <t>Thép cuộn cán nóng 7.95x150X S275JR II</t>
  </si>
  <si>
    <t>7.95×1502×C</t>
  </si>
  <si>
    <t>1251121936887</t>
  </si>
  <si>
    <t>Thép cuộn cán nóng 7.95x150X S275JR</t>
  </si>
  <si>
    <t>1251121936870</t>
  </si>
  <si>
    <t>Thép cuộn cán nóng 7.95x125X S275JR II</t>
  </si>
  <si>
    <t>7.95×1252×C</t>
  </si>
  <si>
    <t>1251121936863</t>
  </si>
  <si>
    <t>Thép cuộn cán nóng 7.95x125X S275JR</t>
  </si>
  <si>
    <t>1251121936856</t>
  </si>
  <si>
    <t>Thép cuộn cán nóng 5.95x150X S275JR II</t>
  </si>
  <si>
    <t>1251121936849</t>
  </si>
  <si>
    <t>Thép cuộn cán nóng 5.95x150X S275JR</t>
  </si>
  <si>
    <t>1251121936832</t>
  </si>
  <si>
    <t>Thép cuộn cán nóng 5.95x125X S275JR II</t>
  </si>
  <si>
    <t>1251121936825</t>
  </si>
  <si>
    <t>Thép cuộn cán nóng 5.95x125X S275JR</t>
  </si>
  <si>
    <t>1251121936818</t>
  </si>
  <si>
    <t>Thép cuộn cán nóng 4.95x125X S275JR II</t>
  </si>
  <si>
    <t>1251121936801</t>
  </si>
  <si>
    <t>Thép cuộn cán nóng 4.95x125X S275JR</t>
  </si>
  <si>
    <t>1251121936795</t>
  </si>
  <si>
    <t>Thép cuộn cán nóng 3.95x150X S275JR II</t>
  </si>
  <si>
    <t>1251121936788</t>
  </si>
  <si>
    <t>Thép cuộn cán nóng 3.95x150X S275JR</t>
  </si>
  <si>
    <t>1251121936771</t>
  </si>
  <si>
    <t>Thép cuộn cán nóng 3.95x125X S275JR II</t>
  </si>
  <si>
    <t>1251121936764</t>
  </si>
  <si>
    <t>Thép cuộn cán nóng 3.95x125X S275JR</t>
  </si>
  <si>
    <t>1251121936757</t>
  </si>
  <si>
    <t>Thép cuộn cán nóng 2.00x125X S275JR II</t>
  </si>
  <si>
    <t>1251121936740</t>
  </si>
  <si>
    <t>Thép cuộn cán nóng 2.00x125X S275JR</t>
  </si>
  <si>
    <t>1251121936733</t>
  </si>
  <si>
    <t>Thép cuộn cán nóng 5.50x151Y S275JR II</t>
  </si>
  <si>
    <t>5.50×1517×C</t>
  </si>
  <si>
    <t>1251121936726</t>
  </si>
  <si>
    <t>Thép cuộn cán nóng 5.50x151Y S275JR</t>
  </si>
  <si>
    <t>1251121936719</t>
  </si>
  <si>
    <t>Thép cuộn cán nóng 9.50x121Y S275JR II</t>
  </si>
  <si>
    <t>9.50×1217×C</t>
  </si>
  <si>
    <t>1251121936702</t>
  </si>
  <si>
    <t>Thép cuộn cán nóng 9.50x121Y S275JR</t>
  </si>
  <si>
    <t>1251121936696</t>
  </si>
  <si>
    <t>Thép cuộn cán nóng 5.50x121Y S275JR II</t>
  </si>
  <si>
    <t>5.50×1217×C</t>
  </si>
  <si>
    <t>1251121936689</t>
  </si>
  <si>
    <t>Thép cuộn cán nóng 5.50x121Y S275JR</t>
  </si>
  <si>
    <t>1251121936672</t>
  </si>
  <si>
    <t>Thép cuộn cán nóng 3.90x124Y S275JR II</t>
  </si>
  <si>
    <t>3.90×1247×C</t>
  </si>
  <si>
    <t>1251121936665</t>
  </si>
  <si>
    <t>Thép cuộn cán nóng 3.90x124Y S275JR</t>
  </si>
  <si>
    <t>1251121936658</t>
  </si>
  <si>
    <t>Thép cuộn cán nóng 8.70x121Y S275JR II</t>
  </si>
  <si>
    <t>8.70×1217×C</t>
  </si>
  <si>
    <t>1251121936641</t>
  </si>
  <si>
    <t>Thép cuộn cán nóng 8.70x121Y S275JR</t>
  </si>
  <si>
    <t>1251121936634</t>
  </si>
  <si>
    <t>Thép cuộn cán nóng 7.30x121Y S275JR II</t>
  </si>
  <si>
    <t>7.30×1217×C</t>
  </si>
  <si>
    <t>1251121936627</t>
  </si>
  <si>
    <t>Thép cuộn cán nóng 7.30x121Y S275JR</t>
  </si>
  <si>
    <t>1251121936610</t>
  </si>
  <si>
    <t>Thép cuộn cán nóng 7.30x152X S275JR II</t>
  </si>
  <si>
    <t>7.30×1522×C</t>
  </si>
  <si>
    <t>1251121936603</t>
  </si>
  <si>
    <t>Thép cuộn cán nóng 7.30x152X S275JR</t>
  </si>
  <si>
    <t>1251121936597</t>
  </si>
  <si>
    <t>Thép cuộn cán nóng 9.95x100X S275JR II</t>
  </si>
  <si>
    <t>9.95×1002×C</t>
  </si>
  <si>
    <t>1251121936580</t>
  </si>
  <si>
    <t>Thép cuộn cán nóng 9.95x100X S275JR</t>
  </si>
  <si>
    <t>1251121936573</t>
  </si>
  <si>
    <t>Thép cuộn cán nóng 7.95x100X S275JR II</t>
  </si>
  <si>
    <t>7.95×1002×C</t>
  </si>
  <si>
    <t>1251121936566</t>
  </si>
  <si>
    <t>Thép cuộn cán nóng 7.95x100X S275JR</t>
  </si>
  <si>
    <t>1251121936559</t>
  </si>
  <si>
    <t>Thép cuộn cán nóng 5.95x100X S275JR II</t>
  </si>
  <si>
    <t>5.95×1002×C</t>
  </si>
  <si>
    <t>1251121936542</t>
  </si>
  <si>
    <t>Thép cuộn cán nóng 5.95x100X S275JR</t>
  </si>
  <si>
    <t>1251121936535</t>
  </si>
  <si>
    <t>Thép cuộn cán nóng 4.95x100X S275JR II</t>
  </si>
  <si>
    <t>4.95×1002×C</t>
  </si>
  <si>
    <t>1251121936528</t>
  </si>
  <si>
    <t>Thép cuộn cán nóng 4.95x100X S275JR</t>
  </si>
  <si>
    <t>1251121936511</t>
  </si>
  <si>
    <t>Thép cuộn cán nóng 3.95x100X S275JR II</t>
  </si>
  <si>
    <t>3.95×1002×C</t>
  </si>
  <si>
    <t>1251121936504</t>
  </si>
  <si>
    <t>Thép cuộn cán nóng 3.95x100X S275JR</t>
  </si>
  <si>
    <t>1251121936498</t>
  </si>
  <si>
    <t>Thép cuộn cán nóng 2.95x100X S275JR II</t>
  </si>
  <si>
    <t>2.95×1002×C</t>
  </si>
  <si>
    <t>1251121936481</t>
  </si>
  <si>
    <t>Thép cuộn cán nóng 2.95x100X S275JR</t>
  </si>
  <si>
    <t>1251121936474</t>
  </si>
  <si>
    <t>Thép cuộn cán nóng 2.85x150X S275JR II</t>
  </si>
  <si>
    <t>1251121936467</t>
  </si>
  <si>
    <t>Thép cuộn cán nóng 2.85x150X S275JR</t>
  </si>
  <si>
    <t>1251121936450</t>
  </si>
  <si>
    <t>Thép cuộn cán nóng 2.50x125X S275JR II</t>
  </si>
  <si>
    <t>1251121936443</t>
  </si>
  <si>
    <t>Thép cuộn cán nóng 2.50x125X S275JR</t>
  </si>
  <si>
    <t>1251121936436</t>
  </si>
  <si>
    <t>Thép cuộn cán nóng 2.70x147X S275JR II</t>
  </si>
  <si>
    <t>2.70×1472×C</t>
  </si>
  <si>
    <t>1251121936429</t>
  </si>
  <si>
    <t>Thép cuộn cán nóng 2.70x147X S275JR</t>
  </si>
  <si>
    <t>1251121936412</t>
  </si>
  <si>
    <t>Thép cuộn cán nóng 7.00x150X S275JR II</t>
  </si>
  <si>
    <t>1251121936405</t>
  </si>
  <si>
    <t>Thép cuộn cán nóng 7.00x150X S275JR</t>
  </si>
  <si>
    <t>1251121936399</t>
  </si>
  <si>
    <t>Thép cuộn cán nóng 3.50x150X S275JR II</t>
  </si>
  <si>
    <t>1251121936382</t>
  </si>
  <si>
    <t>Thép cuộn cán nóng 3.50x150X S275JR</t>
  </si>
  <si>
    <t>1251121936375</t>
  </si>
  <si>
    <t>Thép cuộn cán nóng 2.50x150X S275JR II</t>
  </si>
  <si>
    <t>1251121936368</t>
  </si>
  <si>
    <t>Thép cuộn cán nóng 2.50x150X S275JR</t>
  </si>
  <si>
    <t>1251121936351</t>
  </si>
  <si>
    <t>Thép cuộn cán nóng 5.00x147X S275JR II</t>
  </si>
  <si>
    <t>5.00×1472×C</t>
  </si>
  <si>
    <t>1251121936344</t>
  </si>
  <si>
    <t>Thép cuộn cán nóng 5.00x147X S275JR</t>
  </si>
  <si>
    <t>1251121936337</t>
  </si>
  <si>
    <t>Thép cuộn cán nóng 3.00x147X S275JR II</t>
  </si>
  <si>
    <t>3.00×1472×C</t>
  </si>
  <si>
    <t>1251121936320</t>
  </si>
  <si>
    <t>Thép cuộn cán nóng 3.00x147X S275JR</t>
  </si>
  <si>
    <t>1251121936313</t>
  </si>
  <si>
    <t>Thép cuộn cán nóng 7.75x151Y S275JR II</t>
  </si>
  <si>
    <t>7.75×1517×C</t>
  </si>
  <si>
    <t>1251121982211</t>
  </si>
  <si>
    <t>Thép cuộn cán nóng 8.54x151Y S275JR II</t>
  </si>
  <si>
    <t>8.54×1517×C</t>
  </si>
  <si>
    <t>1251121982235</t>
  </si>
  <si>
    <t>Thép cuộn cán nóng 8.65x151Y S275JR II</t>
  </si>
  <si>
    <t>8.65×1517×C</t>
  </si>
  <si>
    <t>1251121982259</t>
  </si>
  <si>
    <t>Thép cuộn cán nóng 2.72x152X S275JR II</t>
  </si>
  <si>
    <t>2.72×1522×C</t>
  </si>
  <si>
    <t>1251121982310</t>
  </si>
  <si>
    <t>Thép cuộn cán nóng 4.68x152X S275JR II</t>
  </si>
  <si>
    <t>4.68×1522×C</t>
  </si>
  <si>
    <t>1251121982334</t>
  </si>
  <si>
    <t>Thép cuộn cán nóng 4.80x152X S275JR II</t>
  </si>
  <si>
    <t>4.80×1522×C</t>
  </si>
  <si>
    <t>1251121982358</t>
  </si>
  <si>
    <t>Thép cuộn cán nóng 5.82x152X S275JR II</t>
  </si>
  <si>
    <t>5.82×1522×C</t>
  </si>
  <si>
    <t>1251121982372</t>
  </si>
  <si>
    <t>Thép cuộn cán nóng 7.75x152X S275JR II</t>
  </si>
  <si>
    <t>7.75×1522×C</t>
  </si>
  <si>
    <t>1251121982396</t>
  </si>
  <si>
    <t>Thép cuộn cán nóng 8.73x152X S275JR II</t>
  </si>
  <si>
    <t>8.73×1522×C</t>
  </si>
  <si>
    <t>1251121982419</t>
  </si>
  <si>
    <t>Thép cuộn cán nóng 2.50x123X SAE1008 II</t>
  </si>
  <si>
    <t>1251121982433</t>
  </si>
  <si>
    <t>Thép cuộn cán nóng 3.00x123X SAE1008 II</t>
  </si>
  <si>
    <t>1251121982457</t>
  </si>
  <si>
    <t>Thép cuộn cán nóng 2.00x132Y SAE1006 II</t>
  </si>
  <si>
    <t>2.00×1327×C</t>
  </si>
  <si>
    <t>1251121982471</t>
  </si>
  <si>
    <t>Thép cuộn cán nóng 11.50x151Y S275JR II</t>
  </si>
  <si>
    <t>11.50X1517×C</t>
  </si>
  <si>
    <t>1251121982273</t>
  </si>
  <si>
    <t>Thép cuộn cán nóng 11.65x151Y S275JR II</t>
  </si>
  <si>
    <t>11.65X1517×C</t>
  </si>
  <si>
    <t>1251121982297</t>
  </si>
  <si>
    <t>Thép HRC HSPM 2.72x152X S275JR  II</t>
  </si>
  <si>
    <t>1251122114604</t>
  </si>
  <si>
    <t>Thép HRC HSPM 4.68x152X S275JR  II</t>
  </si>
  <si>
    <t>1251122114628</t>
  </si>
  <si>
    <t>Thép HRC HSPM 4.80x152X S275JR  II</t>
  </si>
  <si>
    <t>1251122114642</t>
  </si>
  <si>
    <t>Thép cuộn cán nóng 7.75x151Y S275JR</t>
  </si>
  <si>
    <t>1251121982204</t>
  </si>
  <si>
    <t>Thép cuộn cán nóng 8.54x151Y S275JR</t>
  </si>
  <si>
    <t>1251121982228</t>
  </si>
  <si>
    <t>Thép cuộn cán nóng 8.65x151Y S275JR</t>
  </si>
  <si>
    <t>1251121982242</t>
  </si>
  <si>
    <t>Thép cuộn cán nóng 11.50x151Y S275JR</t>
  </si>
  <si>
    <t>1251121982266</t>
  </si>
  <si>
    <t>Thép cuộn cán nóng 11.65x151Y S275JR</t>
  </si>
  <si>
    <t>1251121982280</t>
  </si>
  <si>
    <t>Thép cuộn cán nóng 2.72x152X S275JR</t>
  </si>
  <si>
    <t>1251121982303</t>
  </si>
  <si>
    <t>Thép cuộn cán nóng 4.68x152X S275JR</t>
  </si>
  <si>
    <t>1251121982327</t>
  </si>
  <si>
    <t>Thép cuộn cán nóng 4.80x152X S275JR</t>
  </si>
  <si>
    <t>1251121982341</t>
  </si>
  <si>
    <t>Thép cuộn cán nóng 5.82x152X S275JR</t>
  </si>
  <si>
    <t>1251121982365</t>
  </si>
  <si>
    <t>Thép cuộn cán nóng 7.75x152X S275JR</t>
  </si>
  <si>
    <t>1251121982389</t>
  </si>
  <si>
    <t>Thép cuộn cán nóng 8.73x152X S275JR</t>
  </si>
  <si>
    <t>1251121982402</t>
  </si>
  <si>
    <t>Thép cuộn cán nóng 2.50x123X SAE1008</t>
  </si>
  <si>
    <t>1251121982426</t>
  </si>
  <si>
    <t>Thép cuộn cán nóng 3.00x123X SAE1008</t>
  </si>
  <si>
    <t>1251121982440</t>
  </si>
  <si>
    <t>Thép cuộn cán nóng 2.00x132Y SAE1006</t>
  </si>
  <si>
    <t>1251121982464</t>
  </si>
  <si>
    <t>Thép HRC HSPM 2.72x152X S275JR</t>
  </si>
  <si>
    <t>1251122114598</t>
  </si>
  <si>
    <t>Thép HRC HSPM 4.68x152X S275JR</t>
  </si>
  <si>
    <t>1251122114611</t>
  </si>
  <si>
    <t>Thép HRC HSPM 4.80x152X S275JR</t>
  </si>
  <si>
    <t>1251122114635</t>
  </si>
  <si>
    <t>Thép cuộn cán nóng 3.00x131X S235JR II</t>
  </si>
  <si>
    <t>1251121984352</t>
  </si>
  <si>
    <t>Thép cuộn cán nóng 3.00x142Y S235JR II</t>
  </si>
  <si>
    <t>3.00×1427×C</t>
  </si>
  <si>
    <t>1251121984376</t>
  </si>
  <si>
    <t>Thép HRC HSPM 3.00x150X S235JR  II</t>
  </si>
  <si>
    <t>1251122114949</t>
  </si>
  <si>
    <t>Thép HRC HSPM 4.00x150X S235JR  II</t>
  </si>
  <si>
    <t>1251122114963</t>
  </si>
  <si>
    <t>Thép HRC HSPM 2.80x150X SS400  II</t>
  </si>
  <si>
    <t>1251122114987</t>
  </si>
  <si>
    <t>Thép cuộn cán nóng 3.00x131X S235JR</t>
  </si>
  <si>
    <t>1251121984345</t>
  </si>
  <si>
    <t>Thép cuộn cán nóng 3.00x142Y S235JR</t>
  </si>
  <si>
    <t>1251121984369</t>
  </si>
  <si>
    <t>Thép HRC HSPM 3.00x150X S235JR</t>
  </si>
  <si>
    <t>1251122114932</t>
  </si>
  <si>
    <t>Thép HRC HSPM 4.00x150X S235JR</t>
  </si>
  <si>
    <t>1251122114956</t>
  </si>
  <si>
    <t>Thép HRC HSPM 2.80x150X SS400</t>
  </si>
  <si>
    <t>1251122114970</t>
  </si>
  <si>
    <t>Thép cuộn cán nóng 2.45x121Y SS400 II</t>
  </si>
  <si>
    <t>1251121985380</t>
  </si>
  <si>
    <t>Thép cuộn cán nóng 2.95x121Y SS400 II</t>
  </si>
  <si>
    <t>1251121985403</t>
  </si>
  <si>
    <t>Thép cuộn cán nóng 3.20x111X SAE1006 II</t>
  </si>
  <si>
    <t>3.20×1112×C</t>
  </si>
  <si>
    <t>1251121985427</t>
  </si>
  <si>
    <t>Thép cuộn cán nóng 6.10x125X SPHC II</t>
  </si>
  <si>
    <t>6.10×1252×C</t>
  </si>
  <si>
    <t>1251121985441</t>
  </si>
  <si>
    <t>Thép cuộn cán nóng 3.80x105X SAE1006 II</t>
  </si>
  <si>
    <t>3.80×1052×C</t>
  </si>
  <si>
    <t>1251121985465</t>
  </si>
  <si>
    <t>Thép cuộn cán nóng 2.45x121Y SS400</t>
  </si>
  <si>
    <t>1251121985373</t>
  </si>
  <si>
    <t>Thép cuộn cán nóng 2.95x121Y SS400</t>
  </si>
  <si>
    <t>1251121985397</t>
  </si>
  <si>
    <t>Thép cuộn cán nóng 3.20x111X SAE1006</t>
  </si>
  <si>
    <t>1251121985410</t>
  </si>
  <si>
    <t>Thép cuộn cán nóng 6.10x125X SPHC</t>
  </si>
  <si>
    <t>1251121985434</t>
  </si>
  <si>
    <t>Thép cuộn cán nóng 3.80x105X SAE1006</t>
  </si>
  <si>
    <t>1251121985458</t>
  </si>
  <si>
    <t>Thép cuộn cán nóng 4.00x142Y S235JR II</t>
  </si>
  <si>
    <t>4.00×1427×C</t>
  </si>
  <si>
    <t>1251121985526</t>
  </si>
  <si>
    <t>Thép cuộn cán nóng 4.00x142Y S235JR</t>
  </si>
  <si>
    <t>1251121985519</t>
  </si>
  <si>
    <t>Thép cuộn cán nóng 2.85x126X SAE1006 II</t>
  </si>
  <si>
    <t>1251121985649</t>
  </si>
  <si>
    <t>Thép cuộn cán nóng 3.05x126X SAE1006 II</t>
  </si>
  <si>
    <t>3.05×1262×C</t>
  </si>
  <si>
    <t>1251121985663</t>
  </si>
  <si>
    <t>Thép cuộn cán nóng 4.30x139X SAE1006 II</t>
  </si>
  <si>
    <t>4.30×1392×C</t>
  </si>
  <si>
    <t>1251121985687</t>
  </si>
  <si>
    <t>Thép cuộn cán nóng 4.40x126X SAE1006 II</t>
  </si>
  <si>
    <t>4.40×1262×C</t>
  </si>
  <si>
    <t>1251121985700</t>
  </si>
  <si>
    <t>Thép cuộn cán nóng 4.70x126X SAE1006 II</t>
  </si>
  <si>
    <t>4.70×1262×C</t>
  </si>
  <si>
    <t>1251121985724</t>
  </si>
  <si>
    <t>Thép cuộn cán nóng 5.10x126X SAE1006 II</t>
  </si>
  <si>
    <t>5.10×1262×C</t>
  </si>
  <si>
    <t>1251121985748</t>
  </si>
  <si>
    <t>Thép cuộn cán nóng 5.40x126X SAE1006 II</t>
  </si>
  <si>
    <t>5.40×1262×C</t>
  </si>
  <si>
    <t>1251121985762</t>
  </si>
  <si>
    <t>Thép cuộn cán nóng 2.85x126X SAE1006</t>
  </si>
  <si>
    <t>1251121985632</t>
  </si>
  <si>
    <t>Thép cuộn cán nóng 3.05x126X SAE1006</t>
  </si>
  <si>
    <t>1251121985656</t>
  </si>
  <si>
    <t>Thép cuộn cán nóng 4.30x139X SAE1006</t>
  </si>
  <si>
    <t>1251121985670</t>
  </si>
  <si>
    <t>Thép cuộn cán nóng 4.40x126X SAE1006</t>
  </si>
  <si>
    <t>1251121985694</t>
  </si>
  <si>
    <t>Thép cuộn cán nóng 4.70x126X SAE1006</t>
  </si>
  <si>
    <t>1251121985717</t>
  </si>
  <si>
    <t>Thép cuộn cán nóng 5.10x126X SAE1006</t>
  </si>
  <si>
    <t>1251121985731</t>
  </si>
  <si>
    <t>Thép cuộn cán nóng 5.40x126X SAE1006</t>
  </si>
  <si>
    <t>1251121985755</t>
  </si>
  <si>
    <r>
      <t xml:space="preserve">   BM.04D/QT.05
</t>
    </r>
    <r>
      <rPr>
        <b/>
        <i/>
        <sz val="12"/>
        <color theme="1"/>
        <rFont val="Times New Roman"/>
        <family val="1"/>
      </rPr>
      <t>Ngày hiệu lực:</t>
    </r>
    <r>
      <rPr>
        <b/>
        <sz val="12"/>
        <color theme="1"/>
        <rFont val="Times New Roman"/>
        <family val="1"/>
      </rPr>
      <t xml:space="preserve"> 06/06/2025
</t>
    </r>
    <r>
      <rPr>
        <b/>
        <i/>
        <sz val="12"/>
        <color theme="1"/>
        <rFont val="Times New Roman"/>
        <family val="1"/>
      </rPr>
      <t>Lần sửa đổi:</t>
    </r>
    <r>
      <rPr>
        <b/>
        <sz val="12"/>
        <color theme="1"/>
        <rFont val="Times New Roman"/>
        <family val="1"/>
      </rPr>
      <t xml:space="preserve"> 02</t>
    </r>
  </si>
  <si>
    <t xml:space="preserve">Số: 02.06.2025/LSX-PXC-NM.HRC1 </t>
  </si>
  <si>
    <t>- Bộ phận thực hiện: PXC-NM.HRC1</t>
  </si>
  <si>
    <t>- Thời gian hiệu lực: Từ 08h00, ngày 05/06/2025 đến 08h00, ngày 12/06/2025</t>
  </si>
  <si>
    <t>TT</t>
  </si>
  <si>
    <t>Thời gian dự kiến SX
Time/Date</t>
  </si>
  <si>
    <t>Sản phẩm/Product</t>
  </si>
  <si>
    <t>Phôi cán/Slab</t>
  </si>
  <si>
    <t>Yêu cầu đặc biệt</t>
  </si>
  <si>
    <t>Số Order number</t>
  </si>
  <si>
    <t>Số lô/
Batch</t>
  </si>
  <si>
    <t>KL Cuộn
(Tấn)</t>
  </si>
  <si>
    <t>Mục đích sử dụng</t>
  </si>
  <si>
    <t>Khối lượng cuộn trung bình</t>
  </si>
  <si>
    <t>Số lượng cuộn yêu cầu</t>
  </si>
  <si>
    <t>Số cuộn tối thiểu</t>
  </si>
  <si>
    <t>Số cuộn tối đa</t>
  </si>
  <si>
    <t>Kích cỡ
Dimension
T x W
(mmxmm)</t>
  </si>
  <si>
    <t>Mác thép
Steel grade</t>
  </si>
  <si>
    <t>Sản lượng
Quantity (tấn)</t>
  </si>
  <si>
    <t>Sản lượng
Quantity (cuộn)</t>
  </si>
  <si>
    <t>Sản lượng thực tế
Quantity (tấn)</t>
  </si>
  <si>
    <t>Sản lượng thực tế
Quantity (cuộn)</t>
  </si>
  <si>
    <t>Chênh lệch
(tấn)</t>
  </si>
  <si>
    <t>Chênh lệch
(cuộn)</t>
  </si>
  <si>
    <t>Đánh giá</t>
  </si>
  <si>
    <t>Cơ tính/Mechanical properties</t>
  </si>
  <si>
    <t>1A</t>
  </si>
  <si>
    <t>1B</t>
  </si>
  <si>
    <t>Yêu cầu</t>
  </si>
  <si>
    <t>Dung sai</t>
  </si>
  <si>
    <t>GHC
Re
(MPa)</t>
  </si>
  <si>
    <t>GHB
Rm
(Mpa)</t>
  </si>
  <si>
    <t>Giãn dài
El
(%)</t>
  </si>
  <si>
    <t>Độ cứng
Hardnes
(HRB)</t>
  </si>
  <si>
    <t>Mác phôi
Steel grade</t>
  </si>
  <si>
    <t>Kích thước (mmxmm)</t>
  </si>
  <si>
    <t>08h00 05/06/2025
- 
08h00
07/06/2025</t>
  </si>
  <si>
    <t>2.75x132Y</t>
  </si>
  <si>
    <t>SAE1006</t>
  </si>
  <si>
    <t>±0</t>
  </si>
  <si>
    <t>Đạt</t>
  </si>
  <si>
    <t>-</t>
  </si>
  <si>
    <t>≤65</t>
  </si>
  <si>
    <t>85x1330</t>
  </si>
  <si>
    <r>
      <t xml:space="preserve">Mục tiêu &lt;62HRB, đang khiếu nại rạn nứt khi uốn - </t>
    </r>
    <r>
      <rPr>
        <b/>
        <sz val="9"/>
        <color rgb="FFFF0000"/>
        <rFont val="Calibri Light"/>
        <family val="1"/>
        <scheme val="major"/>
      </rPr>
      <t>Trung gian (hạn chế)</t>
    </r>
  </si>
  <si>
    <t>20-24</t>
  </si>
  <si>
    <t>Tôn-Qua cán nguội</t>
  </si>
  <si>
    <t>±</t>
  </si>
  <si>
    <t>2.50x132Y</t>
  </si>
  <si>
    <t>±4</t>
  </si>
  <si>
    <t>Mục tiêu &lt;62HRB, đang khiếu nại rạn nứt khi uốn</t>
  </si>
  <si>
    <t>4.00x126X</t>
  </si>
  <si>
    <t>±2</t>
  </si>
  <si>
    <t>85x1270</t>
  </si>
  <si>
    <t>Chú ý rỗ xước bề mặt</t>
  </si>
  <si>
    <t>18-23</t>
  </si>
  <si>
    <t>3.80x126X</t>
  </si>
  <si>
    <t>3.20x126X</t>
  </si>
  <si>
    <t>±9</t>
  </si>
  <si>
    <t>3.00x126X</t>
  </si>
  <si>
    <t>±1</t>
  </si>
  <si>
    <t>18-24</t>
  </si>
  <si>
    <t>2.80x126X</t>
  </si>
  <si>
    <t>2.75x126Y</t>
  </si>
  <si>
    <t>2.50x126X</t>
  </si>
  <si>
    <t>±17</t>
  </si>
  <si>
    <t>Ưu tiên sx đầu chu kỳ</t>
  </si>
  <si>
    <t>19-22</t>
  </si>
  <si>
    <t>Ống-Qua cán nguội</t>
  </si>
  <si>
    <t>2.30x126Y</t>
  </si>
  <si>
    <t>2.30x126X</t>
  </si>
  <si>
    <t>2.00x126Y</t>
  </si>
  <si>
    <t>2.00x126X</t>
  </si>
  <si>
    <t>±7</t>
  </si>
  <si>
    <t>Chú ý rỗ xước bề mặt, Skin</t>
  </si>
  <si>
    <t>08h00 07/06/2025
- 
08h00
12/06/2025</t>
  </si>
  <si>
    <t>2.75x125X</t>
  </si>
  <si>
    <t>85x1260</t>
  </si>
  <si>
    <t>Trung gian (hạn chế)</t>
  </si>
  <si>
    <t>21-25</t>
  </si>
  <si>
    <t>2.50x125X</t>
  </si>
  <si>
    <t>2.30x125X</t>
  </si>
  <si>
    <t>2.00x125X</t>
  </si>
  <si>
    <t>±8</t>
  </si>
  <si>
    <t>3.95x123X</t>
  </si>
  <si>
    <t>85x1240</t>
  </si>
  <si>
    <t>≤23</t>
  </si>
  <si>
    <t>±6</t>
  </si>
  <si>
    <t xml:space="preserve">18-24 </t>
  </si>
  <si>
    <t>2.50x123X</t>
  </si>
  <si>
    <t>±27</t>
  </si>
  <si>
    <t>2.30x123X</t>
  </si>
  <si>
    <t>2.00x123X</t>
  </si>
  <si>
    <t>±3</t>
  </si>
  <si>
    <t>3.00x122X</t>
  </si>
  <si>
    <t>±10</t>
  </si>
  <si>
    <t>85x1230</t>
  </si>
  <si>
    <t>Không sản xuất vượt khối lượng</t>
  </si>
  <si>
    <t>21-24</t>
  </si>
  <si>
    <t>Ống -Qua cán nguội</t>
  </si>
  <si>
    <t>2.75x122X</t>
  </si>
  <si>
    <t>2.50x122X</t>
  </si>
  <si>
    <r>
      <t>Ghi chú:</t>
    </r>
    <r>
      <rPr>
        <sz val="10"/>
        <color rgb="FF000000"/>
        <rFont val="Times New Roman"/>
        <family val="1"/>
      </rPr>
      <t xml:space="preserve"> -  Cho phép cán lại phôi hồi lò đạt TPHH và không có các khuyết tật đúc nghiêm trọng như: ngậm xỉ sâu, nứt ngang, cong vênh ... 
-  Các chỉ tiêu chất lượng khác đánh giá theo TCNB.     MẶC ĐỊNH GIÁ TRỊ X=2, Y=7.
- Các sản phẩm với mục đích làm Tôn,ống-không cán lại, Ống Gi sản xuất đủ loại I theo LSX. Phân loại chất lượng sản phẩm theo phiếu YCCN số 264.2024 NM.HRC1./.
- Các sản phẩm với mục đích làm Cut sheet, kết cấu sản xuất đủ loại I theo LSX. Phân loại chất lượng sản phẩm theo phiếu YCCN số 248.2024 NM.HRC1./.</t>
    </r>
  </si>
  <si>
    <t>Quảng Ngãi, ngày 04 tháng 06 năm 2025</t>
  </si>
  <si>
    <r>
      <t xml:space="preserve"> </t>
    </r>
    <r>
      <rPr>
        <sz val="12"/>
        <color theme="1"/>
        <rFont val="Times New Roman"/>
        <family val="1"/>
      </rPr>
      <t xml:space="preserve"> </t>
    </r>
    <r>
      <rPr>
        <b/>
        <i/>
        <sz val="12"/>
        <color theme="1"/>
        <rFont val="Times New Roman"/>
        <family val="1"/>
      </rPr>
      <t>Nơi nhận</t>
    </r>
    <r>
      <rPr>
        <b/>
        <sz val="12"/>
        <color theme="1"/>
        <rFont val="Times New Roman"/>
        <family val="1"/>
      </rPr>
      <t xml:space="preserve">: </t>
    </r>
  </si>
  <si>
    <t>- Bộ phận thực hiện: XC-NM.HRC1</t>
  </si>
  <si>
    <t>KHÁCH HÀNG</t>
  </si>
  <si>
    <t>Số Order number
tháng 9</t>
  </si>
  <si>
    <t>Số lô/
Batch
tháng 9</t>
  </si>
  <si>
    <t>19-23</t>
  </si>
  <si>
    <t>QUA CÁN NGUỘI</t>
  </si>
  <si>
    <t>Tôn Đông Á</t>
  </si>
  <si>
    <t>Mục tiêu dung sai  khổ rộngMin: +7/+10mm, mục tiêu CW 21-23</t>
  </si>
  <si>
    <t>THÉP NĂM SAO</t>
  </si>
  <si>
    <t>Mục tiêu Min Dung sai khổ rộng: +3-10mm, mục tiêu CW 21-23</t>
  </si>
  <si>
    <t>NAM SƠN</t>
  </si>
  <si>
    <t>aiming CW&gt; 20 tấn, 80%</t>
  </si>
  <si>
    <t>Ống Thép Sài Gòn</t>
  </si>
  <si>
    <t>17-22</t>
  </si>
  <si>
    <t>Tôn-Ống_Qua cán nguội</t>
  </si>
  <si>
    <t>MINH PHÚ - HẢI DƯƠNG</t>
  </si>
  <si>
    <t>Ống Thép Hưng Yên</t>
  </si>
  <si>
    <t>18-24 (Aiming 20-22)</t>
  </si>
  <si>
    <t>Thép Việt Đức</t>
  </si>
  <si>
    <t>Nội Thất HPL</t>
  </si>
  <si>
    <t>Mục tiêu Min Dung sai khổ rộng +0 - +10mm, mục tiêu CW 21-23</t>
  </si>
  <si>
    <t>max 23</t>
  </si>
  <si>
    <t>Tôn Hòa Phát</t>
  </si>
  <si>
    <t>trung gian</t>
  </si>
  <si>
    <t xml:space="preserve"> </t>
  </si>
  <si>
    <t>T09 3b</t>
  </si>
  <si>
    <t>346.T03.2025/HPDQ-TNS-KH</t>
  </si>
  <si>
    <t>C1,D1</t>
  </si>
  <si>
    <t>No</t>
  </si>
  <si>
    <t>3.80</t>
  </si>
  <si>
    <t>123X</t>
  </si>
  <si>
    <t>T09.2025</t>
  </si>
  <si>
    <t>Qua cán nguội</t>
  </si>
  <si>
    <t>Thép cuộn cán nóng 3.80x125X SAE1006</t>
  </si>
  <si>
    <t>125X</t>
  </si>
  <si>
    <t>3.45</t>
  </si>
  <si>
    <t>3.15</t>
  </si>
  <si>
    <t>no</t>
  </si>
  <si>
    <t>3.00</t>
  </si>
  <si>
    <t>121Y</t>
  </si>
  <si>
    <t>543.T03.2025/HPDQ-NS-KH</t>
  </si>
  <si>
    <t>120X</t>
  </si>
  <si>
    <t>2.95</t>
  </si>
  <si>
    <t>546.T09.2025/HPDQ-HPL-KH</t>
  </si>
  <si>
    <t xml:space="preserve">C1 </t>
  </si>
  <si>
    <t>2.75</t>
  </si>
  <si>
    <t>126X</t>
  </si>
  <si>
    <t>503F.T08.2025/HPDQ-TMPHD-KH</t>
  </si>
  <si>
    <t>503A.T08.2025/HPDQ-TMPHD-KH</t>
  </si>
  <si>
    <t>586A.T10.2025/HPDQ-OTHY-KH</t>
  </si>
  <si>
    <t>121X</t>
  </si>
  <si>
    <t>2.50</t>
  </si>
  <si>
    <t>2.45</t>
  </si>
  <si>
    <t>497B1.T05.2025/HPDQ-OTSG-KH</t>
  </si>
  <si>
    <t>497B2.T05.2025/HPDQ-OTSG-KH</t>
  </si>
  <si>
    <t>2.40</t>
  </si>
  <si>
    <t>550A.T09.2025/HPDQ-TVĐ-KH</t>
  </si>
  <si>
    <t>2.30</t>
  </si>
  <si>
    <t>545.T09.2025/HPDQ-THP-KH</t>
  </si>
  <si>
    <t>2.25</t>
  </si>
  <si>
    <t>1251121988565</t>
  </si>
  <si>
    <t>563.T09.2025/KH/HPDQ-JFE(TDA)</t>
  </si>
  <si>
    <t>19-24mt (Aiming 20T)</t>
  </si>
  <si>
    <t>C1</t>
  </si>
  <si>
    <t>Yes</t>
  </si>
  <si>
    <t>TDC số: 25.01-SAE1006-HPDQ-TĐA, Kiểm soát khổ thực aiming +5 -&gt; +20mm</t>
  </si>
  <si>
    <t>3.30</t>
  </si>
  <si>
    <t>Sản phẩm cán</t>
  </si>
  <si>
    <t>582A.T09.2025/HPDQ-OTHY-KH</t>
  </si>
  <si>
    <t>18 - 25</t>
  </si>
  <si>
    <t>Si=&lt;0.03%; Si+2.5P=&lt;0.085%.</t>
  </si>
  <si>
    <t>582D.T09.2025/HPDQ-OTBD-KH</t>
  </si>
  <si>
    <t>520B.T08.2025/HPDQ-NK-KH</t>
  </si>
  <si>
    <t>18-25</t>
  </si>
  <si>
    <t>560A.T09.2025/HPDQ-HSNS-KH</t>
  </si>
  <si>
    <t>544A.T07.2025/HPDQ-KKNH-KH</t>
  </si>
  <si>
    <t>Thép cuộn cán nóng 2.75x128Y SAE1006</t>
  </si>
  <si>
    <t>Thép cuộn cán nóng 3.00x128Y SAE1006</t>
  </si>
  <si>
    <t>550D.T09.2025/HPDQ-OTVĐ-KH</t>
  </si>
  <si>
    <t>550B.T09.2025/HPDQ-OTVĐ-KH</t>
  </si>
  <si>
    <t>550C.T09.2025/HPDQ-OTVĐ-KH</t>
  </si>
  <si>
    <t>503G.T08.2025/HPDQ-TMPHD-KH</t>
  </si>
  <si>
    <t>565.T09.2025/HPDQ-TN-KH</t>
  </si>
  <si>
    <t xml:space="preserve">ỐNG THÉP HƯNG YÊN </t>
  </si>
  <si>
    <t>ỐNG THÉP BÌNH DƯƠNG</t>
  </si>
  <si>
    <t>NAM KIM</t>
  </si>
  <si>
    <t xml:space="preserve">HOA SEN </t>
  </si>
  <si>
    <t>NAM HƯNG</t>
  </si>
  <si>
    <t>THÉP VIỆT ĐỨC</t>
  </si>
  <si>
    <t>MINH PHÚ</t>
  </si>
  <si>
    <t>TÂY NAM</t>
  </si>
  <si>
    <t>TRUNG GIAN</t>
  </si>
  <si>
    <t>Thép cuộn cán nóng 3.20x128Y SAE1006</t>
  </si>
  <si>
    <t>Trung gian hạn chế</t>
  </si>
  <si>
    <t>65x1270</t>
  </si>
  <si>
    <t>1251121992364</t>
  </si>
  <si>
    <t>1251121992388</t>
  </si>
  <si>
    <t>1251121994153</t>
  </si>
  <si>
    <t>cán phôi sự cố.</t>
  </si>
  <si>
    <t>1 cuộn tiến cân</t>
  </si>
  <si>
    <t>564.T09.2025/HPDQ-NK-KH</t>
  </si>
  <si>
    <t>ĐỢT T10.3</t>
  </si>
  <si>
    <t>CÁN TRƯỚC MẤY CUỘN NHỚ TRỪ TỒN</t>
  </si>
  <si>
    <t>481F.T07.2025/HPDQ-TVN-KH</t>
  </si>
  <si>
    <t>544C.T07.2025/HPDQ-KKNH-KH</t>
  </si>
  <si>
    <t>Thép cuộn cán nóng 2.50x128Y SAE1006</t>
  </si>
  <si>
    <t>520.T08.2025/HPDQ-NK-KH</t>
  </si>
  <si>
    <t>Thép cuộn cán nóng 3.00x108Y SAE1006</t>
  </si>
  <si>
    <t>Thép cuộn cán nóng 3.70x108Y SAE1006</t>
  </si>
  <si>
    <t>Thép cuộn cán nóng 5.00x108Y SAE1006</t>
  </si>
  <si>
    <t>561B.T09.2025/HPDQ-HSQN-KH</t>
  </si>
  <si>
    <t>560B.T09.2025/HPDQ-HSNS-KH</t>
  </si>
  <si>
    <t>582B.T09.2025/HPDQ-OTHY-KH</t>
  </si>
  <si>
    <t>Thép cuộn cán nóng 4.80x123X SAE1006</t>
  </si>
  <si>
    <t>Thép cuộn cán nóng 5.70x105X SAE1006</t>
  </si>
  <si>
    <t>Thép cuộn cán nóng 5.30x124X SAE1006</t>
  </si>
  <si>
    <t>Thép cuộn cán nóng 6.50x104X SAE1006</t>
  </si>
  <si>
    <t>ỐNG THÉP HƯNG YÊN</t>
  </si>
  <si>
    <t>THÉP VIỆT NHẬT</t>
  </si>
  <si>
    <t>HOA SEN</t>
  </si>
  <si>
    <t>2.75x126X</t>
  </si>
  <si>
    <t>3.45x123X</t>
  </si>
  <si>
    <t>2.75x121Y</t>
  </si>
  <si>
    <t>ỐNG THÉP MIỀN NAM</t>
  </si>
  <si>
    <r>
      <t>Ghi chú:</t>
    </r>
    <r>
      <rPr>
        <sz val="10"/>
        <color rgb="FF000000"/>
        <rFont val="Times New Roman"/>
        <family val="1"/>
      </rPr>
      <t xml:space="preserve"> -  Cho phép cán lại phôi hồi lò đạt TPHH và không có các khuyết tật đúc nghiêm trọng như: ngậm xỉ sâu, nứt ngang, cong vênh ... 
-  Các chỉ tiêu chất lượng khác đánh giá theo TCNB.     MẶC ĐỊNH GIÁ TRỊ X=2, Y=7.
- Các sản phẩm với mục đích làm Tôn, ống, Ống Gi sản xuất đủ loại I theo LSX. Phân loại chất lượng sản phẩm theo phiếu YCCN số 264.2024 NM.HRC1 / phiếu YCCN số 430.2025/YCCN- P.CN./.
- Các sản phẩm với mục đích làm Cut sheet, kết cấu sản xuất đủ loại I theo LSX. Phân loại chất lượng sản phẩm theo phiếu YCCN số 248.2024 NM.HRC1 / phiếu YCCN số 431.2025/YCCN- P.CN./.</t>
    </r>
  </si>
  <si>
    <t xml:space="preserve">Số: 04.10.2025/LSX-XC-NM.HRC1 </t>
  </si>
  <si>
    <t>- Thời gian hiệu lực: Từ 08h00, ngày 16/10/2025 đến 08h00, ngày 23/10/2025</t>
  </si>
  <si>
    <t>08h00 16/10/2025
- 
08h00
23/10/2025</t>
  </si>
  <si>
    <t>T10 4b</t>
  </si>
  <si>
    <t>548A.T09.2025/HPDQ-OTMP-KH</t>
  </si>
  <si>
    <t>548H.T09.2025/HPDQ-TMPHD-KH</t>
  </si>
  <si>
    <t>548B.T09.2025/HPDQ-TMPHD-KH</t>
  </si>
  <si>
    <t>498.T10.2025/HPDQ-OTMN-NKH</t>
  </si>
  <si>
    <t>582C.T09.2025/HPDQ-OTDN-KH</t>
  </si>
  <si>
    <t>Thép cuộn cán nóng 2.35x123X SAE1006</t>
  </si>
  <si>
    <t>2.35</t>
  </si>
  <si>
    <t>530A.T08.2025/HPDQ-TVN-KH</t>
  </si>
  <si>
    <t xml:space="preserve">17-20 (aming 18-19) </t>
  </si>
  <si>
    <t>Dùng sản xuất tôn màu</t>
  </si>
  <si>
    <t>579B.T09.2025/HPDQ-ASIA-KH</t>
  </si>
  <si>
    <t>T11 1b</t>
  </si>
  <si>
    <t>600B.T10.2025/HPDQ-HSPM-KH</t>
  </si>
  <si>
    <t>Dung sai tổng khối lượng khi Mapping +/-10%</t>
  </si>
  <si>
    <t>4.00</t>
  </si>
  <si>
    <t>Tôn- Qua cán nguôi</t>
  </si>
  <si>
    <t>T10 5b</t>
  </si>
  <si>
    <t>600A.T10.2025/HPDQ-HSPM-KH</t>
  </si>
  <si>
    <t>ỐNG THÉP ĐÀ NẴNG</t>
  </si>
  <si>
    <t>THÉP ASIA</t>
  </si>
  <si>
    <t>2.25x126X</t>
  </si>
  <si>
    <t>17-20</t>
  </si>
  <si>
    <t>4.00x123X</t>
  </si>
  <si>
    <t>3.00x123X</t>
  </si>
  <si>
    <t>2.95x123X</t>
  </si>
  <si>
    <t>2.75x123X</t>
  </si>
  <si>
    <t>2.45x123X</t>
  </si>
  <si>
    <t>2.40x123X</t>
  </si>
  <si>
    <t>2.35x123X</t>
  </si>
  <si>
    <t>3.00x121X</t>
  </si>
  <si>
    <t>2.45x121Y</t>
  </si>
  <si>
    <t>2.30x121Y</t>
  </si>
  <si>
    <t>Quảng Ngãi, ngày 16 tháng 10 năm 2025</t>
  </si>
  <si>
    <t>08h00 ngày 16/10/2025
08h00 ngày 23/10/2025</t>
  </si>
  <si>
    <t>Số: 04.10.2025/LSX-XĐ-NM.HRC1</t>
  </si>
  <si>
    <t>4.00/3.00/2.95/...x123X</t>
  </si>
  <si>
    <t>4.00/3.00/2.75/...x126X</t>
  </si>
  <si>
    <t>3.00/2.75/2.45/...x121X/121Y</t>
  </si>
  <si>
    <t>1251121996836</t>
  </si>
  <si>
    <t>cũ</t>
  </si>
  <si>
    <t>548B.T09.2025/HPDQ-TMP-KH</t>
  </si>
  <si>
    <t>sản xuất đầu nhịp</t>
  </si>
  <si>
    <t>2.90</t>
  </si>
  <si>
    <t>Dung sai tổng khối lượng khi Mapping +/-5%</t>
  </si>
  <si>
    <t>503D.T08.2025/HPDQ-TMPHD-KH</t>
  </si>
  <si>
    <t>599.T10.2025/HPDQ-HSQN-KH</t>
  </si>
  <si>
    <t>Trung gian</t>
  </si>
  <si>
    <t>Hoa sen</t>
  </si>
  <si>
    <t>sự cố</t>
  </si>
  <si>
    <t>587B.T10.2025/HPDQ-THP-KH</t>
  </si>
  <si>
    <t>17-25</t>
  </si>
  <si>
    <t>yêu cầu không ngấn ngang, rỗ sâu</t>
  </si>
  <si>
    <t>3.95</t>
  </si>
  <si>
    <t>2.80</t>
  </si>
  <si>
    <t>3.20</t>
  </si>
  <si>
    <t>Dung sai tổng khối lượng khi Mapping +/-10%;  CW 17-&lt;18t max 30%</t>
  </si>
  <si>
    <t>3.50</t>
  </si>
  <si>
    <t>537G.T08.2025/HPDQ-OTBD-KH</t>
  </si>
  <si>
    <t>499.T10.2025/HPDQ-TMMN-NKH</t>
  </si>
  <si>
    <t>586B.T10.2025/HPDQ-OTHY-KH</t>
  </si>
  <si>
    <t>16-24 (aming 19T)</t>
  </si>
  <si>
    <t>Dung sai tổng khối lượng khi Mapping +/-5%; CW 17-&lt;18t max 30%</t>
  </si>
  <si>
    <t>MINH NGỌC</t>
  </si>
  <si>
    <t>TÔN HÒA PHÁT</t>
  </si>
  <si>
    <t xml:space="preserve">Số: 05.10.2025/LSX-XC-NM.HRC1 </t>
  </si>
  <si>
    <t>- Thời gian hiệu lực: Từ 08h00, ngày 23/10/2025 đến 08h00, ngày 30/10/2025</t>
  </si>
  <si>
    <t>Thép cuộn cán nóng 2.75x121Y SAE1006MINH NGỌCQua cán nguội</t>
  </si>
  <si>
    <t>Thép cuộn cán nóng 3.95x126X SAE1006TÔN HÒA PHÁTQua cán nguội</t>
  </si>
  <si>
    <t>Thép cuộn cán nóng 2.80x126X SAE1006HOA SENQua cán nguội</t>
  </si>
  <si>
    <t>Thép cuộn cán nóng 3.20x126X SAE1006HOA SENQua cán nguội</t>
  </si>
  <si>
    <t>Thép cuộn cán nóng 3.80x126X SAE1006HOA SENQua cán nguội</t>
  </si>
  <si>
    <t>Thép cuộn cán nóng 2.80x120X SAE1006HOA SENQua cán nguội</t>
  </si>
  <si>
    <t>Thép cuộn cán nóng 3.50x120X SAE1006HOA SENQua cán nguội</t>
  </si>
  <si>
    <t>Thép cuộn cán nóng 3.00x120X SAE1006HOA SENQua cán nguội</t>
  </si>
  <si>
    <t>Thép cuộn cán nóng 2.45x123X SAE1006ỐNG THÉP BÌNH DƯƠNGQua cán nguội</t>
  </si>
  <si>
    <t>Thép cuộn cán nóng 2.45x125X SAE1006ỐNG THÉP BÌNH DƯƠNGQua cán nguội</t>
  </si>
  <si>
    <t>Thép cuộn cán nóng 2.75x123X SAE1006ỐNG THÉP BÌNH DƯƠNGQua cán nguội</t>
  </si>
  <si>
    <t>Thép cuộn cán nóng 2.75x125X SAE1006ỐNG THÉP BÌNH DƯƠNGQua cán nguội</t>
  </si>
  <si>
    <t>Thép cuộn cán nóng 2.95x123X SAE1006ỐNG THÉP BÌNH DƯƠNGQua cán nguội</t>
  </si>
  <si>
    <t>Thép cuộn cán nóng 3.00x125X SAE1006ỐNG THÉP BÌNH DƯƠNGQua cán nguội</t>
  </si>
  <si>
    <t>Thép cuộn cán nóng 3.15x123X SAE1006ỐNG THÉP BÌNH DƯƠNGQua cán nguội</t>
  </si>
  <si>
    <t>Thép cuộn cán nóng 3.45x123X SAE1006ỐNG THÉP BÌNH DƯƠNGQua cán nguội</t>
  </si>
  <si>
    <t>Thép cuộn cán nóng 3.45x125X SAE1006ỐNG THÉP BÌNH DƯƠNGQua cán nguội</t>
  </si>
  <si>
    <t>Thép cuộn cán nóng 3.80x123X SAE1006ỐNG THÉP BÌNH DƯƠNGQua cán nguội</t>
  </si>
  <si>
    <t>Thép cuộn cán nóng 3.80x125X SAE1006ỐNG THÉP BÌNH DƯƠNGQua cán nguội</t>
  </si>
  <si>
    <t>Thép cuộn cán nóng 2.90x121Y SAE1006MINH NGỌCQua cán nguội</t>
  </si>
  <si>
    <t>Thép cuộn cán nóng 3.50x123X SAE1006ỐNG THÉP HƯNG YÊNQua cán nguội</t>
  </si>
  <si>
    <t>Thép cuộn cán nóng 2.30x121X SAE1006HOA SENQua cán nguội</t>
  </si>
  <si>
    <t>Thép cuộn cán nóng 2.50x121X SAE1006HOA SENQua cán nguội</t>
  </si>
  <si>
    <t>Thép cuộn cán nóng 2.80x121X SAE1006HOA SENQua cán nguội</t>
  </si>
  <si>
    <t>Thép cuộn cán nóng 4.00x126X SAE1006trung gianqua cán nguội</t>
  </si>
  <si>
    <t>Thép cuộn cán nóng 4.00x123X SAE1006trung gianqua cán nguội</t>
  </si>
  <si>
    <t>Quảng Ngãi, ngày 22 tháng 10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</si>
</sst>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Calibri Light"/>
      <family val="1"/>
      <scheme val="major"/>
    </font>
    <font>
      <sz val="8"/>
      <color theme="1"/>
      <name val="Calibri Light"/>
      <family val="1"/>
      <scheme val="major"/>
    </font>
    <font>
      <sz val="8"/>
      <name val="Calibri Light"/>
      <family val="1"/>
      <scheme val="maj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Calibri Light"/>
      <family val="1"/>
      <scheme val="major"/>
    </font>
    <font>
      <b/>
      <sz val="9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 Light"/>
      <family val="1"/>
      <scheme val="major"/>
    </font>
    <font>
      <sz val="11"/>
      <name val="Calibri Light"/>
      <family val="1"/>
      <scheme val="major"/>
    </font>
    <font>
      <b/>
      <sz val="8"/>
      <color rgb="FF000000"/>
      <name val="Times New Roman"/>
      <family val="1"/>
    </font>
    <font>
      <b/>
      <sz val="8"/>
      <color rgb="FF000000"/>
      <name val="Calibri Light"/>
      <family val="1"/>
      <scheme val="major"/>
    </font>
    <font>
      <b/>
      <sz val="8"/>
      <name val="Calibri Light"/>
      <family val="1"/>
      <scheme val="major"/>
    </font>
    <font>
      <b/>
      <sz val="8"/>
      <color theme="1"/>
      <name val="Calibri Light"/>
      <family val="1"/>
      <scheme val="major"/>
    </font>
    <font>
      <b/>
      <sz val="8"/>
      <color theme="1"/>
      <name val="Times New Roman"/>
      <family val="1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9"/>
      <name val="Calibri Light"/>
      <family val="1"/>
      <scheme val="major"/>
    </font>
    <font>
      <b/>
      <sz val="9"/>
      <color rgb="FF000000"/>
      <name val="Calibri Light"/>
      <family val="1"/>
      <scheme val="major"/>
    </font>
    <font>
      <sz val="9"/>
      <color rgb="FF000000"/>
      <name val="Calibri Light"/>
      <family val="1"/>
      <scheme val="major"/>
    </font>
    <font>
      <b/>
      <sz val="9"/>
      <name val="Calibri Light"/>
      <family val="1"/>
      <scheme val="major"/>
    </font>
    <font>
      <b/>
      <u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rgb="FF000000"/>
      <name val="Calibri Light"/>
      <family val="1"/>
      <scheme val="major"/>
    </font>
    <font>
      <i/>
      <sz val="12"/>
      <color rgb="FF000000"/>
      <name val="Times New Roman"/>
      <family val="1"/>
    </font>
    <font>
      <b/>
      <sz val="10"/>
      <color theme="1"/>
      <name val="Calibri Light"/>
      <family val="1"/>
      <scheme val="major"/>
    </font>
    <font>
      <sz val="10"/>
      <color theme="1"/>
      <name val="Calibri Light"/>
      <family val="1"/>
      <scheme val="major"/>
    </font>
    <font>
      <b/>
      <sz val="13"/>
      <color theme="1"/>
      <name val="Calibri Light"/>
      <family val="1"/>
      <scheme val="major"/>
    </font>
    <font>
      <b/>
      <sz val="13"/>
      <name val="Calibri Light"/>
      <family val="1"/>
      <scheme val="maj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Calibri Light"/>
      <family val="1"/>
      <scheme val="major"/>
    </font>
    <font>
      <sz val="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i/>
      <sz val="10"/>
      <color theme="1"/>
      <name val="Times New Roman"/>
      <family val="1"/>
    </font>
    <font>
      <b/>
      <sz val="7"/>
      <color rgb="FFFF0000"/>
      <name val="Times New Roman"/>
      <family val="1"/>
    </font>
    <font>
      <sz val="7"/>
      <color rgb="FFFF0000"/>
      <name val="Times New Roman"/>
      <family val="1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Times New Roman"/>
      <family val="1"/>
    </font>
    <font>
      <b/>
      <sz val="7"/>
      <color rgb="FF000000"/>
      <name val="Times New Roman"/>
      <family val="1"/>
    </font>
    <font>
      <b/>
      <sz val="9"/>
      <color rgb="FFFF0000"/>
      <name val="Calibri Light"/>
      <family val="1"/>
      <scheme val="major"/>
    </font>
    <font>
      <sz val="7"/>
      <color theme="1"/>
      <name val="Calibri"/>
      <family val="2"/>
    </font>
    <font>
      <sz val="9"/>
      <color rgb="FFFF0000"/>
      <name val="Calibri Light"/>
      <family val="1"/>
      <scheme val="major"/>
    </font>
    <font>
      <sz val="8"/>
      <name val="Times New Roman"/>
      <family val="1"/>
    </font>
    <font>
      <sz val="11"/>
      <name val="Times New Roman"/>
      <family val="1"/>
    </font>
    <font>
      <b/>
      <sz val="8"/>
      <color rgb="FFFF0000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13"/>
      <name val="Times New Roman"/>
      <family val="1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9C0006"/>
      <name val="Times New Roman"/>
      <family val="1"/>
    </font>
    <font>
      <sz val="11"/>
      <color rgb="FF9C0006"/>
      <name val="Times New Roman"/>
      <family val="1"/>
    </font>
    <font>
      <sz val="11"/>
      <color rgb="FF000000"/>
      <name val="Arial"/>
      <family val="2"/>
    </font>
    <font>
      <sz val="11"/>
      <color rgb="FF9C0006"/>
      <name val="Arial"/>
      <family val="2"/>
    </font>
    <font>
      <sz val="9"/>
      <color rgb="FFFF0000"/>
      <name val="Times New Roman"/>
      <family val="1"/>
    </font>
    <font>
      <sz val="9"/>
      <name val="Calibri Light"/>
      <family val="2"/>
      <scheme val="major"/>
    </font>
    <font>
      <sz val="9"/>
      <name val="Calibri Light"/>
      <family val="2"/>
      <scheme val="major"/>
    </font>
    <font>
      <sz val="11"/>
      <name val="Arial"/>
      <family val="2"/>
    </font>
    <font>
      <sz val="11"/>
      <name val="Calibri"/>
      <family val="2"/>
      <scheme val="minor"/>
    </font>
    <font>
      <b/>
      <sz val="9"/>
      <color rgb="FFFF0000"/>
      <name val="Calibri Light"/>
      <family val="2"/>
      <scheme val="major"/>
    </font>
    <font>
      <b/>
      <sz val="8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DDEBF7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rgb="FFFCE4D6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DDEBF7"/>
      </patternFill>
    </fill>
    <fill>
      <patternFill patternType="solid">
        <fgColor rgb="FF92D050"/>
        <bgColor rgb="FFDDEBF7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9BC2E6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0" fontId="5" fillId="0" borderId="0"/>
    <xf numFmtId="0" fontId="4" fillId="0" borderId="0"/>
    <xf numFmtId="0" fontId="1" fillId="0" borderId="0"/>
  </cellStyleXfs>
  <cellXfs count="412"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3" fontId="8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3" fillId="0" borderId="0" xfId="0" applyFont="1"/>
    <xf numFmtId="1" fontId="13" fillId="0" borderId="0" xfId="0" applyNumberFormat="1" applyFont="1" applyAlignment="1">
      <alignment horizontal="left" vertical="center"/>
    </xf>
    <xf numFmtId="1" fontId="13" fillId="0" borderId="0" xfId="0" applyNumberFormat="1" applyFont="1" applyAlignment="1">
      <alignment vertical="center"/>
    </xf>
    <xf numFmtId="0" fontId="13" fillId="2" borderId="0" xfId="0" applyFont="1" applyFill="1"/>
    <xf numFmtId="0" fontId="14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center" vertical="center" wrapText="1"/>
    </xf>
    <xf numFmtId="3" fontId="15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vertical="center" wrapText="1"/>
    </xf>
    <xf numFmtId="0" fontId="16" fillId="2" borderId="0" xfId="0" applyFont="1" applyFill="1" applyAlignment="1">
      <alignment vertical="center"/>
    </xf>
    <xf numFmtId="0" fontId="16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8" fillId="0" borderId="0" xfId="0" applyFont="1"/>
    <xf numFmtId="1" fontId="18" fillId="0" borderId="0" xfId="0" applyNumberFormat="1" applyFont="1" applyAlignment="1">
      <alignment horizontal="left" vertical="center"/>
    </xf>
    <xf numFmtId="1" fontId="18" fillId="0" borderId="0" xfId="0" applyNumberFormat="1" applyFont="1" applyAlignment="1">
      <alignment vertical="center"/>
    </xf>
    <xf numFmtId="0" fontId="19" fillId="2" borderId="0" xfId="0" quotePrefix="1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19" fillId="0" borderId="0" xfId="0" applyFont="1"/>
    <xf numFmtId="1" fontId="19" fillId="0" borderId="0" xfId="0" applyNumberFormat="1" applyFont="1" applyAlignment="1">
      <alignment horizontal="left" vertical="center"/>
    </xf>
    <xf numFmtId="1" fontId="19" fillId="0" borderId="0" xfId="0" applyNumberFormat="1" applyFont="1" applyAlignment="1">
      <alignment vertical="center"/>
    </xf>
    <xf numFmtId="0" fontId="27" fillId="0" borderId="0" xfId="0" applyFont="1"/>
    <xf numFmtId="1" fontId="27" fillId="0" borderId="0" xfId="0" applyNumberFormat="1" applyFont="1" applyAlignment="1">
      <alignment horizontal="left" vertical="center"/>
    </xf>
    <xf numFmtId="1" fontId="27" fillId="0" borderId="0" xfId="0" applyNumberFormat="1" applyFont="1" applyAlignment="1">
      <alignment vertical="center"/>
    </xf>
    <xf numFmtId="3" fontId="25" fillId="2" borderId="7" xfId="0" applyNumberFormat="1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vertical="center" wrapText="1"/>
    </xf>
    <xf numFmtId="1" fontId="27" fillId="0" borderId="0" xfId="0" applyNumberFormat="1" applyFont="1" applyAlignment="1">
      <alignment horizontal="center" vertical="center"/>
    </xf>
    <xf numFmtId="0" fontId="30" fillId="2" borderId="2" xfId="0" applyFont="1" applyFill="1" applyBorder="1" applyAlignment="1">
      <alignment vertical="center" wrapText="1"/>
    </xf>
    <xf numFmtId="0" fontId="30" fillId="2" borderId="3" xfId="0" applyFont="1" applyFill="1" applyBorder="1" applyAlignment="1">
      <alignment vertical="center" wrapText="1"/>
    </xf>
    <xf numFmtId="0" fontId="30" fillId="2" borderId="4" xfId="0" applyFont="1" applyFill="1" applyBorder="1" applyAlignment="1">
      <alignment vertical="center" wrapText="1"/>
    </xf>
    <xf numFmtId="3" fontId="15" fillId="2" borderId="7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35" fillId="2" borderId="0" xfId="0" applyFont="1" applyFill="1" applyAlignment="1">
      <alignment horizontal="left" vertical="top" wrapText="1"/>
    </xf>
    <xf numFmtId="0" fontId="36" fillId="2" borderId="0" xfId="0" applyFont="1" applyFill="1" applyAlignment="1">
      <alignment horizontal="left" vertical="top"/>
    </xf>
    <xf numFmtId="0" fontId="36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top"/>
    </xf>
    <xf numFmtId="0" fontId="34" fillId="2" borderId="0" xfId="0" applyFont="1" applyFill="1" applyAlignment="1">
      <alignment vertical="center" wrapText="1"/>
    </xf>
    <xf numFmtId="0" fontId="38" fillId="2" borderId="0" xfId="0" applyFont="1" applyFill="1" applyAlignment="1">
      <alignment vertical="center" wrapText="1"/>
    </xf>
    <xf numFmtId="0" fontId="39" fillId="2" borderId="0" xfId="0" applyFont="1" applyFill="1" applyAlignment="1">
      <alignment horizontal="center" vertical="center" wrapText="1"/>
    </xf>
    <xf numFmtId="0" fontId="40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/>
    </xf>
    <xf numFmtId="3" fontId="14" fillId="2" borderId="0" xfId="0" applyNumberFormat="1" applyFont="1" applyFill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44" fillId="2" borderId="0" xfId="0" applyFont="1" applyFill="1" applyAlignment="1">
      <alignment vertical="center" wrapText="1"/>
    </xf>
    <xf numFmtId="3" fontId="39" fillId="2" borderId="0" xfId="0" applyNumberFormat="1" applyFont="1" applyFill="1" applyAlignment="1">
      <alignment horizontal="center" vertical="center"/>
    </xf>
    <xf numFmtId="0" fontId="38" fillId="2" borderId="0" xfId="0" applyFont="1" applyFill="1" applyAlignment="1">
      <alignment horizontal="center" vertical="center"/>
    </xf>
    <xf numFmtId="0" fontId="39" fillId="2" borderId="0" xfId="0" applyFont="1" applyFill="1" applyAlignment="1">
      <alignment horizontal="center"/>
    </xf>
    <xf numFmtId="0" fontId="39" fillId="2" borderId="0" xfId="0" applyFont="1" applyFill="1"/>
    <xf numFmtId="0" fontId="45" fillId="0" borderId="0" xfId="0" applyFont="1"/>
    <xf numFmtId="0" fontId="19" fillId="2" borderId="0" xfId="0" applyFont="1" applyFill="1" applyAlignment="1">
      <alignment vertical="top"/>
    </xf>
    <xf numFmtId="0" fontId="20" fillId="2" borderId="0" xfId="0" applyFont="1" applyFill="1" applyAlignment="1">
      <alignment vertical="top" wrapText="1"/>
    </xf>
    <xf numFmtId="0" fontId="20" fillId="2" borderId="0" xfId="0" applyFont="1" applyFill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19" fillId="2" borderId="0" xfId="0" quotePrefix="1" applyFont="1" applyFill="1" applyAlignment="1">
      <alignment vertical="top"/>
    </xf>
    <xf numFmtId="0" fontId="20" fillId="2" borderId="0" xfId="0" quotePrefix="1" applyFont="1" applyFill="1" applyAlignment="1">
      <alignment vertical="top" wrapText="1"/>
    </xf>
    <xf numFmtId="0" fontId="18" fillId="2" borderId="0" xfId="0" applyFont="1" applyFill="1" applyAlignment="1">
      <alignment vertical="center"/>
    </xf>
    <xf numFmtId="0" fontId="18" fillId="2" borderId="0" xfId="0" applyFont="1" applyFill="1"/>
    <xf numFmtId="3" fontId="18" fillId="0" borderId="0" xfId="0" applyNumberFormat="1" applyFont="1"/>
    <xf numFmtId="9" fontId="18" fillId="0" borderId="0" xfId="1" applyFont="1" applyAlignment="1"/>
    <xf numFmtId="1" fontId="18" fillId="0" borderId="0" xfId="1" applyNumberFormat="1" applyFont="1" applyAlignment="1">
      <alignment horizontal="left" vertical="center"/>
    </xf>
    <xf numFmtId="1" fontId="18" fillId="0" borderId="0" xfId="1" applyNumberFormat="1" applyFont="1" applyAlignment="1">
      <alignment vertical="center"/>
    </xf>
    <xf numFmtId="9" fontId="18" fillId="0" borderId="0" xfId="1" applyFont="1"/>
    <xf numFmtId="0" fontId="0" fillId="3" borderId="7" xfId="0" applyFill="1" applyBorder="1" applyAlignment="1">
      <alignment vertical="top"/>
    </xf>
    <xf numFmtId="1" fontId="13" fillId="0" borderId="0" xfId="0" applyNumberFormat="1" applyFont="1"/>
    <xf numFmtId="1" fontId="18" fillId="0" borderId="0" xfId="0" applyNumberFormat="1" applyFont="1"/>
    <xf numFmtId="1" fontId="19" fillId="0" borderId="0" xfId="0" applyNumberFormat="1" applyFont="1"/>
    <xf numFmtId="1" fontId="27" fillId="0" borderId="0" xfId="0" applyNumberFormat="1" applyFont="1"/>
    <xf numFmtId="1" fontId="18" fillId="0" borderId="0" xfId="1" applyNumberFormat="1" applyFont="1"/>
    <xf numFmtId="0" fontId="14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top" wrapText="1"/>
    </xf>
    <xf numFmtId="1" fontId="29" fillId="2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3" fontId="18" fillId="0" borderId="0" xfId="0" applyNumberFormat="1" applyFont="1" applyAlignment="1">
      <alignment horizontal="left"/>
    </xf>
    <xf numFmtId="9" fontId="18" fillId="0" borderId="0" xfId="1" applyFont="1" applyAlignment="1">
      <alignment horizontal="left"/>
    </xf>
    <xf numFmtId="0" fontId="13" fillId="0" borderId="0" xfId="0" applyFont="1" applyAlignment="1">
      <alignment vertical="center" wrapText="1"/>
    </xf>
    <xf numFmtId="0" fontId="13" fillId="2" borderId="0" xfId="0" applyFont="1" applyFill="1" applyAlignment="1">
      <alignment horizontal="right" vertical="center" wrapText="1"/>
    </xf>
    <xf numFmtId="0" fontId="13" fillId="2" borderId="0" xfId="0" applyFont="1" applyFill="1" applyAlignment="1">
      <alignment horizontal="center"/>
    </xf>
    <xf numFmtId="0" fontId="45" fillId="2" borderId="0" xfId="0" applyFont="1" applyFill="1"/>
    <xf numFmtId="3" fontId="13" fillId="2" borderId="0" xfId="0" applyNumberFormat="1" applyFont="1" applyFill="1"/>
    <xf numFmtId="1" fontId="45" fillId="0" borderId="0" xfId="0" applyNumberFormat="1" applyFont="1"/>
    <xf numFmtId="0" fontId="47" fillId="0" borderId="0" xfId="0" applyFont="1" applyAlignment="1">
      <alignment vertical="center" wrapText="1"/>
    </xf>
    <xf numFmtId="1" fontId="19" fillId="2" borderId="0" xfId="0" applyNumberFormat="1" applyFont="1" applyFill="1"/>
    <xf numFmtId="0" fontId="19" fillId="2" borderId="0" xfId="0" applyFont="1" applyFill="1"/>
    <xf numFmtId="0" fontId="34" fillId="2" borderId="7" xfId="0" applyFont="1" applyFill="1" applyBorder="1" applyAlignment="1">
      <alignment horizontal="center" vertical="center" wrapText="1"/>
    </xf>
    <xf numFmtId="1" fontId="45" fillId="2" borderId="0" xfId="0" applyNumberFormat="1" applyFont="1" applyFill="1"/>
    <xf numFmtId="0" fontId="13" fillId="2" borderId="0" xfId="0" applyFont="1" applyFill="1" applyAlignment="1">
      <alignment vertical="center" wrapText="1"/>
    </xf>
    <xf numFmtId="0" fontId="35" fillId="0" borderId="0" xfId="0" applyFont="1" applyAlignment="1">
      <alignment horizontal="left" vertical="top"/>
    </xf>
    <xf numFmtId="0" fontId="35" fillId="2" borderId="0" xfId="0" applyFont="1" applyFill="1" applyAlignment="1">
      <alignment horizontal="left" vertical="top"/>
    </xf>
    <xf numFmtId="0" fontId="35" fillId="2" borderId="0" xfId="0" applyFont="1" applyFill="1" applyAlignment="1">
      <alignment horizontal="center" vertical="top"/>
    </xf>
    <xf numFmtId="0" fontId="48" fillId="0" borderId="0" xfId="0" applyFont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49" fillId="2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/>
    </xf>
    <xf numFmtId="3" fontId="49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3" fontId="18" fillId="2" borderId="0" xfId="0" applyNumberFormat="1" applyFont="1" applyFill="1"/>
    <xf numFmtId="0" fontId="18" fillId="0" borderId="0" xfId="0" applyFont="1" applyAlignment="1">
      <alignment horizontal="center" vertical="center"/>
    </xf>
    <xf numFmtId="0" fontId="45" fillId="2" borderId="0" xfId="0" applyFont="1" applyFill="1" applyAlignment="1">
      <alignment vertical="center"/>
    </xf>
    <xf numFmtId="3" fontId="11" fillId="2" borderId="0" xfId="0" applyNumberFormat="1" applyFont="1" applyFill="1" applyAlignment="1">
      <alignment vertical="center"/>
    </xf>
    <xf numFmtId="3" fontId="43" fillId="2" borderId="0" xfId="0" applyNumberFormat="1" applyFont="1" applyFill="1" applyAlignment="1">
      <alignment vertical="center"/>
    </xf>
    <xf numFmtId="0" fontId="50" fillId="0" borderId="7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164" fontId="18" fillId="2" borderId="7" xfId="0" applyNumberFormat="1" applyFont="1" applyFill="1" applyBorder="1" applyAlignment="1">
      <alignment horizontal="center" vertical="center" wrapText="1"/>
    </xf>
    <xf numFmtId="3" fontId="18" fillId="2" borderId="7" xfId="0" applyNumberFormat="1" applyFont="1" applyFill="1" applyBorder="1" applyAlignment="1">
      <alignment horizontal="center" vertical="center" wrapText="1"/>
    </xf>
    <xf numFmtId="3" fontId="48" fillId="2" borderId="7" xfId="0" applyNumberFormat="1" applyFont="1" applyFill="1" applyBorder="1" applyAlignment="1">
      <alignment horizontal="center" vertical="center" wrapText="1"/>
    </xf>
    <xf numFmtId="0" fontId="34" fillId="2" borderId="2" xfId="0" applyFont="1" applyFill="1" applyBorder="1" applyAlignment="1">
      <alignment vertical="center" wrapText="1"/>
    </xf>
    <xf numFmtId="0" fontId="34" fillId="2" borderId="3" xfId="0" applyFont="1" applyFill="1" applyBorder="1" applyAlignment="1">
      <alignment vertical="center" wrapText="1"/>
    </xf>
    <xf numFmtId="0" fontId="18" fillId="2" borderId="3" xfId="0" quotePrefix="1" applyFont="1" applyFill="1" applyBorder="1" applyAlignment="1">
      <alignment horizontal="center" vertical="center" wrapText="1"/>
    </xf>
    <xf numFmtId="0" fontId="18" fillId="0" borderId="4" xfId="0" quotePrefix="1" applyFont="1" applyBorder="1" applyAlignment="1">
      <alignment horizontal="center" vertical="center" wrapText="1"/>
    </xf>
    <xf numFmtId="0" fontId="34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9" fillId="0" borderId="0" xfId="0" quotePrefix="1" applyFont="1" applyAlignment="1">
      <alignment vertical="center"/>
    </xf>
    <xf numFmtId="0" fontId="19" fillId="0" borderId="0" xfId="0" applyFont="1" applyAlignment="1">
      <alignment vertical="center"/>
    </xf>
    <xf numFmtId="1" fontId="18" fillId="2" borderId="0" xfId="0" applyNumberFormat="1" applyFont="1" applyFill="1"/>
    <xf numFmtId="0" fontId="29" fillId="0" borderId="7" xfId="0" applyFont="1" applyBorder="1" applyAlignment="1">
      <alignment vertical="center" wrapText="1"/>
    </xf>
    <xf numFmtId="0" fontId="53" fillId="0" borderId="0" xfId="0" applyFont="1" applyAlignment="1">
      <alignment vertical="center" wrapText="1"/>
    </xf>
    <xf numFmtId="0" fontId="42" fillId="2" borderId="0" xfId="0" applyFont="1" applyFill="1" applyAlignment="1">
      <alignment vertical="center"/>
    </xf>
    <xf numFmtId="0" fontId="10" fillId="2" borderId="7" xfId="0" quotePrefix="1" applyFont="1" applyFill="1" applyBorder="1" applyAlignment="1">
      <alignment horizontal="center" vertical="center"/>
    </xf>
    <xf numFmtId="0" fontId="54" fillId="0" borderId="0" xfId="0" applyFont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27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56" fillId="0" borderId="0" xfId="0" applyFont="1" applyAlignment="1">
      <alignment vertical="top"/>
    </xf>
    <xf numFmtId="0" fontId="57" fillId="4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3" fontId="10" fillId="0" borderId="0" xfId="0" applyNumberFormat="1" applyFont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9" fillId="2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3" fontId="41" fillId="0" borderId="0" xfId="0" applyNumberFormat="1" applyFont="1" applyAlignment="1">
      <alignment horizontal="left" vertical="center"/>
    </xf>
    <xf numFmtId="0" fontId="39" fillId="2" borderId="0" xfId="0" applyFont="1" applyFill="1" applyAlignment="1">
      <alignment horizontal="left"/>
    </xf>
    <xf numFmtId="3" fontId="14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31" fillId="2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3" fontId="32" fillId="0" borderId="3" xfId="0" applyNumberFormat="1" applyFont="1" applyBorder="1" applyAlignment="1">
      <alignment horizontal="left" vertical="center" wrapText="1"/>
    </xf>
    <xf numFmtId="0" fontId="8" fillId="2" borderId="3" xfId="0" quotePrefix="1" applyFont="1" applyFill="1" applyBorder="1" applyAlignment="1">
      <alignment horizontal="center" vertical="center" wrapText="1"/>
    </xf>
    <xf numFmtId="0" fontId="13" fillId="2" borderId="4" xfId="0" quotePrefix="1" applyFont="1" applyFill="1" applyBorder="1" applyAlignment="1">
      <alignment horizontal="center" vertical="center" wrapText="1"/>
    </xf>
    <xf numFmtId="1" fontId="57" fillId="4" borderId="0" xfId="0" applyNumberFormat="1" applyFont="1" applyFill="1" applyAlignment="1">
      <alignment horizontal="center" vertical="center" wrapText="1"/>
    </xf>
    <xf numFmtId="1" fontId="58" fillId="0" borderId="0" xfId="0" applyNumberFormat="1" applyFont="1" applyAlignment="1">
      <alignment horizontal="center" vertical="center" wrapText="1"/>
    </xf>
    <xf numFmtId="0" fontId="59" fillId="0" borderId="7" xfId="0" applyFont="1" applyBorder="1" applyAlignment="1">
      <alignment horizontal="left" vertical="center" wrapText="1"/>
    </xf>
    <xf numFmtId="0" fontId="60" fillId="0" borderId="0" xfId="0" applyFont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3" fontId="29" fillId="0" borderId="7" xfId="0" applyNumberFormat="1" applyFont="1" applyBorder="1" applyAlignment="1">
      <alignment horizontal="center" vertical="center" wrapText="1"/>
    </xf>
    <xf numFmtId="0" fontId="61" fillId="5" borderId="7" xfId="0" applyFont="1" applyFill="1" applyBorder="1" applyAlignment="1">
      <alignment horizontal="center" vertical="center" wrapText="1"/>
    </xf>
    <xf numFmtId="3" fontId="15" fillId="2" borderId="2" xfId="0" applyNumberFormat="1" applyFont="1" applyFill="1" applyBorder="1" applyAlignment="1">
      <alignment horizontal="center" vertical="center" wrapText="1"/>
    </xf>
    <xf numFmtId="3" fontId="25" fillId="6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18" fillId="0" borderId="0" xfId="0" applyNumberFormat="1" applyFont="1" applyAlignment="1">
      <alignment horizontal="center"/>
    </xf>
    <xf numFmtId="9" fontId="18" fillId="0" borderId="0" xfId="1" applyFont="1" applyAlignment="1">
      <alignment horizontal="center"/>
    </xf>
    <xf numFmtId="0" fontId="57" fillId="0" borderId="7" xfId="0" quotePrefix="1" applyFont="1" applyBorder="1" applyAlignment="1">
      <alignment horizontal="left" vertical="center" wrapText="1"/>
    </xf>
    <xf numFmtId="0" fontId="62" fillId="0" borderId="7" xfId="0" applyFont="1" applyBorder="1" applyAlignment="1">
      <alignment horizontal="center" vertical="center"/>
    </xf>
    <xf numFmtId="0" fontId="57" fillId="0" borderId="7" xfId="0" applyFont="1" applyBorder="1" applyAlignment="1">
      <alignment horizontal="center" vertical="center" wrapText="1"/>
    </xf>
    <xf numFmtId="0" fontId="19" fillId="2" borderId="0" xfId="0" applyFont="1" applyFill="1" applyAlignment="1">
      <alignment vertical="center" wrapText="1"/>
    </xf>
    <xf numFmtId="0" fontId="18" fillId="2" borderId="0" xfId="0" applyFont="1" applyFill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3" fontId="13" fillId="2" borderId="0" xfId="0" applyNumberFormat="1" applyFont="1" applyFill="1" applyAlignment="1">
      <alignment horizontal="center" vertical="center"/>
    </xf>
    <xf numFmtId="0" fontId="45" fillId="2" borderId="0" xfId="0" applyFont="1" applyFill="1" applyAlignment="1">
      <alignment horizontal="center"/>
    </xf>
    <xf numFmtId="3" fontId="62" fillId="0" borderId="0" xfId="0" applyNumberFormat="1" applyFont="1" applyAlignment="1">
      <alignment horizontal="left" vertical="center"/>
    </xf>
    <xf numFmtId="3" fontId="7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vertical="center"/>
    </xf>
    <xf numFmtId="0" fontId="43" fillId="2" borderId="0" xfId="0" applyFont="1" applyFill="1" applyAlignment="1">
      <alignment vertical="center" wrapText="1"/>
    </xf>
    <xf numFmtId="0" fontId="43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center" vertical="top" wrapText="1"/>
    </xf>
    <xf numFmtId="0" fontId="19" fillId="2" borderId="0" xfId="0" applyFont="1" applyFill="1" applyAlignment="1">
      <alignment horizontal="center" vertical="center"/>
    </xf>
    <xf numFmtId="0" fontId="63" fillId="0" borderId="0" xfId="0" applyFont="1" applyAlignment="1">
      <alignment horizontal="left" vertical="center"/>
    </xf>
    <xf numFmtId="0" fontId="13" fillId="2" borderId="7" xfId="0" applyFont="1" applyFill="1" applyBorder="1" applyAlignment="1">
      <alignment horizontal="center" vertical="center" wrapText="1"/>
    </xf>
    <xf numFmtId="0" fontId="57" fillId="2" borderId="7" xfId="0" applyFont="1" applyFill="1" applyBorder="1" applyAlignment="1">
      <alignment vertical="center" wrapText="1"/>
    </xf>
    <xf numFmtId="1" fontId="57" fillId="0" borderId="7" xfId="0" applyNumberFormat="1" applyFont="1" applyBorder="1" applyAlignment="1">
      <alignment horizontal="center" vertical="center" wrapText="1"/>
    </xf>
    <xf numFmtId="0" fontId="57" fillId="0" borderId="7" xfId="0" applyFont="1" applyBorder="1" applyAlignment="1">
      <alignment horizontal="left" vertical="center" wrapText="1"/>
    </xf>
    <xf numFmtId="0" fontId="57" fillId="0" borderId="7" xfId="0" applyFont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65" fillId="2" borderId="2" xfId="0" applyFont="1" applyFill="1" applyBorder="1" applyAlignment="1">
      <alignment vertical="center" wrapText="1"/>
    </xf>
    <xf numFmtId="0" fontId="65" fillId="2" borderId="3" xfId="0" applyFont="1" applyFill="1" applyBorder="1" applyAlignment="1">
      <alignment vertical="center" wrapText="1"/>
    </xf>
    <xf numFmtId="0" fontId="65" fillId="2" borderId="4" xfId="0" applyFont="1" applyFill="1" applyBorder="1" applyAlignment="1">
      <alignment vertical="center" wrapText="1"/>
    </xf>
    <xf numFmtId="3" fontId="7" fillId="2" borderId="7" xfId="0" applyNumberFormat="1" applyFont="1" applyFill="1" applyBorder="1" applyAlignment="1">
      <alignment horizontal="center" vertical="center" wrapText="1"/>
    </xf>
    <xf numFmtId="0" fontId="66" fillId="2" borderId="2" xfId="0" applyFont="1" applyFill="1" applyBorder="1" applyAlignment="1">
      <alignment horizontal="center" vertical="center" wrapText="1"/>
    </xf>
    <xf numFmtId="0" fontId="66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3" fontId="57" fillId="0" borderId="3" xfId="0" applyNumberFormat="1" applyFont="1" applyBorder="1" applyAlignment="1">
      <alignment horizontal="left" vertical="center" wrapText="1"/>
    </xf>
    <xf numFmtId="0" fontId="13" fillId="2" borderId="3" xfId="0" quotePrefix="1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 vertical="center"/>
    </xf>
    <xf numFmtId="0" fontId="66" fillId="2" borderId="0" xfId="0" applyFont="1" applyFill="1" applyAlignment="1">
      <alignment horizontal="center" vertical="center"/>
    </xf>
    <xf numFmtId="0" fontId="48" fillId="2" borderId="0" xfId="0" applyFont="1" applyFill="1" applyAlignment="1">
      <alignment vertical="center" wrapText="1"/>
    </xf>
    <xf numFmtId="3" fontId="67" fillId="0" borderId="0" xfId="0" applyNumberFormat="1" applyFont="1" applyAlignment="1">
      <alignment horizontal="right" vertical="center"/>
    </xf>
    <xf numFmtId="3" fontId="11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vertical="center" wrapText="1"/>
    </xf>
    <xf numFmtId="3" fontId="18" fillId="2" borderId="0" xfId="0" applyNumberFormat="1" applyFont="1" applyFill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top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quotePrefix="1" applyFont="1" applyFill="1" applyAlignment="1">
      <alignment vertical="top" wrapText="1"/>
    </xf>
    <xf numFmtId="0" fontId="45" fillId="2" borderId="0" xfId="0" applyFont="1" applyFill="1" applyAlignment="1">
      <alignment horizontal="center" vertical="center"/>
    </xf>
    <xf numFmtId="3" fontId="26" fillId="2" borderId="7" xfId="0" applyNumberFormat="1" applyFont="1" applyFill="1" applyBorder="1" applyAlignment="1">
      <alignment horizontal="center" vertical="center" wrapText="1"/>
    </xf>
    <xf numFmtId="0" fontId="63" fillId="0" borderId="10" xfId="0" applyFont="1" applyBorder="1" applyAlignment="1">
      <alignment horizontal="center" vertical="center" wrapText="1"/>
    </xf>
    <xf numFmtId="0" fontId="68" fillId="0" borderId="10" xfId="0" applyFont="1" applyBorder="1" applyAlignment="1">
      <alignment horizontal="left" vertical="center" wrapText="1"/>
    </xf>
    <xf numFmtId="0" fontId="68" fillId="0" borderId="10" xfId="0" applyFont="1" applyBorder="1" applyAlignment="1">
      <alignment horizontal="center" vertical="center" wrapText="1"/>
    </xf>
    <xf numFmtId="0" fontId="68" fillId="0" borderId="10" xfId="0" applyFont="1" applyBorder="1" applyAlignment="1">
      <alignment horizontal="center" vertical="center"/>
    </xf>
    <xf numFmtId="0" fontId="68" fillId="10" borderId="10" xfId="0" applyFont="1" applyFill="1" applyBorder="1" applyAlignment="1">
      <alignment vertical="center"/>
    </xf>
    <xf numFmtId="0" fontId="68" fillId="0" borderId="0" xfId="0" applyFont="1" applyAlignment="1">
      <alignment horizontal="center" vertical="center"/>
    </xf>
    <xf numFmtId="0" fontId="63" fillId="12" borderId="0" xfId="0" applyFont="1" applyFill="1" applyAlignment="1">
      <alignment horizontal="center" vertical="center" wrapText="1"/>
    </xf>
    <xf numFmtId="0" fontId="68" fillId="12" borderId="0" xfId="0" applyFont="1" applyFill="1" applyAlignment="1">
      <alignment horizontal="left" vertical="center" wrapText="1"/>
    </xf>
    <xf numFmtId="0" fontId="68" fillId="12" borderId="0" xfId="0" applyFont="1" applyFill="1" applyAlignment="1">
      <alignment horizontal="center" vertical="center" wrapText="1"/>
    </xf>
    <xf numFmtId="0" fontId="68" fillId="12" borderId="0" xfId="0" applyFont="1" applyFill="1" applyAlignment="1">
      <alignment horizontal="center" vertical="center"/>
    </xf>
    <xf numFmtId="0" fontId="66" fillId="12" borderId="0" xfId="0" applyFont="1" applyFill="1" applyAlignment="1">
      <alignment horizontal="center" vertical="center" wrapText="1"/>
    </xf>
    <xf numFmtId="0" fontId="68" fillId="10" borderId="0" xfId="0" applyFont="1" applyFill="1" applyAlignment="1">
      <alignment vertical="center"/>
    </xf>
    <xf numFmtId="0" fontId="63" fillId="13" borderId="0" xfId="0" applyFont="1" applyFill="1" applyAlignment="1">
      <alignment horizontal="center" vertical="center"/>
    </xf>
    <xf numFmtId="0" fontId="68" fillId="12" borderId="0" xfId="0" applyFont="1" applyFill="1" applyAlignment="1">
      <alignment horizontal="center"/>
    </xf>
    <xf numFmtId="0" fontId="63" fillId="0" borderId="0" xfId="0" applyFont="1" applyAlignment="1">
      <alignment horizontal="center" vertical="center" wrapText="1"/>
    </xf>
    <xf numFmtId="0" fontId="68" fillId="0" borderId="0" xfId="0" applyFont="1" applyAlignment="1">
      <alignment horizontal="left" vertical="center" wrapText="1"/>
    </xf>
    <xf numFmtId="0" fontId="68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3" fillId="11" borderId="0" xfId="0" applyFont="1" applyFill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8" fillId="0" borderId="0" xfId="0" applyFont="1" applyAlignment="1">
      <alignment horizontal="center"/>
    </xf>
    <xf numFmtId="3" fontId="68" fillId="12" borderId="0" xfId="0" applyNumberFormat="1" applyFont="1" applyFill="1" applyAlignment="1">
      <alignment horizontal="center" vertical="center"/>
    </xf>
    <xf numFmtId="3" fontId="68" fillId="0" borderId="0" xfId="0" applyNumberFormat="1" applyFont="1" applyAlignment="1">
      <alignment horizontal="center" vertical="center"/>
    </xf>
    <xf numFmtId="3" fontId="69" fillId="12" borderId="0" xfId="0" applyNumberFormat="1" applyFont="1" applyFill="1" applyAlignment="1">
      <alignment horizontal="center" vertical="center"/>
    </xf>
    <xf numFmtId="0" fontId="70" fillId="10" borderId="0" xfId="0" applyFont="1" applyFill="1" applyAlignment="1">
      <alignment horizontal="center" vertical="center"/>
    </xf>
    <xf numFmtId="0" fontId="26" fillId="9" borderId="1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center" vertical="center" wrapText="1"/>
    </xf>
    <xf numFmtId="0" fontId="68" fillId="12" borderId="10" xfId="0" applyFont="1" applyFill="1" applyBorder="1" applyAlignment="1">
      <alignment horizontal="center" vertical="center"/>
    </xf>
    <xf numFmtId="0" fontId="68" fillId="12" borderId="10" xfId="0" applyFont="1" applyFill="1" applyBorder="1" applyAlignment="1">
      <alignment horizontal="center" vertical="center" wrapText="1"/>
    </xf>
    <xf numFmtId="0" fontId="66" fillId="12" borderId="10" xfId="0" applyFont="1" applyFill="1" applyBorder="1" applyAlignment="1">
      <alignment horizontal="center" vertical="center" wrapText="1"/>
    </xf>
    <xf numFmtId="0" fontId="63" fillId="13" borderId="10" xfId="0" applyFont="1" applyFill="1" applyBorder="1" applyAlignment="1">
      <alignment horizontal="center" vertical="center"/>
    </xf>
    <xf numFmtId="0" fontId="63" fillId="12" borderId="10" xfId="0" applyFont="1" applyFill="1" applyBorder="1" applyAlignment="1">
      <alignment horizontal="center" vertical="center" wrapText="1"/>
    </xf>
    <xf numFmtId="0" fontId="68" fillId="12" borderId="10" xfId="0" applyFont="1" applyFill="1" applyBorder="1" applyAlignment="1">
      <alignment horizontal="center"/>
    </xf>
    <xf numFmtId="0" fontId="71" fillId="0" borderId="0" xfId="0" applyFont="1"/>
    <xf numFmtId="0" fontId="72" fillId="0" borderId="0" xfId="0" applyFont="1"/>
    <xf numFmtId="0" fontId="0" fillId="14" borderId="0" xfId="0" applyFill="1"/>
    <xf numFmtId="0" fontId="0" fillId="7" borderId="0" xfId="0" applyFill="1"/>
    <xf numFmtId="0" fontId="0" fillId="5" borderId="0" xfId="0" applyFill="1"/>
    <xf numFmtId="0" fontId="68" fillId="5" borderId="0" xfId="0" applyFont="1" applyFill="1" applyAlignment="1">
      <alignment horizontal="left" vertical="center" wrapText="1"/>
    </xf>
    <xf numFmtId="0" fontId="68" fillId="5" borderId="0" xfId="0" applyFont="1" applyFill="1" applyAlignment="1">
      <alignment horizontal="center" vertical="center" wrapText="1"/>
    </xf>
    <xf numFmtId="0" fontId="68" fillId="5" borderId="0" xfId="0" applyFont="1" applyFill="1" applyAlignment="1">
      <alignment horizontal="center" vertical="center"/>
    </xf>
    <xf numFmtId="0" fontId="73" fillId="10" borderId="0" xfId="0" applyFont="1" applyFill="1" applyAlignment="1">
      <alignment horizontal="center" vertical="center" wrapText="1"/>
    </xf>
    <xf numFmtId="0" fontId="68" fillId="5" borderId="0" xfId="0" applyFont="1" applyFill="1" applyAlignment="1">
      <alignment vertical="center"/>
    </xf>
    <xf numFmtId="0" fontId="63" fillId="10" borderId="0" xfId="0" applyFont="1" applyFill="1" applyAlignment="1">
      <alignment horizontal="center" vertical="center"/>
    </xf>
    <xf numFmtId="0" fontId="68" fillId="5" borderId="10" xfId="0" applyFont="1" applyFill="1" applyBorder="1" applyAlignment="1">
      <alignment horizontal="center" vertical="center"/>
    </xf>
    <xf numFmtId="3" fontId="68" fillId="10" borderId="0" xfId="0" applyNumberFormat="1" applyFont="1" applyFill="1" applyAlignment="1">
      <alignment horizontal="center" vertical="center"/>
    </xf>
    <xf numFmtId="0" fontId="68" fillId="10" borderId="0" xfId="0" applyFont="1" applyFill="1" applyAlignment="1">
      <alignment horizontal="center" vertical="center"/>
    </xf>
    <xf numFmtId="3" fontId="68" fillId="5" borderId="0" xfId="0" applyNumberFormat="1" applyFont="1" applyFill="1" applyAlignment="1">
      <alignment horizontal="center" vertical="center"/>
    </xf>
    <xf numFmtId="0" fontId="63" fillId="15" borderId="0" xfId="0" applyFont="1" applyFill="1" applyAlignment="1">
      <alignment horizontal="center" vertical="center" wrapText="1"/>
    </xf>
    <xf numFmtId="0" fontId="74" fillId="10" borderId="0" xfId="0" applyFont="1" applyFill="1" applyAlignment="1">
      <alignment horizontal="center" vertical="center"/>
    </xf>
    <xf numFmtId="0" fontId="63" fillId="5" borderId="0" xfId="0" applyFont="1" applyFill="1" applyAlignment="1">
      <alignment horizontal="center" vertical="center" wrapText="1"/>
    </xf>
    <xf numFmtId="1" fontId="0" fillId="5" borderId="0" xfId="0" applyNumberFormat="1" applyFill="1"/>
    <xf numFmtId="0" fontId="77" fillId="0" borderId="7" xfId="0" applyFont="1" applyBorder="1" applyAlignment="1">
      <alignment horizontal="left" vertical="center" wrapText="1"/>
    </xf>
    <xf numFmtId="3" fontId="27" fillId="0" borderId="0" xfId="0" applyNumberFormat="1" applyFont="1" applyAlignment="1">
      <alignment vertical="center"/>
    </xf>
    <xf numFmtId="1" fontId="0" fillId="0" borderId="0" xfId="0" applyNumberFormat="1"/>
    <xf numFmtId="0" fontId="28" fillId="0" borderId="7" xfId="0" applyFont="1" applyBorder="1" applyAlignment="1">
      <alignment vertical="center" wrapText="1"/>
    </xf>
    <xf numFmtId="0" fontId="78" fillId="0" borderId="7" xfId="0" applyFont="1" applyBorder="1" applyAlignment="1">
      <alignment horizontal="left" vertical="center" wrapText="1"/>
    </xf>
    <xf numFmtId="0" fontId="79" fillId="0" borderId="7" xfId="0" applyFont="1" applyBorder="1" applyAlignment="1">
      <alignment horizontal="left" vertical="center" wrapText="1"/>
    </xf>
    <xf numFmtId="0" fontId="57" fillId="0" borderId="0" xfId="0" applyFont="1" applyAlignment="1">
      <alignment horizontal="center" vertical="center" wrapText="1"/>
    </xf>
    <xf numFmtId="1" fontId="57" fillId="0" borderId="0" xfId="0" applyNumberFormat="1" applyFont="1" applyAlignment="1">
      <alignment horizontal="center" vertical="center" wrapText="1"/>
    </xf>
    <xf numFmtId="1" fontId="57" fillId="2" borderId="7" xfId="0" applyNumberFormat="1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center"/>
    </xf>
    <xf numFmtId="0" fontId="75" fillId="0" borderId="0" xfId="0" applyFont="1"/>
    <xf numFmtId="0" fontId="76" fillId="0" borderId="0" xfId="0" applyFont="1"/>
    <xf numFmtId="3" fontId="0" fillId="0" borderId="0" xfId="0" applyNumberFormat="1"/>
    <xf numFmtId="3" fontId="57" fillId="0" borderId="0" xfId="0" applyNumberFormat="1" applyFont="1" applyAlignment="1">
      <alignment horizontal="center" vertical="center" wrapText="1"/>
    </xf>
    <xf numFmtId="0" fontId="56" fillId="0" borderId="0" xfId="0" applyFont="1"/>
    <xf numFmtId="0" fontId="3" fillId="0" borderId="0" xfId="3" applyFont="1"/>
    <xf numFmtId="0" fontId="2" fillId="0" borderId="0" xfId="3" applyFont="1"/>
    <xf numFmtId="0" fontId="63" fillId="0" borderId="10" xfId="0" applyFont="1" applyBorder="1" applyAlignment="1">
      <alignment horizontal="left" vertical="center" wrapText="1"/>
    </xf>
    <xf numFmtId="0" fontId="63" fillId="10" borderId="10" xfId="0" applyFont="1" applyFill="1" applyBorder="1" applyAlignment="1">
      <alignment horizontal="left" vertical="center" wrapText="1"/>
    </xf>
    <xf numFmtId="3" fontId="68" fillId="0" borderId="10" xfId="0" applyNumberFormat="1" applyFont="1" applyBorder="1" applyAlignment="1">
      <alignment horizontal="center" vertical="center"/>
    </xf>
    <xf numFmtId="0" fontId="68" fillId="16" borderId="0" xfId="0" applyFont="1" applyFill="1" applyAlignment="1">
      <alignment vertical="center"/>
    </xf>
    <xf numFmtId="0" fontId="63" fillId="12" borderId="0" xfId="0" applyFont="1" applyFill="1" applyAlignment="1">
      <alignment horizontal="left" vertical="center" wrapText="1"/>
    </xf>
    <xf numFmtId="3" fontId="68" fillId="17" borderId="0" xfId="0" applyNumberFormat="1" applyFont="1" applyFill="1" applyAlignment="1">
      <alignment horizontal="center" vertical="center"/>
    </xf>
    <xf numFmtId="0" fontId="68" fillId="18" borderId="0" xfId="0" applyFont="1" applyFill="1" applyAlignment="1">
      <alignment horizontal="center" vertical="center"/>
    </xf>
    <xf numFmtId="0" fontId="68" fillId="17" borderId="0" xfId="0" applyFont="1" applyFill="1" applyAlignment="1">
      <alignment horizontal="center" vertical="center"/>
    </xf>
    <xf numFmtId="0" fontId="80" fillId="0" borderId="0" xfId="0" applyFont="1"/>
    <xf numFmtId="0" fontId="81" fillId="0" borderId="0" xfId="0" applyFont="1"/>
    <xf numFmtId="0" fontId="68" fillId="19" borderId="0" xfId="0" applyFont="1" applyFill="1" applyAlignment="1">
      <alignment vertical="center"/>
    </xf>
    <xf numFmtId="0" fontId="82" fillId="0" borderId="7" xfId="0" applyFont="1" applyBorder="1" applyAlignment="1">
      <alignment horizontal="left" vertical="center" wrapText="1"/>
    </xf>
    <xf numFmtId="0" fontId="80" fillId="5" borderId="0" xfId="0" applyFont="1" applyFill="1"/>
    <xf numFmtId="0" fontId="68" fillId="0" borderId="0" xfId="0" applyFont="1" applyAlignment="1">
      <alignment vertical="center"/>
    </xf>
    <xf numFmtId="0" fontId="63" fillId="0" borderId="0" xfId="0" applyFont="1" applyAlignment="1">
      <alignment horizontal="left" vertical="center" wrapText="1"/>
    </xf>
    <xf numFmtId="0" fontId="68" fillId="12" borderId="0" xfId="0" applyFont="1" applyFill="1" applyAlignment="1">
      <alignment vertical="center"/>
    </xf>
    <xf numFmtId="0" fontId="68" fillId="0" borderId="10" xfId="0" applyFont="1" applyBorder="1" applyAlignment="1">
      <alignment vertical="center"/>
    </xf>
    <xf numFmtId="0" fontId="0" fillId="20" borderId="0" xfId="0" applyFill="1"/>
    <xf numFmtId="0" fontId="68" fillId="21" borderId="0" xfId="0" applyFont="1" applyFill="1" applyAlignment="1">
      <alignment horizontal="center" vertical="center"/>
    </xf>
    <xf numFmtId="1" fontId="0" fillId="20" borderId="0" xfId="0" applyNumberFormat="1" applyFill="1"/>
    <xf numFmtId="0" fontId="68" fillId="20" borderId="0" xfId="0" applyFont="1" applyFill="1" applyAlignment="1">
      <alignment vertical="center"/>
    </xf>
    <xf numFmtId="3" fontId="68" fillId="18" borderId="0" xfId="0" applyNumberFormat="1" applyFont="1" applyFill="1" applyAlignment="1">
      <alignment horizontal="center" vertical="center"/>
    </xf>
    <xf numFmtId="0" fontId="0" fillId="8" borderId="0" xfId="0" applyFill="1"/>
    <xf numFmtId="0" fontId="63" fillId="5" borderId="10" xfId="0" applyFont="1" applyFill="1" applyBorder="1" applyAlignment="1">
      <alignment horizontal="center" vertical="center" wrapText="1"/>
    </xf>
    <xf numFmtId="0" fontId="63" fillId="5" borderId="10" xfId="0" applyFont="1" applyFill="1" applyBorder="1" applyAlignment="1">
      <alignment horizontal="left" vertical="center" wrapText="1"/>
    </xf>
    <xf numFmtId="0" fontId="68" fillId="5" borderId="10" xfId="0" applyFont="1" applyFill="1" applyBorder="1" applyAlignment="1">
      <alignment vertical="center"/>
    </xf>
    <xf numFmtId="0" fontId="63" fillId="10" borderId="10" xfId="0" applyFont="1" applyFill="1" applyBorder="1" applyAlignment="1">
      <alignment horizontal="center" vertical="center"/>
    </xf>
    <xf numFmtId="0" fontId="68" fillId="15" borderId="0" xfId="0" applyFont="1" applyFill="1" applyAlignment="1">
      <alignment horizontal="left" vertical="center" wrapText="1"/>
    </xf>
    <xf numFmtId="0" fontId="68" fillId="15" borderId="0" xfId="0" applyFont="1" applyFill="1" applyAlignment="1">
      <alignment horizontal="center" vertical="center"/>
    </xf>
    <xf numFmtId="0" fontId="68" fillId="15" borderId="0" xfId="0" applyFont="1" applyFill="1" applyAlignment="1">
      <alignment horizontal="center" vertical="center" wrapText="1"/>
    </xf>
    <xf numFmtId="0" fontId="66" fillId="15" borderId="0" xfId="0" applyFont="1" applyFill="1" applyAlignment="1">
      <alignment horizontal="center" vertical="center" wrapText="1"/>
    </xf>
    <xf numFmtId="0" fontId="68" fillId="15" borderId="0" xfId="0" applyFont="1" applyFill="1" applyAlignment="1">
      <alignment vertical="center"/>
    </xf>
    <xf numFmtId="0" fontId="63" fillId="15" borderId="0" xfId="0" applyFont="1" applyFill="1" applyAlignment="1">
      <alignment horizontal="center" vertical="center"/>
    </xf>
    <xf numFmtId="3" fontId="68" fillId="15" borderId="0" xfId="0" applyNumberFormat="1" applyFont="1" applyFill="1" applyAlignment="1">
      <alignment horizontal="center" vertical="center"/>
    </xf>
    <xf numFmtId="0" fontId="66" fillId="5" borderId="0" xfId="0" applyFont="1" applyFill="1" applyAlignment="1">
      <alignment horizontal="center" vertical="center" wrapText="1"/>
    </xf>
    <xf numFmtId="0" fontId="63" fillId="15" borderId="0" xfId="0" applyFont="1" applyFill="1" applyAlignment="1">
      <alignment horizontal="left" vertical="center" wrapText="1"/>
    </xf>
    <xf numFmtId="0" fontId="63" fillId="5" borderId="0" xfId="0" applyFont="1" applyFill="1" applyAlignment="1">
      <alignment horizontal="center" vertical="center"/>
    </xf>
    <xf numFmtId="0" fontId="63" fillId="12" borderId="10" xfId="0" applyFont="1" applyFill="1" applyBorder="1" applyAlignment="1">
      <alignment horizontal="left" vertical="center" wrapText="1"/>
    </xf>
    <xf numFmtId="0" fontId="68" fillId="12" borderId="10" xfId="0" applyFont="1" applyFill="1" applyBorder="1" applyAlignment="1">
      <alignment vertical="center"/>
    </xf>
    <xf numFmtId="0" fontId="68" fillId="10" borderId="0" xfId="0" applyFont="1" applyFill="1" applyAlignment="1">
      <alignment horizontal="left" vertical="center" wrapText="1"/>
    </xf>
    <xf numFmtId="0" fontId="63" fillId="11" borderId="10" xfId="0" applyFont="1" applyFill="1" applyBorder="1" applyAlignment="1">
      <alignment horizontal="center" vertical="center"/>
    </xf>
    <xf numFmtId="3" fontId="68" fillId="22" borderId="0" xfId="0" applyNumberFormat="1" applyFont="1" applyFill="1" applyAlignment="1">
      <alignment horizontal="center" vertical="center"/>
    </xf>
    <xf numFmtId="0" fontId="68" fillId="22" borderId="0" xfId="0" applyFont="1" applyFill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8" fillId="0" borderId="0" xfId="0" quotePrefix="1" applyFont="1" applyAlignment="1">
      <alignment horizontal="left" vertical="top" wrapText="1"/>
    </xf>
    <xf numFmtId="0" fontId="50" fillId="0" borderId="2" xfId="0" applyFont="1" applyBorder="1" applyAlignment="1">
      <alignment horizontal="center" vertical="center" wrapText="1"/>
    </xf>
    <xf numFmtId="0" fontId="50" fillId="0" borderId="3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left" vertical="top" wrapText="1"/>
    </xf>
    <xf numFmtId="0" fontId="51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50" fillId="0" borderId="7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50" fillId="0" borderId="6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4" fillId="0" borderId="7" xfId="0" quotePrefix="1" applyFont="1" applyBorder="1" applyAlignment="1">
      <alignment horizontal="center" vertical="center" wrapText="1"/>
    </xf>
    <xf numFmtId="0" fontId="34" fillId="0" borderId="9" xfId="0" quotePrefix="1" applyFont="1" applyBorder="1" applyAlignment="1">
      <alignment horizontal="center" vertical="center" wrapText="1"/>
    </xf>
    <xf numFmtId="0" fontId="34" fillId="0" borderId="11" xfId="0" quotePrefix="1" applyFont="1" applyBorder="1" applyAlignment="1">
      <alignment horizontal="center" vertical="center" wrapText="1"/>
    </xf>
    <xf numFmtId="0" fontId="11" fillId="0" borderId="0" xfId="0" applyFont="1" applyAlignment="1">
      <alignment horizontal="right" vertical="center" wrapText="1"/>
    </xf>
    <xf numFmtId="0" fontId="11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top" wrapText="1"/>
    </xf>
    <xf numFmtId="0" fontId="46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33" fillId="2" borderId="8" xfId="0" applyFont="1" applyFill="1" applyBorder="1" applyAlignment="1">
      <alignment horizontal="left" vertical="top" wrapText="1"/>
    </xf>
    <xf numFmtId="0" fontId="34" fillId="2" borderId="8" xfId="0" applyFont="1" applyFill="1" applyBorder="1" applyAlignment="1">
      <alignment horizontal="left" vertical="top" wrapText="1"/>
    </xf>
    <xf numFmtId="0" fontId="37" fillId="2" borderId="0" xfId="0" applyFont="1" applyFill="1" applyAlignment="1">
      <alignment horizontal="right" vertical="center"/>
    </xf>
    <xf numFmtId="0" fontId="64" fillId="5" borderId="7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6" fillId="2" borderId="7" xfId="0" applyFont="1" applyFill="1" applyBorder="1" applyAlignment="1">
      <alignment horizontal="center" vertical="center" wrapText="1"/>
    </xf>
    <xf numFmtId="3" fontId="26" fillId="2" borderId="7" xfId="0" applyNumberFormat="1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center" vertical="center" wrapText="1"/>
    </xf>
    <xf numFmtId="0" fontId="22" fillId="4" borderId="7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 wrapText="1"/>
    </xf>
    <xf numFmtId="0" fontId="17" fillId="2" borderId="0" xfId="0" applyFont="1" applyFill="1" applyAlignment="1">
      <alignment horizontal="center" vertical="center"/>
    </xf>
    <xf numFmtId="3" fontId="62" fillId="0" borderId="1" xfId="0" applyNumberFormat="1" applyFont="1" applyBorder="1" applyAlignment="1">
      <alignment horizontal="center" vertical="center" wrapText="1"/>
    </xf>
    <xf numFmtId="3" fontId="62" fillId="0" borderId="5" xfId="0" applyNumberFormat="1" applyFont="1" applyBorder="1" applyAlignment="1">
      <alignment horizontal="center" vertical="center" wrapText="1"/>
    </xf>
    <xf numFmtId="3" fontId="62" fillId="0" borderId="6" xfId="0" applyNumberFormat="1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3" fontId="25" fillId="7" borderId="1" xfId="0" applyNumberFormat="1" applyFont="1" applyFill="1" applyBorder="1" applyAlignment="1">
      <alignment horizontal="center" vertical="center" wrapText="1"/>
    </xf>
    <xf numFmtId="3" fontId="25" fillId="7" borderId="6" xfId="0" applyNumberFormat="1" applyFont="1" applyFill="1" applyBorder="1" applyAlignment="1">
      <alignment horizontal="center" vertical="center" wrapText="1"/>
    </xf>
    <xf numFmtId="3" fontId="25" fillId="8" borderId="1" xfId="0" applyNumberFormat="1" applyFont="1" applyFill="1" applyBorder="1" applyAlignment="1">
      <alignment horizontal="center" vertical="center" wrapText="1"/>
    </xf>
    <xf numFmtId="3" fontId="25" fillId="8" borderId="6" xfId="0" applyNumberFormat="1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3" fontId="25" fillId="2" borderId="7" xfId="0" applyNumberFormat="1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/>
    </xf>
    <xf numFmtId="3" fontId="24" fillId="0" borderId="7" xfId="0" applyNumberFormat="1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22" fillId="2" borderId="13" xfId="0" applyFont="1" applyFill="1" applyBorder="1" applyAlignment="1">
      <alignment horizontal="center" vertical="center" wrapText="1"/>
    </xf>
    <xf numFmtId="0" fontId="22" fillId="2" borderId="14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3" fontId="26" fillId="2" borderId="2" xfId="0" applyNumberFormat="1" applyFont="1" applyFill="1" applyBorder="1" applyAlignment="1">
      <alignment horizontal="center" vertical="center" wrapText="1"/>
    </xf>
    <xf numFmtId="3" fontId="26" fillId="2" borderId="4" xfId="0" applyNumberFormat="1" applyFont="1" applyFill="1" applyBorder="1" applyAlignment="1">
      <alignment horizontal="center" vertical="center" wrapText="1"/>
    </xf>
    <xf numFmtId="3" fontId="83" fillId="0" borderId="1" xfId="0" applyNumberFormat="1" applyFont="1" applyBorder="1" applyAlignment="1">
      <alignment horizontal="center" vertical="center" wrapText="1"/>
    </xf>
    <xf numFmtId="3" fontId="83" fillId="0" borderId="5" xfId="0" applyNumberFormat="1" applyFont="1" applyBorder="1" applyAlignment="1">
      <alignment horizontal="center" vertical="center" wrapText="1"/>
    </xf>
    <xf numFmtId="3" fontId="83" fillId="0" borderId="6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12" xfId="2" xr:uid="{2E3D4E4B-47D3-4D90-AAC7-FFC4172A322C}"/>
    <cellStyle name="Normal 12 2" xfId="4" xr:uid="{F591DBBA-2B28-4889-9D85-49C546C850DC}"/>
    <cellStyle name="Normal 2" xfId="3" xr:uid="{3E2BA69B-6F01-40FC-9357-832A21B2F20F}"/>
    <cellStyle name="Percent" xfId="1" builtinId="5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89647</xdr:rowOff>
    </xdr:from>
    <xdr:to>
      <xdr:col>2</xdr:col>
      <xdr:colOff>750319</xdr:colOff>
      <xdr:row>0</xdr:row>
      <xdr:rowOff>510988</xdr:rowOff>
    </xdr:to>
    <xdr:pic>
      <xdr:nvPicPr>
        <xdr:cNvPr id="2" name="Hình ảnh 10">
          <a:extLst>
            <a:ext uri="{FF2B5EF4-FFF2-40B4-BE49-F238E27FC236}">
              <a16:creationId xmlns:a16="http://schemas.microsoft.com/office/drawing/2014/main" id="{FD54ADD1-C4A0-4548-81AD-E97E4D0BD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022" y="89647"/>
          <a:ext cx="1712523" cy="4213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142875</xdr:colOff>
      <xdr:row>0</xdr:row>
      <xdr:rowOff>533400</xdr:rowOff>
    </xdr:from>
    <xdr:to>
      <xdr:col>3</xdr:col>
      <xdr:colOff>457200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EA58FD2-4F17-4080-BEB2-4A9C9A832670}"/>
            </a:ext>
          </a:extLst>
        </xdr:cNvPr>
        <xdr:cNvSpPr>
          <a:spLocks noChangeArrowheads="1"/>
        </xdr:cNvSpPr>
      </xdr:nvSpPr>
      <xdr:spPr bwMode="auto">
        <a:xfrm>
          <a:off x="142875" y="533400"/>
          <a:ext cx="2850491" cy="2947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CÔNG TY CỔ PHẦN THÉP 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HÒA PHÁT DUNG QUẤT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146538</xdr:rowOff>
    </xdr:from>
    <xdr:to>
      <xdr:col>3</xdr:col>
      <xdr:colOff>186326</xdr:colOff>
      <xdr:row>0</xdr:row>
      <xdr:rowOff>561975</xdr:rowOff>
    </xdr:to>
    <xdr:pic>
      <xdr:nvPicPr>
        <xdr:cNvPr id="2" name="Hình ảnh 10">
          <a:extLst>
            <a:ext uri="{FF2B5EF4-FFF2-40B4-BE49-F238E27FC236}">
              <a16:creationId xmlns:a16="http://schemas.microsoft.com/office/drawing/2014/main" id="{8DCEFBBE-38BF-46D2-8414-0CE76B8F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722" y="146538"/>
          <a:ext cx="1711404" cy="415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176493</xdr:colOff>
      <xdr:row>0</xdr:row>
      <xdr:rowOff>533400</xdr:rowOff>
    </xdr:from>
    <xdr:to>
      <xdr:col>4</xdr:col>
      <xdr:colOff>33618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86C5329-8FD6-4964-816F-6B569A916F17}"/>
            </a:ext>
          </a:extLst>
        </xdr:cNvPr>
        <xdr:cNvSpPr>
          <a:spLocks noChangeArrowheads="1"/>
        </xdr:cNvSpPr>
      </xdr:nvSpPr>
      <xdr:spPr bwMode="auto">
        <a:xfrm>
          <a:off x="176493" y="533400"/>
          <a:ext cx="2332906" cy="3896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CÔNG TY CỔ PHẦN THÉP 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HÒA PHÁT DUNG QUẤT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146538</xdr:rowOff>
    </xdr:from>
    <xdr:to>
      <xdr:col>3</xdr:col>
      <xdr:colOff>186326</xdr:colOff>
      <xdr:row>0</xdr:row>
      <xdr:rowOff>561975</xdr:rowOff>
    </xdr:to>
    <xdr:pic>
      <xdr:nvPicPr>
        <xdr:cNvPr id="2" name="Hình ảnh 10">
          <a:extLst>
            <a:ext uri="{FF2B5EF4-FFF2-40B4-BE49-F238E27FC236}">
              <a16:creationId xmlns:a16="http://schemas.microsoft.com/office/drawing/2014/main" id="{B52FC89D-AC99-47E8-AB06-29F942B4F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46538"/>
          <a:ext cx="1872251" cy="415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176493</xdr:colOff>
      <xdr:row>0</xdr:row>
      <xdr:rowOff>533400</xdr:rowOff>
    </xdr:from>
    <xdr:to>
      <xdr:col>4</xdr:col>
      <xdr:colOff>33618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F19E8A0-2FA8-4217-B75E-75B9BCD1553D}"/>
            </a:ext>
            <a:ext uri="{147F2762-F138-4A5C-976F-8EAC2B608ADB}">
              <a16:predDERef xmlns:a16="http://schemas.microsoft.com/office/drawing/2014/main" pred="{B52FC89D-AC99-47E8-AB06-29F942B4FBA3}"/>
            </a:ext>
          </a:extLst>
        </xdr:cNvPr>
        <xdr:cNvSpPr>
          <a:spLocks noChangeArrowheads="1"/>
        </xdr:cNvSpPr>
      </xdr:nvSpPr>
      <xdr:spPr bwMode="auto">
        <a:xfrm>
          <a:off x="176493" y="533400"/>
          <a:ext cx="25908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CÔNG TY CỔ PHẦN THÉP 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HÒA PHÁT DUNG QUẤT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127488</xdr:rowOff>
    </xdr:from>
    <xdr:to>
      <xdr:col>3</xdr:col>
      <xdr:colOff>300626</xdr:colOff>
      <xdr:row>0</xdr:row>
      <xdr:rowOff>542925</xdr:rowOff>
    </xdr:to>
    <xdr:pic>
      <xdr:nvPicPr>
        <xdr:cNvPr id="2" name="Hình ảnh 10">
          <a:extLst>
            <a:ext uri="{FF2B5EF4-FFF2-40B4-BE49-F238E27FC236}">
              <a16:creationId xmlns:a16="http://schemas.microsoft.com/office/drawing/2014/main" id="{0E19F602-E1E5-463D-A554-ADA28AA8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27488"/>
          <a:ext cx="1662701" cy="415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176493</xdr:colOff>
      <xdr:row>0</xdr:row>
      <xdr:rowOff>533400</xdr:rowOff>
    </xdr:from>
    <xdr:to>
      <xdr:col>4</xdr:col>
      <xdr:colOff>33618</xdr:colOff>
      <xdr:row>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327EFF-D01B-4792-BC32-CDC64171DF92}"/>
            </a:ext>
          </a:extLst>
        </xdr:cNvPr>
        <xdr:cNvSpPr>
          <a:spLocks noChangeArrowheads="1"/>
        </xdr:cNvSpPr>
      </xdr:nvSpPr>
      <xdr:spPr bwMode="auto">
        <a:xfrm>
          <a:off x="176493" y="533400"/>
          <a:ext cx="2591360" cy="3966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2700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ctr" anchorCtr="0" upright="1">
          <a:noAutofit/>
        </a:bodyPr>
        <a:lstStyle/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CÔNG TY CỔ PHẦN THÉP 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r>
            <a:rPr lang="en-US" sz="12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HÒA PHÁT DUNG QUẤT</a:t>
          </a:r>
          <a:endParaRPr lang="en-US" sz="1200">
            <a:effectLst/>
            <a:latin typeface="Times New Roman" panose="02020603050405020304" pitchFamily="18" charset="0"/>
            <a:ea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D5ED-EB58-45E7-9B09-45AD73E6FE6B}">
  <dimension ref="A1:T37"/>
  <sheetViews>
    <sheetView view="pageBreakPreview" zoomScale="85" zoomScaleNormal="100" zoomScaleSheetLayoutView="85" workbookViewId="0">
      <selection activeCell="J9" sqref="J9:J11"/>
    </sheetView>
  </sheetViews>
  <sheetFormatPr defaultColWidth="11.42578125" defaultRowHeight="12.75" x14ac:dyDescent="0.2"/>
  <cols>
    <col min="1" max="1" width="4.140625" style="69" customWidth="1"/>
    <col min="2" max="2" width="15.85546875" style="19" customWidth="1"/>
    <col min="3" max="3" width="16.7109375" style="69" customWidth="1"/>
    <col min="4" max="4" width="17.28515625" style="110" customWidth="1"/>
    <col min="5" max="5" width="15.85546875" style="93" customWidth="1"/>
    <col min="6" max="6" width="13.140625" style="69" customWidth="1"/>
    <col min="7" max="7" width="13.28515625" style="111" customWidth="1"/>
    <col min="8" max="8" width="23.5703125" style="69" customWidth="1"/>
    <col min="9" max="9" width="32" style="69" customWidth="1"/>
    <col min="10" max="10" width="11.140625" style="55" customWidth="1"/>
    <col min="11" max="11" width="6.85546875" style="112" customWidth="1"/>
    <col min="12" max="12" width="20.85546875" style="19" customWidth="1"/>
    <col min="13" max="13" width="24.5703125" style="19" customWidth="1"/>
    <col min="14" max="14" width="12.140625" style="77" bestFit="1" customWidth="1"/>
    <col min="15" max="15" width="16.42578125" style="19" customWidth="1"/>
    <col min="16" max="16" width="13.140625" style="19" bestFit="1" customWidth="1"/>
    <col min="17" max="16384" width="11.42578125" style="19"/>
  </cols>
  <sheetData>
    <row r="1" spans="1:20" s="7" customFormat="1" ht="49.7" customHeight="1" x14ac:dyDescent="0.2">
      <c r="A1" s="1"/>
      <c r="B1" s="90"/>
      <c r="C1" s="91"/>
      <c r="D1" s="92"/>
      <c r="E1" s="93"/>
      <c r="F1" s="10"/>
      <c r="G1" s="94"/>
      <c r="H1" s="356" t="s">
        <v>0</v>
      </c>
      <c r="I1" s="356"/>
      <c r="J1" s="356"/>
      <c r="K1" s="356"/>
      <c r="N1" s="76"/>
    </row>
    <row r="2" spans="1:20" s="7" customFormat="1" ht="15.75" x14ac:dyDescent="0.2">
      <c r="A2" s="10"/>
      <c r="B2" s="357"/>
      <c r="C2" s="357"/>
      <c r="D2" s="92"/>
      <c r="E2" s="93"/>
      <c r="F2" s="10"/>
      <c r="G2" s="94"/>
      <c r="H2" s="356"/>
      <c r="I2" s="356"/>
      <c r="J2" s="356"/>
      <c r="K2" s="356"/>
      <c r="N2" s="76"/>
    </row>
    <row r="3" spans="1:20" s="7" customFormat="1" ht="15" x14ac:dyDescent="0.2">
      <c r="A3" s="10"/>
      <c r="B3" s="358" t="s">
        <v>24340</v>
      </c>
      <c r="C3" s="358"/>
      <c r="D3" s="358"/>
      <c r="E3" s="93"/>
      <c r="F3" s="10"/>
      <c r="G3" s="94"/>
      <c r="H3" s="359"/>
      <c r="I3" s="359"/>
      <c r="J3" s="359"/>
      <c r="K3" s="359"/>
      <c r="N3" s="76"/>
    </row>
    <row r="4" spans="1:20" ht="23.85" customHeight="1" x14ac:dyDescent="0.2">
      <c r="A4" s="360" t="s">
        <v>1</v>
      </c>
      <c r="B4" s="360"/>
      <c r="C4" s="360"/>
      <c r="D4" s="360"/>
      <c r="E4" s="360"/>
      <c r="F4" s="360"/>
      <c r="G4" s="360"/>
      <c r="H4" s="360"/>
      <c r="I4" s="360"/>
      <c r="J4" s="360"/>
      <c r="K4" s="360"/>
    </row>
    <row r="5" spans="1:20" s="25" customFormat="1" ht="13.7" customHeight="1" x14ac:dyDescent="0.25">
      <c r="A5" s="22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T5" s="78"/>
    </row>
    <row r="6" spans="1:20" s="25" customFormat="1" ht="15" x14ac:dyDescent="0.25">
      <c r="A6" s="128" t="str">
        <f>+'PXC 05.10.25'!A6</f>
        <v>- Thời gian hiệu lực: Từ 08h00, ngày 23/10/2025 đến 08h00, ngày 30/10/2025</v>
      </c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T6" s="78"/>
    </row>
    <row r="7" spans="1:20" s="61" customFormat="1" ht="14.25" customHeight="1" x14ac:dyDescent="0.2">
      <c r="A7" s="348" t="s">
        <v>3</v>
      </c>
      <c r="B7" s="348" t="s">
        <v>4</v>
      </c>
      <c r="C7" s="348" t="s">
        <v>5</v>
      </c>
      <c r="D7" s="348" t="s">
        <v>6</v>
      </c>
      <c r="E7" s="348"/>
      <c r="F7" s="348"/>
      <c r="G7" s="348" t="s">
        <v>7</v>
      </c>
      <c r="H7" s="348" t="s">
        <v>8</v>
      </c>
      <c r="I7" s="348" t="s">
        <v>24244</v>
      </c>
      <c r="J7" s="349" t="s">
        <v>9</v>
      </c>
      <c r="K7" s="349" t="s">
        <v>10</v>
      </c>
      <c r="N7" s="95"/>
    </row>
    <row r="8" spans="1:20" s="61" customFormat="1" ht="32.25" customHeight="1" x14ac:dyDescent="0.2">
      <c r="A8" s="348"/>
      <c r="B8" s="348"/>
      <c r="C8" s="348"/>
      <c r="D8" s="116" t="s">
        <v>11</v>
      </c>
      <c r="E8" s="116" t="s">
        <v>12</v>
      </c>
      <c r="F8" s="116" t="s">
        <v>13</v>
      </c>
      <c r="G8" s="348"/>
      <c r="H8" s="348"/>
      <c r="I8" s="348"/>
      <c r="J8" s="350"/>
      <c r="K8" s="350"/>
      <c r="N8" s="95"/>
    </row>
    <row r="9" spans="1:20" s="98" customFormat="1" ht="33" customHeight="1" x14ac:dyDescent="0.25">
      <c r="A9" s="99">
        <f t="shared" ref="A9:A11" si="0">ROW()-8</f>
        <v>1</v>
      </c>
      <c r="B9" s="117" t="s">
        <v>14</v>
      </c>
      <c r="C9" s="118" t="s">
        <v>15</v>
      </c>
      <c r="D9" s="180" t="s">
        <v>24271</v>
      </c>
      <c r="E9" s="118">
        <v>34000</v>
      </c>
      <c r="F9" s="119">
        <f t="shared" ref="F9:F11" si="1">LEFT(D9,2)*RIGHT(D9,4)*E9*7600/10^12</f>
        <v>21.330919999999999</v>
      </c>
      <c r="G9" s="120" t="e">
        <f>SUMIF('PXC 05.10.25'!N10:T10,'PXD 04.10.25 cũ'!D9,'PXC 05.10.25'!#REF!)*1.05</f>
        <v>#REF!</v>
      </c>
      <c r="H9" s="351" t="s">
        <v>24339</v>
      </c>
      <c r="I9" s="117" t="s">
        <v>24342</v>
      </c>
      <c r="J9" s="353">
        <v>1010003305</v>
      </c>
      <c r="K9" s="354" t="s">
        <v>16</v>
      </c>
      <c r="L9" s="96"/>
      <c r="M9" s="97"/>
      <c r="N9" s="97"/>
    </row>
    <row r="10" spans="1:20" s="98" customFormat="1" ht="33" customHeight="1" x14ac:dyDescent="0.25">
      <c r="A10" s="99">
        <f t="shared" si="0"/>
        <v>2</v>
      </c>
      <c r="B10" s="117" t="s">
        <v>14</v>
      </c>
      <c r="C10" s="118" t="s">
        <v>15</v>
      </c>
      <c r="D10" s="180" t="s">
        <v>17</v>
      </c>
      <c r="E10" s="118">
        <v>34000</v>
      </c>
      <c r="F10" s="119">
        <f t="shared" si="1"/>
        <v>20.82704</v>
      </c>
      <c r="G10" s="120" t="e">
        <f>SUMIF('PXC 05.10.25'!N11:T11,'PXD 04.10.25 cũ'!D10,'PXC 05.10.25'!#REF!)*1.05</f>
        <v>#REF!</v>
      </c>
      <c r="H10" s="352"/>
      <c r="I10" s="117" t="s">
        <v>24341</v>
      </c>
      <c r="J10" s="353"/>
      <c r="K10" s="355"/>
      <c r="L10" s="96"/>
      <c r="M10" s="97"/>
      <c r="N10" s="97"/>
    </row>
    <row r="11" spans="1:20" s="98" customFormat="1" ht="33" customHeight="1" x14ac:dyDescent="0.25">
      <c r="A11" s="99">
        <f t="shared" si="0"/>
        <v>3</v>
      </c>
      <c r="B11" s="117" t="s">
        <v>14</v>
      </c>
      <c r="C11" s="118" t="s">
        <v>15</v>
      </c>
      <c r="D11" s="180" t="s">
        <v>18</v>
      </c>
      <c r="E11" s="118">
        <v>34000</v>
      </c>
      <c r="F11" s="119">
        <f t="shared" si="1"/>
        <v>20.491119999999999</v>
      </c>
      <c r="G11" s="120" t="e">
        <f>SUMIF('PXC 05.10.25'!N11:T12,'PXD 04.10.25 cũ'!D11,'PXC 05.10.25'!#REF!)*1.05</f>
        <v>#REF!</v>
      </c>
      <c r="H11" s="352"/>
      <c r="I11" s="117" t="s">
        <v>24343</v>
      </c>
      <c r="J11" s="353"/>
      <c r="K11" s="355"/>
      <c r="L11" s="96"/>
      <c r="M11" s="97"/>
      <c r="N11" s="97"/>
    </row>
    <row r="12" spans="1:20" s="10" customFormat="1" ht="19.149999999999999" customHeight="1" x14ac:dyDescent="0.2">
      <c r="A12" s="99"/>
      <c r="B12" s="342" t="s">
        <v>19</v>
      </c>
      <c r="C12" s="343"/>
      <c r="D12" s="126"/>
      <c r="E12" s="126"/>
      <c r="F12" s="127"/>
      <c r="G12" s="121" t="e">
        <f>SUM(G9:G11)</f>
        <v>#REF!</v>
      </c>
      <c r="H12" s="122"/>
      <c r="I12" s="123"/>
      <c r="J12" s="124"/>
      <c r="K12" s="125"/>
      <c r="L12" s="42"/>
      <c r="M12" s="100"/>
      <c r="N12" s="100"/>
      <c r="O12" s="101"/>
    </row>
    <row r="13" spans="1:20" s="10" customFormat="1" ht="30.2" customHeight="1" x14ac:dyDescent="0.2">
      <c r="A13" s="344" t="s">
        <v>20</v>
      </c>
      <c r="B13" s="344"/>
      <c r="C13" s="344"/>
      <c r="D13" s="344"/>
      <c r="E13" s="344"/>
      <c r="F13" s="344"/>
      <c r="G13" s="344"/>
      <c r="H13" s="344"/>
      <c r="I13" s="344"/>
      <c r="J13" s="344"/>
      <c r="K13" s="344"/>
      <c r="M13" s="100"/>
      <c r="N13" s="100"/>
      <c r="O13" s="101"/>
    </row>
    <row r="14" spans="1:20" s="10" customFormat="1" ht="15" x14ac:dyDescent="0.2">
      <c r="A14" s="43"/>
      <c r="B14" s="102"/>
      <c r="C14" s="103"/>
      <c r="D14" s="104"/>
      <c r="E14" s="103"/>
      <c r="F14" s="345" t="str">
        <f>+'PXC 05.10.25'!N13</f>
        <v>Quảng Ngãi, ngày 22 tháng 10 năm 2025</v>
      </c>
      <c r="G14" s="345"/>
      <c r="H14" s="345"/>
      <c r="I14" s="345"/>
      <c r="J14" s="345"/>
      <c r="K14" s="345"/>
      <c r="M14" s="100"/>
      <c r="N14" s="100"/>
    </row>
    <row r="15" spans="1:20" s="10" customFormat="1" ht="16.5" x14ac:dyDescent="0.25">
      <c r="A15" s="48"/>
      <c r="B15" s="105"/>
      <c r="C15" s="106"/>
      <c r="D15" s="107" t="s">
        <v>21</v>
      </c>
      <c r="G15" s="108"/>
      <c r="H15" s="108"/>
      <c r="I15" s="109" t="s">
        <v>22</v>
      </c>
      <c r="J15" s="93"/>
      <c r="K15" s="109"/>
      <c r="L15" s="109"/>
      <c r="M15" s="100"/>
      <c r="N15" s="100"/>
    </row>
    <row r="16" spans="1:20" x14ac:dyDescent="0.2">
      <c r="A16" s="346" t="s">
        <v>23</v>
      </c>
      <c r="B16" s="346"/>
      <c r="C16" s="106"/>
      <c r="E16" s="69"/>
      <c r="M16" s="130"/>
      <c r="N16" s="130"/>
    </row>
    <row r="17" spans="1:14" ht="18.75" customHeight="1" x14ac:dyDescent="0.2">
      <c r="A17" s="347" t="s">
        <v>24</v>
      </c>
      <c r="B17" s="347"/>
      <c r="C17" s="347"/>
      <c r="E17" s="69"/>
      <c r="M17" s="130"/>
      <c r="N17" s="130"/>
    </row>
    <row r="18" spans="1:14" ht="17.45" customHeight="1" x14ac:dyDescent="0.2">
      <c r="A18" s="347" t="s">
        <v>25</v>
      </c>
      <c r="B18" s="347"/>
      <c r="C18" s="106"/>
      <c r="E18" s="69"/>
      <c r="M18" s="130"/>
      <c r="N18" s="130"/>
    </row>
    <row r="19" spans="1:14" ht="15.75" customHeight="1" x14ac:dyDescent="0.2">
      <c r="A19" s="341" t="s">
        <v>26</v>
      </c>
      <c r="B19" s="341"/>
      <c r="C19" s="341"/>
      <c r="E19" s="69"/>
      <c r="M19" s="130"/>
      <c r="N19" s="130"/>
    </row>
    <row r="20" spans="1:14" ht="15.75" x14ac:dyDescent="0.2">
      <c r="A20" s="68"/>
      <c r="D20" s="55"/>
      <c r="E20" s="113"/>
      <c r="F20" s="114"/>
      <c r="G20" s="115"/>
      <c r="L20" s="61"/>
    </row>
    <row r="21" spans="1:14" x14ac:dyDescent="0.2">
      <c r="L21" s="61"/>
    </row>
    <row r="22" spans="1:14" x14ac:dyDescent="0.2">
      <c r="L22" s="61"/>
    </row>
    <row r="23" spans="1:14" x14ac:dyDescent="0.2">
      <c r="L23" s="61"/>
    </row>
    <row r="25" spans="1:14" s="70" customFormat="1" x14ac:dyDescent="0.2">
      <c r="A25" s="69"/>
      <c r="B25" s="19"/>
      <c r="C25" s="69"/>
      <c r="D25" s="110"/>
      <c r="E25" s="93"/>
      <c r="F25" s="69"/>
      <c r="G25" s="111"/>
      <c r="H25" s="69"/>
      <c r="I25" s="69"/>
      <c r="J25" s="55"/>
      <c r="K25" s="112"/>
      <c r="N25" s="77"/>
    </row>
    <row r="26" spans="1:14" s="74" customFormat="1" x14ac:dyDescent="0.2">
      <c r="A26" s="69"/>
      <c r="B26" s="19"/>
      <c r="C26" s="69"/>
      <c r="D26" s="110"/>
      <c r="E26" s="93"/>
      <c r="F26" s="69"/>
      <c r="G26" s="111"/>
      <c r="H26" s="69"/>
      <c r="I26" s="69"/>
      <c r="J26" s="55"/>
      <c r="K26" s="112"/>
      <c r="N26" s="80"/>
    </row>
    <row r="27" spans="1:14" s="74" customFormat="1" x14ac:dyDescent="0.2">
      <c r="A27" s="69"/>
      <c r="B27" s="19"/>
      <c r="C27" s="69"/>
      <c r="D27" s="110"/>
      <c r="E27" s="93"/>
      <c r="F27" s="69"/>
      <c r="G27" s="111"/>
      <c r="H27" s="69"/>
      <c r="I27" s="69"/>
      <c r="J27" s="55"/>
      <c r="K27" s="112"/>
      <c r="N27" s="80"/>
    </row>
    <row r="28" spans="1:14" s="74" customFormat="1" x14ac:dyDescent="0.2">
      <c r="A28" s="69"/>
      <c r="B28" s="19"/>
      <c r="C28" s="69"/>
      <c r="D28" s="110"/>
      <c r="E28" s="93"/>
      <c r="F28" s="69"/>
      <c r="G28" s="111"/>
      <c r="H28" s="69"/>
      <c r="I28" s="69"/>
      <c r="J28" s="55"/>
      <c r="K28" s="112"/>
      <c r="N28" s="80"/>
    </row>
    <row r="29" spans="1:14" s="74" customFormat="1" x14ac:dyDescent="0.2">
      <c r="A29" s="69"/>
      <c r="B29" s="19"/>
      <c r="C29" s="69"/>
      <c r="D29" s="110"/>
      <c r="E29" s="93"/>
      <c r="F29" s="69"/>
      <c r="G29" s="111"/>
      <c r="H29" s="69"/>
      <c r="I29" s="69"/>
      <c r="J29" s="55"/>
      <c r="K29" s="112"/>
      <c r="N29" s="80"/>
    </row>
    <row r="30" spans="1:14" s="74" customFormat="1" x14ac:dyDescent="0.2">
      <c r="A30" s="69"/>
      <c r="B30" s="19"/>
      <c r="C30" s="69"/>
      <c r="D30" s="110"/>
      <c r="E30" s="93"/>
      <c r="F30" s="69"/>
      <c r="G30" s="111"/>
      <c r="H30" s="69"/>
      <c r="I30" s="69"/>
      <c r="J30" s="55"/>
      <c r="K30" s="112"/>
      <c r="N30" s="80"/>
    </row>
    <row r="31" spans="1:14" s="74" customFormat="1" x14ac:dyDescent="0.2">
      <c r="A31" s="69"/>
      <c r="B31" s="19"/>
      <c r="C31" s="69"/>
      <c r="D31" s="110"/>
      <c r="E31" s="93"/>
      <c r="F31" s="69"/>
      <c r="G31" s="111"/>
      <c r="H31" s="69"/>
      <c r="I31" s="69"/>
      <c r="J31" s="55"/>
      <c r="K31" s="112"/>
      <c r="N31" s="80"/>
    </row>
    <row r="32" spans="1:14" s="74" customFormat="1" x14ac:dyDescent="0.2">
      <c r="A32" s="69"/>
      <c r="B32" s="19"/>
      <c r="C32" s="69"/>
      <c r="D32" s="110"/>
      <c r="E32" s="93"/>
      <c r="F32" s="69"/>
      <c r="G32" s="111"/>
      <c r="H32" s="69"/>
      <c r="I32" s="69"/>
      <c r="J32" s="55"/>
      <c r="K32" s="112"/>
      <c r="N32" s="80"/>
    </row>
    <row r="33" spans="1:14" s="74" customFormat="1" x14ac:dyDescent="0.2">
      <c r="A33" s="69"/>
      <c r="B33" s="19"/>
      <c r="C33" s="69"/>
      <c r="D33" s="110"/>
      <c r="E33" s="93"/>
      <c r="F33" s="69"/>
      <c r="G33" s="111"/>
      <c r="H33" s="69"/>
      <c r="I33" s="69"/>
      <c r="J33" s="55"/>
      <c r="K33" s="112"/>
      <c r="N33" s="80"/>
    </row>
    <row r="34" spans="1:14" s="74" customFormat="1" x14ac:dyDescent="0.2">
      <c r="A34" s="69"/>
      <c r="B34" s="19"/>
      <c r="C34" s="69"/>
      <c r="D34" s="110"/>
      <c r="E34" s="93"/>
      <c r="F34" s="69"/>
      <c r="G34" s="111"/>
      <c r="H34" s="69"/>
      <c r="I34" s="69"/>
      <c r="J34" s="55"/>
      <c r="K34" s="112"/>
      <c r="N34" s="80"/>
    </row>
    <row r="35" spans="1:14" s="74" customFormat="1" x14ac:dyDescent="0.2">
      <c r="A35" s="69"/>
      <c r="B35" s="19"/>
      <c r="C35" s="69"/>
      <c r="D35" s="110"/>
      <c r="E35" s="93"/>
      <c r="F35" s="69"/>
      <c r="G35" s="111"/>
      <c r="H35" s="69"/>
      <c r="I35" s="69"/>
      <c r="J35" s="55"/>
      <c r="K35" s="112"/>
      <c r="N35" s="80"/>
    </row>
    <row r="36" spans="1:14" s="74" customFormat="1" x14ac:dyDescent="0.2">
      <c r="A36" s="69"/>
      <c r="B36" s="19"/>
      <c r="C36" s="69"/>
      <c r="D36" s="110"/>
      <c r="E36" s="93"/>
      <c r="F36" s="69"/>
      <c r="G36" s="111"/>
      <c r="H36" s="69"/>
      <c r="I36" s="69"/>
      <c r="J36" s="55"/>
      <c r="K36" s="112"/>
      <c r="N36" s="80"/>
    </row>
    <row r="37" spans="1:14" s="74" customFormat="1" x14ac:dyDescent="0.2">
      <c r="A37" s="69"/>
      <c r="B37" s="19"/>
      <c r="C37" s="69"/>
      <c r="D37" s="110"/>
      <c r="E37" s="93"/>
      <c r="F37" s="69"/>
      <c r="G37" s="111"/>
      <c r="H37" s="69"/>
      <c r="I37" s="69"/>
      <c r="J37" s="55"/>
      <c r="K37" s="112"/>
      <c r="N37" s="80"/>
    </row>
  </sheetData>
  <sheetProtection algorithmName="SHA-512" hashValue="4AYqGWkdi2Uet8oQtwKqV+Eauk0kXNRf+SggD22b71qbncE9QdN7snIT4AXvnAk4wv9tMf7kWWja9LCyrgdZFA==" saltValue="5KNuopYTItjm19+rT638vw==" spinCount="100000" sheet="1" objects="1" scenarios="1"/>
  <mergeCells count="24">
    <mergeCell ref="A7:A8"/>
    <mergeCell ref="B7:B8"/>
    <mergeCell ref="C7:C8"/>
    <mergeCell ref="D7:F7"/>
    <mergeCell ref="G7:G8"/>
    <mergeCell ref="H1:K2"/>
    <mergeCell ref="B2:C2"/>
    <mergeCell ref="B3:D3"/>
    <mergeCell ref="H3:K3"/>
    <mergeCell ref="A4:K4"/>
    <mergeCell ref="H7:H8"/>
    <mergeCell ref="I7:I8"/>
    <mergeCell ref="J7:J8"/>
    <mergeCell ref="K7:K8"/>
    <mergeCell ref="H9:H11"/>
    <mergeCell ref="J9:J11"/>
    <mergeCell ref="K9:K11"/>
    <mergeCell ref="A19:C19"/>
    <mergeCell ref="B12:C12"/>
    <mergeCell ref="A13:K13"/>
    <mergeCell ref="F14:K14"/>
    <mergeCell ref="A16:B16"/>
    <mergeCell ref="A17:C17"/>
    <mergeCell ref="A18:B18"/>
  </mergeCells>
  <conditionalFormatting sqref="F14 H12:H13 H16:H1048576 H1 H7:H8 H3:H4">
    <cfRule type="duplicateValues" dxfId="52" priority="4"/>
  </conditionalFormatting>
  <conditionalFormatting sqref="I12:I13 I3:I4 I16:I1048576 I7:I8">
    <cfRule type="duplicateValues" dxfId="51" priority="5"/>
  </conditionalFormatting>
  <conditionalFormatting sqref="M9:M11">
    <cfRule type="duplicateValues" dxfId="50" priority="7"/>
  </conditionalFormatting>
  <conditionalFormatting sqref="M12:M1048576 M1:M4 M7:M8">
    <cfRule type="duplicateValues" dxfId="49" priority="6"/>
  </conditionalFormatting>
  <conditionalFormatting sqref="N6">
    <cfRule type="duplicateValues" dxfId="48" priority="2"/>
  </conditionalFormatting>
  <conditionalFormatting sqref="O6">
    <cfRule type="duplicateValues" dxfId="47" priority="1"/>
  </conditionalFormatting>
  <conditionalFormatting sqref="S5:S6">
    <cfRule type="duplicateValues" dxfId="46" priority="3"/>
  </conditionalFormatting>
  <pageMargins left="0.5593700787" right="0.2" top="0.40748031499999998" bottom="0" header="0.31496062992126" footer="0.31496062992126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CDAB-969B-4267-9EB5-7636DF0CE31A}">
  <sheetPr>
    <pageSetUpPr fitToPage="1"/>
  </sheetPr>
  <dimension ref="A1:AL59"/>
  <sheetViews>
    <sheetView showGridLines="0" view="pageBreakPreview" zoomScale="70" zoomScaleNormal="100" zoomScaleSheetLayoutView="70" workbookViewId="0">
      <selection activeCell="O12" sqref="O12"/>
    </sheetView>
  </sheetViews>
  <sheetFormatPr defaultColWidth="11.28515625" defaultRowHeight="12.75" x14ac:dyDescent="0.2"/>
  <cols>
    <col min="1" max="1" width="4.140625" style="69" customWidth="1"/>
    <col min="2" max="2" width="10.140625" style="69" customWidth="1"/>
    <col min="3" max="3" width="12.28515625" style="55" bestFit="1" customWidth="1"/>
    <col min="4" max="4" width="9.42578125" style="186" customWidth="1"/>
    <col min="5" max="5" width="7.85546875" style="220" customWidth="1"/>
    <col min="6" max="6" width="6.28515625" style="220" customWidth="1"/>
    <col min="7" max="7" width="12.42578125" style="220" customWidth="1"/>
    <col min="8" max="8" width="9.42578125" style="220" customWidth="1"/>
    <col min="9" max="10" width="6.85546875" style="110" customWidth="1"/>
    <col min="11" max="11" width="6.42578125" style="110" customWidth="1"/>
    <col min="12" max="12" width="9.42578125" style="110" customWidth="1"/>
    <col min="13" max="13" width="10.5703125" style="188" customWidth="1"/>
    <col min="14" max="14" width="8.42578125" style="110" customWidth="1"/>
    <col min="15" max="15" width="45.7109375" style="189" customWidth="1"/>
    <col min="16" max="16" width="11.140625" style="110" customWidth="1"/>
    <col min="17" max="17" width="11" style="110" customWidth="1"/>
    <col min="18" max="18" width="11.140625" style="55" customWidth="1"/>
    <col min="19" max="19" width="25.140625" style="182" customWidth="1"/>
    <col min="20" max="20" width="18.7109375" style="19" customWidth="1"/>
    <col min="21" max="21" width="15.42578125" style="19" hidden="1" customWidth="1"/>
    <col min="22" max="25" width="10.42578125" style="19" hidden="1" customWidth="1"/>
    <col min="26" max="26" width="46" style="20" hidden="1" customWidth="1"/>
    <col min="27" max="27" width="10.42578125" style="21" hidden="1" customWidth="1"/>
    <col min="28" max="28" width="10.42578125" style="85" hidden="1" customWidth="1"/>
    <col min="29" max="29" width="10.42578125" style="77" hidden="1" customWidth="1"/>
    <col min="30" max="30" width="10.42578125" style="19" hidden="1" customWidth="1"/>
    <col min="31" max="34" width="10.42578125" style="172" hidden="1" customWidth="1"/>
    <col min="35" max="35" width="11.28515625" style="19" hidden="1" customWidth="1"/>
    <col min="36" max="37" width="11.28515625" style="172" hidden="1" customWidth="1"/>
    <col min="38" max="49" width="11.28515625" style="19" customWidth="1"/>
    <col min="50" max="16384" width="11.28515625" style="19"/>
  </cols>
  <sheetData>
    <row r="1" spans="1:38" s="7" customFormat="1" ht="45.6" customHeight="1" x14ac:dyDescent="0.25">
      <c r="A1" s="1"/>
      <c r="B1" s="101"/>
      <c r="C1" s="185"/>
      <c r="D1" s="186"/>
      <c r="E1" s="187"/>
      <c r="F1" s="187"/>
      <c r="G1" s="187"/>
      <c r="H1" s="187"/>
      <c r="I1" s="92"/>
      <c r="J1" s="92"/>
      <c r="K1" s="92"/>
      <c r="L1" s="92"/>
      <c r="M1" s="188"/>
      <c r="N1" s="92"/>
      <c r="O1" s="189"/>
      <c r="P1" s="377" t="s">
        <v>24071</v>
      </c>
      <c r="Q1" s="377"/>
      <c r="R1" s="377"/>
      <c r="S1" s="377"/>
      <c r="Z1" s="8"/>
      <c r="AA1" s="9"/>
      <c r="AB1" s="84"/>
      <c r="AC1" s="76"/>
      <c r="AE1" s="171"/>
      <c r="AF1" s="171"/>
      <c r="AG1" s="171"/>
      <c r="AH1" s="171"/>
      <c r="AJ1" s="171"/>
      <c r="AK1" s="171"/>
    </row>
    <row r="2" spans="1:38" s="7" customFormat="1" ht="27.75" customHeight="1" x14ac:dyDescent="0.2">
      <c r="A2" s="10"/>
      <c r="B2" s="14"/>
      <c r="C2" s="14"/>
      <c r="D2" s="1"/>
      <c r="E2" s="190"/>
      <c r="F2" s="190"/>
      <c r="G2" s="190"/>
      <c r="H2" s="190"/>
      <c r="I2" s="1"/>
      <c r="J2" s="92"/>
      <c r="K2" s="92"/>
      <c r="L2" s="92"/>
      <c r="M2" s="188"/>
      <c r="N2" s="92"/>
      <c r="O2" s="189"/>
      <c r="P2" s="191"/>
      <c r="Q2" s="191"/>
      <c r="R2" s="14"/>
      <c r="S2" s="14"/>
      <c r="Z2" s="8"/>
      <c r="AA2" s="9"/>
      <c r="AB2" s="84"/>
      <c r="AC2" s="76"/>
      <c r="AE2" s="171"/>
      <c r="AF2" s="171"/>
      <c r="AG2" s="171"/>
      <c r="AH2" s="171"/>
      <c r="AJ2" s="171"/>
      <c r="AK2" s="171"/>
    </row>
    <row r="3" spans="1:38" s="7" customFormat="1" ht="12.2" customHeight="1" x14ac:dyDescent="0.2">
      <c r="A3" s="10"/>
      <c r="B3" s="192" t="s">
        <v>24302</v>
      </c>
      <c r="C3" s="193"/>
      <c r="D3" s="193"/>
      <c r="E3" s="194"/>
      <c r="F3" s="187"/>
      <c r="G3" s="194"/>
      <c r="H3" s="187"/>
      <c r="I3" s="92"/>
      <c r="J3" s="92"/>
      <c r="K3" s="92"/>
      <c r="L3" s="92"/>
      <c r="M3" s="188"/>
      <c r="N3" s="92"/>
      <c r="O3" s="189"/>
      <c r="P3" s="195"/>
      <c r="Q3" s="195"/>
      <c r="R3" s="18"/>
      <c r="S3" s="18"/>
      <c r="Z3" s="8"/>
      <c r="AA3" s="9"/>
      <c r="AB3" s="84"/>
      <c r="AC3" s="76"/>
      <c r="AE3" s="171"/>
      <c r="AF3" s="171"/>
      <c r="AG3" s="171"/>
      <c r="AH3" s="171"/>
      <c r="AJ3" s="171"/>
      <c r="AK3" s="171"/>
    </row>
    <row r="4" spans="1:38" ht="21.2" customHeight="1" x14ac:dyDescent="0.2">
      <c r="A4" s="378" t="s">
        <v>1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</row>
    <row r="5" spans="1:38" s="25" customFormat="1" ht="15.75" customHeight="1" x14ac:dyDescent="0.25">
      <c r="A5" s="22" t="s">
        <v>24177</v>
      </c>
      <c r="B5" s="24"/>
      <c r="C5" s="24"/>
      <c r="D5" s="24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7"/>
      <c r="P5" s="196"/>
      <c r="Q5" s="196"/>
      <c r="R5" s="24"/>
      <c r="S5" s="181"/>
      <c r="Z5" s="26"/>
      <c r="AA5" s="27"/>
      <c r="AB5" s="86"/>
      <c r="AC5" s="78"/>
      <c r="AE5" s="173"/>
      <c r="AF5" s="173"/>
      <c r="AG5" s="173"/>
      <c r="AH5" s="173"/>
      <c r="AJ5" s="173"/>
      <c r="AK5" s="173"/>
    </row>
    <row r="6" spans="1:38" s="25" customFormat="1" ht="16.5" customHeight="1" x14ac:dyDescent="0.25">
      <c r="A6" s="22" t="s">
        <v>24303</v>
      </c>
      <c r="B6" s="24"/>
      <c r="C6" s="24"/>
      <c r="D6" s="24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7"/>
      <c r="P6" s="196"/>
      <c r="Q6" s="196"/>
      <c r="R6" s="24"/>
      <c r="S6" s="181"/>
      <c r="Z6" s="26"/>
      <c r="AA6" s="27"/>
      <c r="AB6" s="86"/>
      <c r="AC6" s="78"/>
      <c r="AE6" s="173"/>
      <c r="AF6" s="173"/>
      <c r="AG6" s="173"/>
      <c r="AH6" s="173"/>
      <c r="AJ6" s="173"/>
      <c r="AK6" s="173"/>
    </row>
    <row r="7" spans="1:38" s="28" customFormat="1" ht="17.45" customHeight="1" x14ac:dyDescent="0.15">
      <c r="A7" s="367" t="s">
        <v>24075</v>
      </c>
      <c r="B7" s="367" t="s">
        <v>24076</v>
      </c>
      <c r="C7" s="367" t="s">
        <v>24077</v>
      </c>
      <c r="D7" s="367"/>
      <c r="E7" s="367"/>
      <c r="F7" s="367"/>
      <c r="G7" s="367"/>
      <c r="H7" s="367"/>
      <c r="I7" s="367"/>
      <c r="J7" s="367"/>
      <c r="K7" s="367"/>
      <c r="L7" s="367"/>
      <c r="M7" s="367" t="s">
        <v>24078</v>
      </c>
      <c r="N7" s="367"/>
      <c r="O7" s="379" t="s">
        <v>24079</v>
      </c>
      <c r="P7" s="368" t="s">
        <v>24080</v>
      </c>
      <c r="Q7" s="368" t="s">
        <v>24081</v>
      </c>
      <c r="R7" s="368" t="s">
        <v>24082</v>
      </c>
      <c r="S7" s="368" t="s">
        <v>24083</v>
      </c>
      <c r="T7" s="370" t="s">
        <v>24178</v>
      </c>
      <c r="U7" s="252"/>
      <c r="V7" s="373" t="s">
        <v>24084</v>
      </c>
      <c r="W7" s="374" t="s">
        <v>24085</v>
      </c>
      <c r="X7" s="374" t="s">
        <v>24086</v>
      </c>
      <c r="Y7" s="374" t="s">
        <v>24087</v>
      </c>
      <c r="Z7" s="29"/>
      <c r="AA7" s="30"/>
      <c r="AB7" s="87"/>
      <c r="AC7" s="79"/>
      <c r="AE7" s="174"/>
      <c r="AF7" s="174"/>
      <c r="AG7" s="174"/>
      <c r="AH7" s="174"/>
      <c r="AJ7" s="366" t="s">
        <v>24179</v>
      </c>
      <c r="AK7" s="366" t="s">
        <v>24180</v>
      </c>
    </row>
    <row r="8" spans="1:38" s="28" customFormat="1" ht="24.75" customHeight="1" x14ac:dyDescent="0.15">
      <c r="A8" s="367"/>
      <c r="B8" s="367"/>
      <c r="C8" s="367" t="s">
        <v>24088</v>
      </c>
      <c r="D8" s="368" t="s">
        <v>24089</v>
      </c>
      <c r="E8" s="369" t="s">
        <v>24090</v>
      </c>
      <c r="F8" s="369"/>
      <c r="G8" s="369" t="s">
        <v>24091</v>
      </c>
      <c r="H8" s="369"/>
      <c r="I8" s="367" t="s">
        <v>24097</v>
      </c>
      <c r="J8" s="367"/>
      <c r="K8" s="367"/>
      <c r="L8" s="367"/>
      <c r="M8" s="367"/>
      <c r="N8" s="367"/>
      <c r="O8" s="380"/>
      <c r="P8" s="368"/>
      <c r="Q8" s="368"/>
      <c r="R8" s="368"/>
      <c r="S8" s="368"/>
      <c r="T8" s="371"/>
      <c r="U8" s="253"/>
      <c r="V8" s="373"/>
      <c r="W8" s="375"/>
      <c r="X8" s="375"/>
      <c r="Y8" s="375"/>
      <c r="Z8" s="29"/>
      <c r="AA8" s="30"/>
      <c r="AB8" s="87"/>
      <c r="AC8" s="79"/>
      <c r="AE8" s="174"/>
      <c r="AF8" s="174"/>
      <c r="AG8" s="174"/>
      <c r="AH8" s="174"/>
      <c r="AJ8" s="366"/>
      <c r="AK8" s="366"/>
    </row>
    <row r="9" spans="1:38" s="28" customFormat="1" ht="46.9" customHeight="1" x14ac:dyDescent="0.15">
      <c r="A9" s="367"/>
      <c r="B9" s="367"/>
      <c r="C9" s="367"/>
      <c r="D9" s="368"/>
      <c r="E9" s="226" t="s">
        <v>24098</v>
      </c>
      <c r="F9" s="226" t="s">
        <v>24099</v>
      </c>
      <c r="G9" s="226" t="s">
        <v>24100</v>
      </c>
      <c r="H9" s="226" t="s">
        <v>24101</v>
      </c>
      <c r="I9" s="183" t="s">
        <v>24102</v>
      </c>
      <c r="J9" s="183" t="s">
        <v>24103</v>
      </c>
      <c r="K9" s="183" t="s">
        <v>24104</v>
      </c>
      <c r="L9" s="183" t="s">
        <v>24105</v>
      </c>
      <c r="M9" s="184" t="s">
        <v>24106</v>
      </c>
      <c r="N9" s="184" t="s">
        <v>24107</v>
      </c>
      <c r="O9" s="381"/>
      <c r="P9" s="368"/>
      <c r="Q9" s="368"/>
      <c r="R9" s="368"/>
      <c r="S9" s="368"/>
      <c r="T9" s="372"/>
      <c r="U9" s="254"/>
      <c r="V9" s="373"/>
      <c r="W9" s="376"/>
      <c r="X9" s="376"/>
      <c r="Y9" s="376"/>
      <c r="Z9" s="29"/>
      <c r="AA9" s="30"/>
      <c r="AB9" s="87"/>
      <c r="AC9" s="79"/>
      <c r="AE9" s="174"/>
      <c r="AF9" s="174"/>
      <c r="AG9" s="174"/>
      <c r="AH9" s="174"/>
      <c r="AJ9" s="366"/>
      <c r="AK9" s="366"/>
    </row>
    <row r="10" spans="1:38" s="28" customFormat="1" ht="19.149999999999999" customHeight="1" x14ac:dyDescent="0.15">
      <c r="A10" s="198">
        <f t="shared" ref="A10:A34" si="0">ROW()-9</f>
        <v>1</v>
      </c>
      <c r="B10" s="361" t="s">
        <v>24304</v>
      </c>
      <c r="C10" s="199" t="s">
        <v>24123</v>
      </c>
      <c r="D10" s="199" t="s">
        <v>24110</v>
      </c>
      <c r="E10" s="288">
        <v>1000</v>
      </c>
      <c r="F10" s="288">
        <v>0</v>
      </c>
      <c r="G10" s="200">
        <f t="shared" ref="G10:G33" si="1">+W10</f>
        <v>44.444444444444443</v>
      </c>
      <c r="H10" s="180" t="str">
        <f t="shared" ref="H10:H33" si="2">+AH10</f>
        <v>±4</v>
      </c>
      <c r="I10" s="179" t="s">
        <v>24113</v>
      </c>
      <c r="J10" s="179" t="s">
        <v>24113</v>
      </c>
      <c r="K10" s="179" t="s">
        <v>24113</v>
      </c>
      <c r="L10" s="179" t="s">
        <v>24114</v>
      </c>
      <c r="M10" s="180" t="s">
        <v>15</v>
      </c>
      <c r="N10" s="180" t="s">
        <v>24271</v>
      </c>
      <c r="O10" s="280"/>
      <c r="P10" s="200" t="e">
        <f t="shared" ref="P10:Q25" si="3">+AA10</f>
        <v>#N/A</v>
      </c>
      <c r="Q10" s="200" t="e">
        <f t="shared" si="3"/>
        <v>#N/A</v>
      </c>
      <c r="R10" s="289" t="s">
        <v>24127</v>
      </c>
      <c r="S10" s="202" t="s">
        <v>24321</v>
      </c>
      <c r="T10" s="34" t="s">
        <v>24296</v>
      </c>
      <c r="U10" s="202" t="s">
        <v>24182</v>
      </c>
      <c r="V10" s="140">
        <f>RIGHT(R10,2)-0.5</f>
        <v>22.5</v>
      </c>
      <c r="W10" s="160">
        <f>SUM(E10:F10)/V10</f>
        <v>44.444444444444443</v>
      </c>
      <c r="X10" s="160">
        <f>SUM(E10:F10)*0.9/V10</f>
        <v>40</v>
      </c>
      <c r="Y10" s="161">
        <f>SUM(E10:F10)*1.1/V10</f>
        <v>48.888888888888886</v>
      </c>
      <c r="Z10" s="29" t="str">
        <f>"Thép cuộn cán nóng "&amp;C10&amp;" "&amp;D10&amp;T10&amp;U10</f>
        <v>Thép cuộn cán nóng 4.00x126X SAE1006HOA SENQUA CÁN NGUỘI</v>
      </c>
      <c r="AA10" s="37" t="e">
        <f>VLOOKUP(Z10,Order!F:H,2,FALSE)</f>
        <v>#N/A</v>
      </c>
      <c r="AB10" s="137" t="e">
        <f>VLOOKUP(AA10,Order!G:H,2,FALSE)</f>
        <v>#N/A</v>
      </c>
      <c r="AC10" s="30" t="e">
        <f>VLOOKUP(Z10,'ort9'!D:E,2,0)</f>
        <v>#N/A</v>
      </c>
      <c r="AD10" s="281">
        <f>E10+F10</f>
        <v>1000</v>
      </c>
      <c r="AE10" s="37">
        <f>IF(SUM(E10:F10)&gt;2000,((Y10-X10)/2)/2,(Y10-X10)/2)</f>
        <v>4.4444444444444429</v>
      </c>
      <c r="AF10" s="175" t="s">
        <v>24119</v>
      </c>
      <c r="AG10" s="37">
        <f>ROUND(AE10,0)</f>
        <v>4</v>
      </c>
      <c r="AH10" s="175" t="str">
        <f>AF10&amp;AG10</f>
        <v>±4</v>
      </c>
      <c r="AI10" s="138"/>
      <c r="AJ10" s="175" t="e">
        <f>VLOOKUP(Z10,'ort9'!H:I,2,0)</f>
        <v>#N/A</v>
      </c>
      <c r="AK10" s="175" t="e">
        <f>VLOOKUP(AA10,'ort9'!I:J,2,0)</f>
        <v>#N/A</v>
      </c>
    </row>
    <row r="11" spans="1:38" s="138" customFormat="1" ht="21.2" customHeight="1" x14ac:dyDescent="0.25">
      <c r="A11" s="198">
        <f t="shared" si="0"/>
        <v>2</v>
      </c>
      <c r="B11" s="362"/>
      <c r="C11" s="199" t="s">
        <v>24131</v>
      </c>
      <c r="D11" s="199" t="s">
        <v>24110</v>
      </c>
      <c r="E11" s="288">
        <v>0</v>
      </c>
      <c r="F11" s="288">
        <v>1670</v>
      </c>
      <c r="G11" s="200">
        <f t="shared" si="1"/>
        <v>77.674418604651166</v>
      </c>
      <c r="H11" s="180" t="str">
        <f t="shared" si="2"/>
        <v>±8</v>
      </c>
      <c r="I11" s="179" t="s">
        <v>24113</v>
      </c>
      <c r="J11" s="179" t="s">
        <v>24113</v>
      </c>
      <c r="K11" s="179" t="s">
        <v>24113</v>
      </c>
      <c r="L11" s="179" t="s">
        <v>24114</v>
      </c>
      <c r="M11" s="180" t="s">
        <v>15</v>
      </c>
      <c r="N11" s="180" t="s">
        <v>24271</v>
      </c>
      <c r="O11" s="308"/>
      <c r="P11" s="200" t="e">
        <f t="shared" si="3"/>
        <v>#N/A</v>
      </c>
      <c r="Q11" s="200" t="e">
        <f t="shared" si="3"/>
        <v>#N/A</v>
      </c>
      <c r="R11" s="202" t="s">
        <v>24190</v>
      </c>
      <c r="S11" s="202" t="s">
        <v>24191</v>
      </c>
      <c r="T11" s="34" t="s">
        <v>24266</v>
      </c>
      <c r="U11" s="202" t="s">
        <v>24182</v>
      </c>
      <c r="V11" s="140">
        <f>RIGHT(R11,2)-0.5</f>
        <v>21.5</v>
      </c>
      <c r="W11" s="160">
        <f>SUM(E11:F11)/V11</f>
        <v>77.674418604651166</v>
      </c>
      <c r="X11" s="160">
        <f>SUM(E11:F11)*0.9/V11</f>
        <v>69.906976744186053</v>
      </c>
      <c r="Y11" s="161">
        <f>SUM(E11:F11)*1.1/V11</f>
        <v>85.441860465116292</v>
      </c>
      <c r="Z11" s="29" t="str">
        <f>"Thép cuộn cán nóng "&amp;C11&amp;" "&amp;D11&amp;T11&amp;U11</f>
        <v>Thép cuộn cán nóng 3.00x126X SAE1006MINH PHÚQUA CÁN NGUỘI</v>
      </c>
      <c r="AA11" s="37" t="e">
        <f>VLOOKUP(Z11,Order!F:H,2,FALSE)</f>
        <v>#N/A</v>
      </c>
      <c r="AB11" s="137" t="e">
        <f>VLOOKUP(AA11,Order!G:H,2,FALSE)</f>
        <v>#N/A</v>
      </c>
      <c r="AC11" s="30" t="e">
        <f>VLOOKUP(Z11,'ort9'!D:E,2,0)</f>
        <v>#N/A</v>
      </c>
      <c r="AD11" s="281">
        <f>E11+F11</f>
        <v>1670</v>
      </c>
      <c r="AE11" s="37">
        <f>IF(SUM(E11:F11)&gt;2000,((Y11-X11)/2)/2,(Y11-X11)/2)</f>
        <v>7.7674418604651194</v>
      </c>
      <c r="AF11" s="175" t="s">
        <v>24119</v>
      </c>
      <c r="AG11" s="37">
        <f>ROUND(AE11,0)</f>
        <v>8</v>
      </c>
      <c r="AH11" s="175" t="str">
        <f>AF11&amp;AG11</f>
        <v>±8</v>
      </c>
      <c r="AJ11" s="175" t="e">
        <f>VLOOKUP(Z11,'ort9'!H:I,2,0)</f>
        <v>#N/A</v>
      </c>
      <c r="AK11" s="175" t="e">
        <f>VLOOKUP(AA11,'ort9'!I:J,2,0)</f>
        <v>#N/A</v>
      </c>
    </row>
    <row r="12" spans="1:38" s="138" customFormat="1" ht="21.2" customHeight="1" x14ac:dyDescent="0.25">
      <c r="A12" s="198">
        <f t="shared" si="0"/>
        <v>3</v>
      </c>
      <c r="B12" s="362"/>
      <c r="C12" s="199" t="s">
        <v>24131</v>
      </c>
      <c r="D12" s="199" t="s">
        <v>24110</v>
      </c>
      <c r="E12" s="288">
        <v>500</v>
      </c>
      <c r="F12" s="288">
        <v>0</v>
      </c>
      <c r="G12" s="200">
        <f t="shared" si="1"/>
        <v>25.641025641025642</v>
      </c>
      <c r="H12" s="180" t="str">
        <f t="shared" si="2"/>
        <v>±3</v>
      </c>
      <c r="I12" s="179" t="s">
        <v>24113</v>
      </c>
      <c r="J12" s="179" t="s">
        <v>24113</v>
      </c>
      <c r="K12" s="179" t="s">
        <v>24113</v>
      </c>
      <c r="L12" s="179" t="s">
        <v>24114</v>
      </c>
      <c r="M12" s="180" t="s">
        <v>15</v>
      </c>
      <c r="N12" s="180" t="s">
        <v>24271</v>
      </c>
      <c r="O12" s="285"/>
      <c r="P12" s="200" t="e">
        <f t="shared" si="3"/>
        <v>#N/A</v>
      </c>
      <c r="Q12" s="200" t="e">
        <f t="shared" si="3"/>
        <v>#N/A</v>
      </c>
      <c r="R12" s="202" t="s">
        <v>24327</v>
      </c>
      <c r="S12" s="202" t="s">
        <v>24118</v>
      </c>
      <c r="T12" s="34" t="s">
        <v>24295</v>
      </c>
      <c r="U12" s="202" t="s">
        <v>24182</v>
      </c>
      <c r="V12" s="140">
        <f t="shared" ref="V12:V33" si="4">RIGHT(R12,2)-0.5</f>
        <v>19.5</v>
      </c>
      <c r="W12" s="160">
        <f t="shared" ref="W12:W33" si="5">SUM(E12:F12)/V12</f>
        <v>25.641025641025642</v>
      </c>
      <c r="X12" s="160">
        <f t="shared" ref="X12:X33" si="6">SUM(E12:F12)*0.9/V12</f>
        <v>23.076923076923077</v>
      </c>
      <c r="Y12" s="161">
        <f t="shared" ref="Y12:Y33" si="7">SUM(E12:F12)*1.1/V12</f>
        <v>28.205128205128204</v>
      </c>
      <c r="Z12" s="29" t="str">
        <f t="shared" ref="Z12:Z33" si="8">"Thép cuộn cán nóng "&amp;C12&amp;" "&amp;D12&amp;T12&amp;U12</f>
        <v>Thép cuộn cán nóng 3.00x126X SAE1006THÉP VIỆT NHẬTQUA CÁN NGUỘI</v>
      </c>
      <c r="AA12" s="37" t="e">
        <f>VLOOKUP(Z12,Order!F:H,2,FALSE)</f>
        <v>#N/A</v>
      </c>
      <c r="AB12" s="137" t="e">
        <f>VLOOKUP(AA12,Order!G:H,2,FALSE)</f>
        <v>#N/A</v>
      </c>
      <c r="AC12" s="30" t="e">
        <f>VLOOKUP(Z12,'ort9'!D:E,2,0)</f>
        <v>#N/A</v>
      </c>
      <c r="AD12" s="281">
        <f t="shared" ref="AD12:AD33" si="9">E12+F12</f>
        <v>500</v>
      </c>
      <c r="AE12" s="37">
        <f t="shared" ref="AE12:AE34" si="10">IF(SUM(E12:F12)&gt;2000,((Y12-X12)/2)/2,(Y12-X12)/2)</f>
        <v>2.5641025641025639</v>
      </c>
      <c r="AF12" s="175" t="s">
        <v>24119</v>
      </c>
      <c r="AG12" s="37">
        <f t="shared" ref="AG12:AG35" si="11">ROUND(AE12,0)</f>
        <v>3</v>
      </c>
      <c r="AH12" s="175" t="str">
        <f t="shared" ref="AH12:AH34" si="12">AF12&amp;AG12</f>
        <v>±3</v>
      </c>
      <c r="AJ12" s="175" t="e">
        <f>VLOOKUP(Z12,'ort9'!H:I,2,0)</f>
        <v>#N/A</v>
      </c>
      <c r="AK12" s="175" t="e">
        <f>VLOOKUP(AA12,'ort9'!I:J,2,0)</f>
        <v>#N/A</v>
      </c>
    </row>
    <row r="13" spans="1:38" s="138" customFormat="1" ht="25.9" customHeight="1" x14ac:dyDescent="0.25">
      <c r="A13" s="198">
        <f t="shared" si="0"/>
        <v>4</v>
      </c>
      <c r="B13" s="362"/>
      <c r="C13" s="199" t="s">
        <v>24297</v>
      </c>
      <c r="D13" s="199" t="s">
        <v>24110</v>
      </c>
      <c r="E13" s="288">
        <v>500</v>
      </c>
      <c r="F13" s="288">
        <v>0</v>
      </c>
      <c r="G13" s="200">
        <f t="shared" si="1"/>
        <v>25.641025641025642</v>
      </c>
      <c r="H13" s="180" t="str">
        <f t="shared" si="2"/>
        <v>±3</v>
      </c>
      <c r="I13" s="179" t="s">
        <v>24113</v>
      </c>
      <c r="J13" s="179" t="s">
        <v>24113</v>
      </c>
      <c r="K13" s="179" t="s">
        <v>24113</v>
      </c>
      <c r="L13" s="179" t="s">
        <v>24114</v>
      </c>
      <c r="M13" s="180" t="s">
        <v>15</v>
      </c>
      <c r="N13" s="180" t="s">
        <v>24271</v>
      </c>
      <c r="O13" s="148"/>
      <c r="P13" s="200" t="e">
        <f t="shared" si="3"/>
        <v>#N/A</v>
      </c>
      <c r="Q13" s="200" t="e">
        <f t="shared" si="3"/>
        <v>#N/A</v>
      </c>
      <c r="R13" s="202" t="s">
        <v>24327</v>
      </c>
      <c r="S13" s="202" t="s">
        <v>24118</v>
      </c>
      <c r="T13" s="34" t="s">
        <v>24295</v>
      </c>
      <c r="U13" s="202" t="s">
        <v>24182</v>
      </c>
      <c r="V13" s="140">
        <f t="shared" si="4"/>
        <v>19.5</v>
      </c>
      <c r="W13" s="160">
        <f t="shared" si="5"/>
        <v>25.641025641025642</v>
      </c>
      <c r="X13" s="160">
        <f t="shared" si="6"/>
        <v>23.076923076923077</v>
      </c>
      <c r="Y13" s="161">
        <f t="shared" si="7"/>
        <v>28.205128205128204</v>
      </c>
      <c r="Z13" s="29" t="str">
        <f t="shared" si="8"/>
        <v>Thép cuộn cán nóng 2.75x126X SAE1006THÉP VIỆT NHẬTQUA CÁN NGUỘI</v>
      </c>
      <c r="AA13" s="37" t="e">
        <f>VLOOKUP(Z13,Order!F:H,2,FALSE)</f>
        <v>#N/A</v>
      </c>
      <c r="AB13" s="137" t="e">
        <f>VLOOKUP(AA13,Order!G:H,2,FALSE)</f>
        <v>#N/A</v>
      </c>
      <c r="AC13" s="30" t="e">
        <f>VLOOKUP(Z13,'ort9'!D:E,2,0)</f>
        <v>#N/A</v>
      </c>
      <c r="AD13" s="281">
        <f t="shared" si="9"/>
        <v>500</v>
      </c>
      <c r="AE13" s="37">
        <f t="shared" si="10"/>
        <v>2.5641025641025639</v>
      </c>
      <c r="AF13" s="175" t="s">
        <v>24119</v>
      </c>
      <c r="AG13" s="37">
        <f t="shared" si="11"/>
        <v>3</v>
      </c>
      <c r="AH13" s="175" t="str">
        <f t="shared" si="12"/>
        <v>±3</v>
      </c>
      <c r="AJ13" s="175" t="e">
        <f>VLOOKUP(Z13,'ort9'!H:I,2,0)</f>
        <v>#N/A</v>
      </c>
      <c r="AK13" s="175" t="e">
        <f>VLOOKUP(AA13,'ort9'!I:J,2,0)</f>
        <v>#N/A</v>
      </c>
    </row>
    <row r="14" spans="1:38" s="138" customFormat="1" ht="26.45" customHeight="1" x14ac:dyDescent="0.25">
      <c r="A14" s="198">
        <f t="shared" si="0"/>
        <v>5</v>
      </c>
      <c r="B14" s="362"/>
      <c r="C14" s="199" t="s">
        <v>24136</v>
      </c>
      <c r="D14" s="199" t="s">
        <v>24110</v>
      </c>
      <c r="E14" s="288">
        <v>0</v>
      </c>
      <c r="F14" s="288">
        <v>1760</v>
      </c>
      <c r="G14" s="200">
        <f t="shared" si="1"/>
        <v>81.860465116279073</v>
      </c>
      <c r="H14" s="180" t="str">
        <f t="shared" si="2"/>
        <v>±8</v>
      </c>
      <c r="I14" s="179" t="s">
        <v>24113</v>
      </c>
      <c r="J14" s="179" t="s">
        <v>24113</v>
      </c>
      <c r="K14" s="179" t="s">
        <v>24113</v>
      </c>
      <c r="L14" s="179" t="s">
        <v>24114</v>
      </c>
      <c r="M14" s="180" t="s">
        <v>15</v>
      </c>
      <c r="N14" s="180" t="s">
        <v>24271</v>
      </c>
      <c r="O14" s="148"/>
      <c r="P14" s="200" t="e">
        <f t="shared" si="3"/>
        <v>#N/A</v>
      </c>
      <c r="Q14" s="200" t="e">
        <f t="shared" si="3"/>
        <v>#N/A</v>
      </c>
      <c r="R14" s="202" t="s">
        <v>24190</v>
      </c>
      <c r="S14" s="202" t="s">
        <v>24191</v>
      </c>
      <c r="T14" s="34" t="s">
        <v>24266</v>
      </c>
      <c r="U14" s="202" t="s">
        <v>24182</v>
      </c>
      <c r="V14" s="140">
        <f t="shared" si="4"/>
        <v>21.5</v>
      </c>
      <c r="W14" s="160">
        <f t="shared" si="5"/>
        <v>81.860465116279073</v>
      </c>
      <c r="X14" s="160">
        <f t="shared" si="6"/>
        <v>73.674418604651166</v>
      </c>
      <c r="Y14" s="161">
        <f t="shared" si="7"/>
        <v>90.04651162790698</v>
      </c>
      <c r="Z14" s="29" t="str">
        <f t="shared" si="8"/>
        <v>Thép cuộn cán nóng 2.50x126X SAE1006MINH PHÚQUA CÁN NGUỘI</v>
      </c>
      <c r="AA14" s="37" t="e">
        <f>VLOOKUP(Z14,Order!F:H,2,FALSE)</f>
        <v>#N/A</v>
      </c>
      <c r="AB14" s="137" t="e">
        <f>VLOOKUP(AA14,Order!G:H,2,FALSE)</f>
        <v>#N/A</v>
      </c>
      <c r="AC14" s="30" t="e">
        <f>VLOOKUP(Z14,'ort9'!D:E,2,0)</f>
        <v>#N/A</v>
      </c>
      <c r="AD14" s="281">
        <f t="shared" si="9"/>
        <v>1760</v>
      </c>
      <c r="AE14" s="37">
        <f t="shared" si="10"/>
        <v>8.1860465116279073</v>
      </c>
      <c r="AF14" s="175" t="s">
        <v>24119</v>
      </c>
      <c r="AG14" s="37">
        <f t="shared" si="11"/>
        <v>8</v>
      </c>
      <c r="AH14" s="175" t="str">
        <f t="shared" si="12"/>
        <v>±8</v>
      </c>
      <c r="AJ14" s="175" t="e">
        <f>VLOOKUP(Z14,'ort9'!H:I,2,0)</f>
        <v>#N/A</v>
      </c>
      <c r="AK14" s="175" t="e">
        <f>VLOOKUP(AA14,'ort9'!I:J,2,0)</f>
        <v>#N/A</v>
      </c>
    </row>
    <row r="15" spans="1:38" s="28" customFormat="1" ht="24.4" customHeight="1" x14ac:dyDescent="0.15">
      <c r="A15" s="203">
        <f t="shared" si="0"/>
        <v>6</v>
      </c>
      <c r="B15" s="362"/>
      <c r="C15" s="202" t="s">
        <v>24136</v>
      </c>
      <c r="D15" s="199" t="s">
        <v>24110</v>
      </c>
      <c r="E15" s="200">
        <v>1000</v>
      </c>
      <c r="F15" s="288">
        <v>0</v>
      </c>
      <c r="G15" s="200">
        <f t="shared" si="1"/>
        <v>51.282051282051285</v>
      </c>
      <c r="H15" s="180" t="str">
        <f t="shared" si="2"/>
        <v>±5</v>
      </c>
      <c r="I15" s="179" t="s">
        <v>24113</v>
      </c>
      <c r="J15" s="179" t="s">
        <v>24113</v>
      </c>
      <c r="K15" s="179" t="s">
        <v>24113</v>
      </c>
      <c r="L15" s="179" t="s">
        <v>24114</v>
      </c>
      <c r="M15" s="180" t="s">
        <v>15</v>
      </c>
      <c r="N15" s="180" t="s">
        <v>24271</v>
      </c>
      <c r="O15" s="148"/>
      <c r="P15" s="200" t="e">
        <f t="shared" si="3"/>
        <v>#N/A</v>
      </c>
      <c r="Q15" s="200" t="e">
        <f t="shared" si="3"/>
        <v>#N/A</v>
      </c>
      <c r="R15" s="202" t="s">
        <v>24327</v>
      </c>
      <c r="S15" s="202" t="s">
        <v>24118</v>
      </c>
      <c r="T15" s="283" t="s">
        <v>24295</v>
      </c>
      <c r="U15" s="202" t="s">
        <v>24182</v>
      </c>
      <c r="V15" s="140">
        <f t="shared" si="4"/>
        <v>19.5</v>
      </c>
      <c r="W15" s="160">
        <f t="shared" si="5"/>
        <v>51.282051282051285</v>
      </c>
      <c r="X15" s="160">
        <f t="shared" si="6"/>
        <v>46.153846153846153</v>
      </c>
      <c r="Y15" s="161">
        <f t="shared" si="7"/>
        <v>56.410256410256409</v>
      </c>
      <c r="Z15" s="29" t="str">
        <f t="shared" si="8"/>
        <v>Thép cuộn cán nóng 2.50x126X SAE1006THÉP VIỆT NHẬTQUA CÁN NGUỘI</v>
      </c>
      <c r="AA15" s="37" t="e">
        <f>VLOOKUP(Z15,Order!F:H,2,FALSE)</f>
        <v>#N/A</v>
      </c>
      <c r="AB15" s="137" t="e">
        <f>VLOOKUP(AA15,Order!G:H,2,FALSE)</f>
        <v>#N/A</v>
      </c>
      <c r="AC15" s="30" t="e">
        <f>VLOOKUP(Z15,'ort9'!D:E,2,0)</f>
        <v>#N/A</v>
      </c>
      <c r="AD15" s="281">
        <f t="shared" si="9"/>
        <v>1000</v>
      </c>
      <c r="AE15" s="37">
        <f t="shared" si="10"/>
        <v>5.1282051282051277</v>
      </c>
      <c r="AF15" s="175" t="s">
        <v>24119</v>
      </c>
      <c r="AG15" s="37">
        <f>ROUND(AE15,0)</f>
        <v>5</v>
      </c>
      <c r="AH15" s="175" t="str">
        <f>AF15&amp;AG15</f>
        <v>±5</v>
      </c>
      <c r="AI15" s="138"/>
      <c r="AJ15" s="175" t="e">
        <f>VLOOKUP(Z15,'ort9'!H:I,2,0)</f>
        <v>#N/A</v>
      </c>
      <c r="AK15" s="175" t="e">
        <f>VLOOKUP(AA15,'ort9'!I:J,2,0)</f>
        <v>#N/A</v>
      </c>
      <c r="AL15" s="138"/>
    </row>
    <row r="16" spans="1:38" s="138" customFormat="1" ht="25.15" customHeight="1" x14ac:dyDescent="0.25">
      <c r="A16" s="198">
        <f t="shared" si="0"/>
        <v>7</v>
      </c>
      <c r="B16" s="362"/>
      <c r="C16" s="199" t="s">
        <v>24326</v>
      </c>
      <c r="D16" s="199" t="s">
        <v>24110</v>
      </c>
      <c r="E16" s="288">
        <v>0</v>
      </c>
      <c r="F16" s="288">
        <v>4500</v>
      </c>
      <c r="G16" s="200">
        <f t="shared" si="1"/>
        <v>183.67346938775509</v>
      </c>
      <c r="H16" s="180" t="str">
        <f t="shared" si="2"/>
        <v>±9</v>
      </c>
      <c r="I16" s="179" t="s">
        <v>24113</v>
      </c>
      <c r="J16" s="179" t="s">
        <v>24113</v>
      </c>
      <c r="K16" s="179" t="s">
        <v>24113</v>
      </c>
      <c r="L16" s="179" t="s">
        <v>24114</v>
      </c>
      <c r="M16" s="180" t="s">
        <v>15</v>
      </c>
      <c r="N16" s="180" t="s">
        <v>24271</v>
      </c>
      <c r="O16" s="148"/>
      <c r="P16" s="200" t="e">
        <f t="shared" si="3"/>
        <v>#N/A</v>
      </c>
      <c r="Q16" s="200" t="e">
        <f t="shared" si="3"/>
        <v>#N/A</v>
      </c>
      <c r="R16" s="202" t="s">
        <v>24250</v>
      </c>
      <c r="S16" s="202" t="s">
        <v>24140</v>
      </c>
      <c r="T16" s="34" t="s">
        <v>24325</v>
      </c>
      <c r="U16" s="202" t="s">
        <v>24182</v>
      </c>
      <c r="V16" s="140">
        <f t="shared" si="4"/>
        <v>24.5</v>
      </c>
      <c r="W16" s="160">
        <f t="shared" si="5"/>
        <v>183.67346938775509</v>
      </c>
      <c r="X16" s="160">
        <f t="shared" si="6"/>
        <v>165.30612244897958</v>
      </c>
      <c r="Y16" s="161">
        <f t="shared" si="7"/>
        <v>202.0408163265306</v>
      </c>
      <c r="Z16" s="29" t="str">
        <f t="shared" si="8"/>
        <v>Thép cuộn cán nóng 2.25x126X SAE1006THÉP ASIAQUA CÁN NGUỘI</v>
      </c>
      <c r="AA16" s="37" t="e">
        <f>VLOOKUP(Z16,Order!F:H,2,FALSE)</f>
        <v>#N/A</v>
      </c>
      <c r="AB16" s="137" t="e">
        <f>VLOOKUP(AA16,Order!G:H,2,FALSE)</f>
        <v>#N/A</v>
      </c>
      <c r="AC16" s="30" t="e">
        <f>VLOOKUP(Z16,'ort9'!D:E,2,0)</f>
        <v>#N/A</v>
      </c>
      <c r="AD16" s="281">
        <f t="shared" si="9"/>
        <v>4500</v>
      </c>
      <c r="AE16" s="37">
        <f t="shared" si="10"/>
        <v>9.183673469387756</v>
      </c>
      <c r="AF16" s="175" t="s">
        <v>24119</v>
      </c>
      <c r="AG16" s="37">
        <f t="shared" si="11"/>
        <v>9</v>
      </c>
      <c r="AH16" s="175" t="str">
        <f t="shared" si="12"/>
        <v>±9</v>
      </c>
      <c r="AJ16" s="175" t="e">
        <f>VLOOKUP(Z16,'ort9'!H:I,2,0)</f>
        <v>#N/A</v>
      </c>
      <c r="AK16" s="175" t="e">
        <f>VLOOKUP(AA16,'ort9'!I:J,2,0)</f>
        <v>#N/A</v>
      </c>
    </row>
    <row r="17" spans="1:38" s="138" customFormat="1" ht="24.4" customHeight="1" x14ac:dyDescent="0.25">
      <c r="A17" s="198">
        <f t="shared" si="0"/>
        <v>8</v>
      </c>
      <c r="B17" s="362"/>
      <c r="C17" s="199" t="s">
        <v>24328</v>
      </c>
      <c r="D17" s="199" t="s">
        <v>24110</v>
      </c>
      <c r="E17" s="288">
        <v>500</v>
      </c>
      <c r="F17" s="288">
        <v>0</v>
      </c>
      <c r="G17" s="200">
        <f t="shared" si="1"/>
        <v>22.222222222222221</v>
      </c>
      <c r="H17" s="180" t="str">
        <f t="shared" si="2"/>
        <v>±2</v>
      </c>
      <c r="I17" s="179" t="s">
        <v>24113</v>
      </c>
      <c r="J17" s="179" t="s">
        <v>24113</v>
      </c>
      <c r="K17" s="179" t="s">
        <v>24113</v>
      </c>
      <c r="L17" s="179" t="s">
        <v>24114</v>
      </c>
      <c r="M17" s="180" t="s">
        <v>15</v>
      </c>
      <c r="N17" s="180" t="s">
        <v>17</v>
      </c>
      <c r="O17" s="201"/>
      <c r="P17" s="200" t="e">
        <f t="shared" si="3"/>
        <v>#N/A</v>
      </c>
      <c r="Q17" s="200" t="e">
        <f t="shared" si="3"/>
        <v>#N/A</v>
      </c>
      <c r="R17" s="202" t="s">
        <v>24127</v>
      </c>
      <c r="S17" s="202" t="s">
        <v>24321</v>
      </c>
      <c r="T17" s="34" t="s">
        <v>24296</v>
      </c>
      <c r="U17" s="202" t="s">
        <v>24182</v>
      </c>
      <c r="V17" s="140">
        <f t="shared" si="4"/>
        <v>22.5</v>
      </c>
      <c r="W17" s="160">
        <f t="shared" si="5"/>
        <v>22.222222222222221</v>
      </c>
      <c r="X17" s="160">
        <f t="shared" si="6"/>
        <v>20</v>
      </c>
      <c r="Y17" s="161">
        <f t="shared" si="7"/>
        <v>24.444444444444443</v>
      </c>
      <c r="Z17" s="29" t="str">
        <f t="shared" si="8"/>
        <v>Thép cuộn cán nóng 4.00x123X SAE1006HOA SENQUA CÁN NGUỘI</v>
      </c>
      <c r="AA17" s="37" t="e">
        <f>VLOOKUP(Z17,Order!F:H,2,FALSE)</f>
        <v>#N/A</v>
      </c>
      <c r="AB17" s="137" t="e">
        <f>VLOOKUP(AA17,Order!G:H,2,FALSE)</f>
        <v>#N/A</v>
      </c>
      <c r="AC17" s="30" t="e">
        <f>VLOOKUP(Z17,'ort9'!D:E,2,0)</f>
        <v>#N/A</v>
      </c>
      <c r="AD17" s="281">
        <f t="shared" si="9"/>
        <v>500</v>
      </c>
      <c r="AE17" s="37">
        <f t="shared" si="10"/>
        <v>2.2222222222222214</v>
      </c>
      <c r="AF17" s="175" t="s">
        <v>24119</v>
      </c>
      <c r="AG17" s="37">
        <f>ROUND(AE17,0)</f>
        <v>2</v>
      </c>
      <c r="AH17" s="175" t="str">
        <f>AF17&amp;AG17</f>
        <v>±2</v>
      </c>
      <c r="AJ17" s="175" t="e">
        <f>VLOOKUP(Z17,'ort9'!H:I,2,0)</f>
        <v>#N/A</v>
      </c>
      <c r="AK17" s="175" t="e">
        <f>VLOOKUP(AA17,'ort9'!I:J,2,0)</f>
        <v>#N/A</v>
      </c>
    </row>
    <row r="18" spans="1:38" s="138" customFormat="1" ht="23.85" customHeight="1" x14ac:dyDescent="0.25">
      <c r="A18" s="198">
        <f t="shared" si="0"/>
        <v>9</v>
      </c>
      <c r="B18" s="362"/>
      <c r="C18" s="199" t="s">
        <v>24298</v>
      </c>
      <c r="D18" s="199" t="s">
        <v>24110</v>
      </c>
      <c r="E18" s="288">
        <v>0</v>
      </c>
      <c r="F18" s="288">
        <v>6000</v>
      </c>
      <c r="G18" s="200">
        <f t="shared" si="1"/>
        <v>244.89795918367346</v>
      </c>
      <c r="H18" s="180" t="str">
        <f t="shared" si="2"/>
        <v>±12</v>
      </c>
      <c r="I18" s="179" t="s">
        <v>24113</v>
      </c>
      <c r="J18" s="179" t="s">
        <v>24113</v>
      </c>
      <c r="K18" s="179" t="s">
        <v>24113</v>
      </c>
      <c r="L18" s="179" t="s">
        <v>24114</v>
      </c>
      <c r="M18" s="180" t="s">
        <v>15</v>
      </c>
      <c r="N18" s="180" t="s">
        <v>17</v>
      </c>
      <c r="O18" s="201" t="s">
        <v>24247</v>
      </c>
      <c r="P18" s="200" t="e">
        <f t="shared" si="3"/>
        <v>#N/A</v>
      </c>
      <c r="Q18" s="200" t="e">
        <f t="shared" si="3"/>
        <v>#N/A</v>
      </c>
      <c r="R18" s="202" t="s">
        <v>24250</v>
      </c>
      <c r="S18" s="202" t="s">
        <v>24140</v>
      </c>
      <c r="T18" s="34" t="s">
        <v>24294</v>
      </c>
      <c r="U18" s="202" t="s">
        <v>24182</v>
      </c>
      <c r="V18" s="140">
        <f t="shared" si="4"/>
        <v>24.5</v>
      </c>
      <c r="W18" s="160">
        <f t="shared" si="5"/>
        <v>244.89795918367346</v>
      </c>
      <c r="X18" s="160">
        <f t="shared" si="6"/>
        <v>220.40816326530611</v>
      </c>
      <c r="Y18" s="161">
        <f t="shared" si="7"/>
        <v>269.38775510204084</v>
      </c>
      <c r="Z18" s="29" t="str">
        <f t="shared" si="8"/>
        <v>Thép cuộn cán nóng 3.45x123X SAE1006ỐNG THÉP HƯNG YÊNQUA CÁN NGUỘI</v>
      </c>
      <c r="AA18" s="37" t="e">
        <f>VLOOKUP(Z18,Order!F:H,2,FALSE)</f>
        <v>#N/A</v>
      </c>
      <c r="AB18" s="137" t="e">
        <f>VLOOKUP(AA18,Order!G:H,2,FALSE)</f>
        <v>#N/A</v>
      </c>
      <c r="AC18" s="30" t="e">
        <f>VLOOKUP(Z18,'ort9'!D:E,2,0)</f>
        <v>#N/A</v>
      </c>
      <c r="AD18" s="281">
        <f t="shared" si="9"/>
        <v>6000</v>
      </c>
      <c r="AE18" s="37">
        <f t="shared" si="10"/>
        <v>12.244897959183682</v>
      </c>
      <c r="AF18" s="175" t="s">
        <v>24119</v>
      </c>
      <c r="AG18" s="37">
        <f t="shared" si="11"/>
        <v>12</v>
      </c>
      <c r="AH18" s="175" t="str">
        <f t="shared" si="12"/>
        <v>±12</v>
      </c>
      <c r="AJ18" s="175" t="e">
        <f>VLOOKUP(Z18,'ort9'!H:I,2,0)</f>
        <v>#N/A</v>
      </c>
      <c r="AK18" s="175" t="e">
        <f>VLOOKUP(AA18,'ort9'!I:J,2,0)</f>
        <v>#N/A</v>
      </c>
    </row>
    <row r="19" spans="1:38" s="138" customFormat="1" ht="21.2" customHeight="1" x14ac:dyDescent="0.25">
      <c r="A19" s="198">
        <f t="shared" si="0"/>
        <v>10</v>
      </c>
      <c r="B19" s="362"/>
      <c r="C19" s="199" t="s">
        <v>24298</v>
      </c>
      <c r="D19" s="199" t="s">
        <v>24110</v>
      </c>
      <c r="E19" s="288">
        <v>0</v>
      </c>
      <c r="F19" s="288">
        <v>800</v>
      </c>
      <c r="G19" s="200">
        <f t="shared" si="1"/>
        <v>32.653061224489797</v>
      </c>
      <c r="H19" s="180" t="str">
        <f t="shared" si="2"/>
        <v>±3</v>
      </c>
      <c r="I19" s="179" t="s">
        <v>24113</v>
      </c>
      <c r="J19" s="179" t="s">
        <v>24113</v>
      </c>
      <c r="K19" s="179" t="s">
        <v>24113</v>
      </c>
      <c r="L19" s="179" t="s">
        <v>24114</v>
      </c>
      <c r="M19" s="180" t="s">
        <v>15</v>
      </c>
      <c r="N19" s="180" t="s">
        <v>17</v>
      </c>
      <c r="O19" s="201" t="s">
        <v>24247</v>
      </c>
      <c r="P19" s="200" t="e">
        <f t="shared" si="3"/>
        <v>#N/A</v>
      </c>
      <c r="Q19" s="200" t="e">
        <f t="shared" si="3"/>
        <v>#N/A</v>
      </c>
      <c r="R19" s="202" t="s">
        <v>24250</v>
      </c>
      <c r="S19" s="202" t="s">
        <v>24140</v>
      </c>
      <c r="T19" s="34" t="s">
        <v>24324</v>
      </c>
      <c r="U19" s="202" t="s">
        <v>24182</v>
      </c>
      <c r="V19" s="140">
        <f t="shared" si="4"/>
        <v>24.5</v>
      </c>
      <c r="W19" s="160">
        <f t="shared" si="5"/>
        <v>32.653061224489797</v>
      </c>
      <c r="X19" s="160">
        <f t="shared" si="6"/>
        <v>29.387755102040817</v>
      </c>
      <c r="Y19" s="161">
        <f t="shared" si="7"/>
        <v>35.91836734693878</v>
      </c>
      <c r="Z19" s="29" t="str">
        <f t="shared" si="8"/>
        <v>Thép cuộn cán nóng 3.45x123X SAE1006ỐNG THÉP ĐÀ NẴNGQUA CÁN NGUỘI</v>
      </c>
      <c r="AA19" s="37" t="e">
        <f>VLOOKUP(Z19,Order!F:H,2,FALSE)</f>
        <v>#N/A</v>
      </c>
      <c r="AB19" s="137" t="e">
        <f>VLOOKUP(AA19,Order!G:H,2,FALSE)</f>
        <v>#N/A</v>
      </c>
      <c r="AC19" s="30" t="e">
        <f>VLOOKUP(Z19,'ort9'!D:E,2,0)</f>
        <v>#N/A</v>
      </c>
      <c r="AD19" s="281">
        <f>E19+F19</f>
        <v>800</v>
      </c>
      <c r="AE19" s="37">
        <f t="shared" si="10"/>
        <v>3.2653061224489814</v>
      </c>
      <c r="AF19" s="175" t="s">
        <v>24119</v>
      </c>
      <c r="AG19" s="37">
        <f t="shared" si="11"/>
        <v>3</v>
      </c>
      <c r="AH19" s="175" t="str">
        <f t="shared" si="12"/>
        <v>±3</v>
      </c>
      <c r="AJ19" s="175" t="e">
        <f>VLOOKUP(Z19,'ort9'!H:I,2,0)</f>
        <v>#N/A</v>
      </c>
      <c r="AK19" s="175" t="e">
        <f>VLOOKUP(AA19,'ort9'!I:J,2,0)</f>
        <v>#N/A</v>
      </c>
    </row>
    <row r="20" spans="1:38" s="138" customFormat="1" ht="24.4" customHeight="1" x14ac:dyDescent="0.25">
      <c r="A20" s="198">
        <f t="shared" si="0"/>
        <v>11</v>
      </c>
      <c r="B20" s="362"/>
      <c r="C20" s="202" t="s">
        <v>24329</v>
      </c>
      <c r="D20" s="199" t="s">
        <v>24110</v>
      </c>
      <c r="E20" s="288">
        <v>0</v>
      </c>
      <c r="F20" s="288">
        <v>700</v>
      </c>
      <c r="G20" s="200">
        <f t="shared" si="1"/>
        <v>29.787234042553191</v>
      </c>
      <c r="H20" s="180" t="str">
        <f t="shared" si="2"/>
        <v>±3</v>
      </c>
      <c r="I20" s="179" t="s">
        <v>24113</v>
      </c>
      <c r="J20" s="179" t="s">
        <v>24113</v>
      </c>
      <c r="K20" s="179" t="s">
        <v>24113</v>
      </c>
      <c r="L20" s="179" t="s">
        <v>24114</v>
      </c>
      <c r="M20" s="180" t="s">
        <v>15</v>
      </c>
      <c r="N20" s="180" t="s">
        <v>17</v>
      </c>
      <c r="O20" s="148"/>
      <c r="P20" s="200" t="e">
        <f t="shared" si="3"/>
        <v>#N/A</v>
      </c>
      <c r="Q20" s="200" t="e">
        <f t="shared" si="3"/>
        <v>#N/A</v>
      </c>
      <c r="R20" s="202" t="s">
        <v>24133</v>
      </c>
      <c r="S20" s="202" t="s">
        <v>24191</v>
      </c>
      <c r="T20" s="34" t="s">
        <v>24266</v>
      </c>
      <c r="U20" s="202" t="s">
        <v>24182</v>
      </c>
      <c r="V20" s="140">
        <f t="shared" si="4"/>
        <v>23.5</v>
      </c>
      <c r="W20" s="160">
        <f t="shared" si="5"/>
        <v>29.787234042553191</v>
      </c>
      <c r="X20" s="160">
        <f t="shared" si="6"/>
        <v>26.808510638297872</v>
      </c>
      <c r="Y20" s="161">
        <f t="shared" si="7"/>
        <v>32.765957446808514</v>
      </c>
      <c r="Z20" s="29" t="str">
        <f t="shared" si="8"/>
        <v>Thép cuộn cán nóng 3.00x123X SAE1006MINH PHÚQUA CÁN NGUỘI</v>
      </c>
      <c r="AA20" s="37" t="e">
        <f>VLOOKUP(Z20,Order!F:H,2,FALSE)</f>
        <v>#N/A</v>
      </c>
      <c r="AB20" s="137" t="e">
        <f>VLOOKUP(AA20,Order!G:H,2,FALSE)</f>
        <v>#N/A</v>
      </c>
      <c r="AC20" s="30" t="e">
        <f>VLOOKUP(Z20,'ort9'!D:E,2,0)</f>
        <v>#N/A</v>
      </c>
      <c r="AD20" s="281">
        <f t="shared" ref="AD20" si="13">E20+F20</f>
        <v>700</v>
      </c>
      <c r="AE20" s="37">
        <f t="shared" si="10"/>
        <v>2.9787234042553212</v>
      </c>
      <c r="AF20" s="175" t="s">
        <v>24119</v>
      </c>
      <c r="AG20" s="37">
        <f t="shared" si="11"/>
        <v>3</v>
      </c>
      <c r="AH20" s="175" t="str">
        <f t="shared" si="12"/>
        <v>±3</v>
      </c>
      <c r="AJ20" s="175" t="e">
        <f>VLOOKUP(Z20,'ort9'!H:I,2,0)</f>
        <v>#N/A</v>
      </c>
      <c r="AK20" s="175" t="e">
        <f>VLOOKUP(AA20,'ort9'!I:J,2,0)</f>
        <v>#N/A</v>
      </c>
    </row>
    <row r="21" spans="1:38" s="138" customFormat="1" ht="21.2" customHeight="1" x14ac:dyDescent="0.25">
      <c r="A21" s="198">
        <f t="shared" si="0"/>
        <v>12</v>
      </c>
      <c r="B21" s="362"/>
      <c r="C21" s="202" t="s">
        <v>24330</v>
      </c>
      <c r="D21" s="199" t="s">
        <v>24110</v>
      </c>
      <c r="E21" s="288">
        <v>0</v>
      </c>
      <c r="F21" s="288">
        <v>2600</v>
      </c>
      <c r="G21" s="200">
        <f t="shared" si="1"/>
        <v>106.12244897959184</v>
      </c>
      <c r="H21" s="180" t="str">
        <f t="shared" si="2"/>
        <v>±5</v>
      </c>
      <c r="I21" s="179" t="s">
        <v>24113</v>
      </c>
      <c r="J21" s="179" t="s">
        <v>24113</v>
      </c>
      <c r="K21" s="179" t="s">
        <v>24113</v>
      </c>
      <c r="L21" s="179" t="s">
        <v>24114</v>
      </c>
      <c r="M21" s="180" t="s">
        <v>15</v>
      </c>
      <c r="N21" s="180" t="s">
        <v>17</v>
      </c>
      <c r="O21" s="201" t="s">
        <v>24247</v>
      </c>
      <c r="P21" s="200" t="e">
        <f t="shared" si="3"/>
        <v>#N/A</v>
      </c>
      <c r="Q21" s="200" t="e">
        <f t="shared" si="3"/>
        <v>#N/A</v>
      </c>
      <c r="R21" s="202" t="s">
        <v>24250</v>
      </c>
      <c r="S21" s="202" t="s">
        <v>24140</v>
      </c>
      <c r="T21" s="34" t="s">
        <v>24324</v>
      </c>
      <c r="U21" s="202" t="s">
        <v>24182</v>
      </c>
      <c r="V21" s="140">
        <f t="shared" si="4"/>
        <v>24.5</v>
      </c>
      <c r="W21" s="160">
        <f>SUM(E21:F21)/V21</f>
        <v>106.12244897959184</v>
      </c>
      <c r="X21" s="160">
        <f>SUM(E21:F21)*0.9/V21</f>
        <v>95.510204081632651</v>
      </c>
      <c r="Y21" s="161">
        <f>SUM(E21:F21)*1.1/V21</f>
        <v>116.73469387755104</v>
      </c>
      <c r="Z21" s="29" t="str">
        <f t="shared" si="8"/>
        <v>Thép cuộn cán nóng 2.95x123X SAE1006ỐNG THÉP ĐÀ NẴNGQUA CÁN NGUỘI</v>
      </c>
      <c r="AA21" s="37" t="e">
        <f>VLOOKUP(Z21,Order!F:H,2,FALSE)</f>
        <v>#N/A</v>
      </c>
      <c r="AB21" s="137" t="e">
        <f>VLOOKUP(AA21,Order!G:H,2,FALSE)</f>
        <v>#N/A</v>
      </c>
      <c r="AC21" s="30" t="e">
        <f>VLOOKUP(Z21,'ort9'!D:E,2,0)</f>
        <v>#N/A</v>
      </c>
      <c r="AD21" s="281">
        <f>E21+F21</f>
        <v>2600</v>
      </c>
      <c r="AE21" s="37">
        <f>IF(SUM(E21:F21)&gt;2000,((Y21-X21)/2)/2,(Y21-X21)/2)</f>
        <v>5.3061224489795968</v>
      </c>
      <c r="AF21" s="175" t="s">
        <v>24119</v>
      </c>
      <c r="AG21" s="37">
        <f t="shared" si="11"/>
        <v>5</v>
      </c>
      <c r="AH21" s="175" t="str">
        <f t="shared" si="12"/>
        <v>±5</v>
      </c>
      <c r="AJ21" s="175" t="e">
        <f>VLOOKUP(Z21,'ort9'!H:I,2,0)</f>
        <v>#N/A</v>
      </c>
      <c r="AK21" s="175" t="e">
        <f>VLOOKUP(AA21,'ort9'!I:J,2,0)</f>
        <v>#N/A</v>
      </c>
    </row>
    <row r="22" spans="1:38" s="138" customFormat="1" ht="24.4" customHeight="1" x14ac:dyDescent="0.25">
      <c r="A22" s="198">
        <f t="shared" si="0"/>
        <v>13</v>
      </c>
      <c r="B22" s="362"/>
      <c r="C22" s="202" t="s">
        <v>24331</v>
      </c>
      <c r="D22" s="199" t="s">
        <v>24110</v>
      </c>
      <c r="E22" s="288">
        <v>0</v>
      </c>
      <c r="F22" s="288">
        <v>380</v>
      </c>
      <c r="G22" s="200">
        <f t="shared" si="1"/>
        <v>17.674418604651162</v>
      </c>
      <c r="H22" s="180" t="str">
        <f t="shared" si="2"/>
        <v>±2</v>
      </c>
      <c r="I22" s="179" t="s">
        <v>24113</v>
      </c>
      <c r="J22" s="179" t="s">
        <v>24113</v>
      </c>
      <c r="K22" s="179" t="s">
        <v>24113</v>
      </c>
      <c r="L22" s="179" t="s">
        <v>24114</v>
      </c>
      <c r="M22" s="180" t="s">
        <v>15</v>
      </c>
      <c r="N22" s="180" t="s">
        <v>17</v>
      </c>
      <c r="O22" s="148"/>
      <c r="P22" s="200" t="e">
        <f t="shared" si="3"/>
        <v>#N/A</v>
      </c>
      <c r="Q22" s="200" t="e">
        <f t="shared" si="3"/>
        <v>#N/A</v>
      </c>
      <c r="R22" s="289" t="s">
        <v>24190</v>
      </c>
      <c r="S22" s="202" t="s">
        <v>24191</v>
      </c>
      <c r="T22" s="34" t="s">
        <v>24266</v>
      </c>
      <c r="U22" s="202" t="s">
        <v>24182</v>
      </c>
      <c r="V22" s="140">
        <f t="shared" si="4"/>
        <v>21.5</v>
      </c>
      <c r="W22" s="160">
        <f t="shared" si="5"/>
        <v>17.674418604651162</v>
      </c>
      <c r="X22" s="160">
        <f t="shared" si="6"/>
        <v>15.906976744186046</v>
      </c>
      <c r="Y22" s="161">
        <f t="shared" si="7"/>
        <v>19.441860465116282</v>
      </c>
      <c r="Z22" s="29" t="str">
        <f t="shared" si="8"/>
        <v>Thép cuộn cán nóng 2.75x123X SAE1006MINH PHÚQUA CÁN NGUỘI</v>
      </c>
      <c r="AA22" s="37" t="e">
        <f>VLOOKUP(Z22,Order!F:H,2,FALSE)</f>
        <v>#N/A</v>
      </c>
      <c r="AB22" s="137" t="e">
        <f>VLOOKUP(AA22,Order!G:H,2,FALSE)</f>
        <v>#N/A</v>
      </c>
      <c r="AC22" s="30" t="e">
        <f>VLOOKUP(Z22,'ort9'!D:E,2,0)</f>
        <v>#N/A</v>
      </c>
      <c r="AD22" s="281">
        <f t="shared" si="9"/>
        <v>380</v>
      </c>
      <c r="AE22" s="37">
        <f t="shared" si="10"/>
        <v>1.7674418604651176</v>
      </c>
      <c r="AF22" s="175" t="s">
        <v>24119</v>
      </c>
      <c r="AG22" s="37">
        <f t="shared" si="11"/>
        <v>2</v>
      </c>
      <c r="AH22" s="175" t="str">
        <f t="shared" si="12"/>
        <v>±2</v>
      </c>
      <c r="AJ22" s="175" t="e">
        <f>VLOOKUP(Z22,'ort9'!H:I,2,0)</f>
        <v>#N/A</v>
      </c>
      <c r="AK22" s="175" t="e">
        <f>VLOOKUP(AA22,'ort9'!I:J,2,0)</f>
        <v>#N/A</v>
      </c>
    </row>
    <row r="23" spans="1:38" s="138" customFormat="1" ht="24.4" customHeight="1" x14ac:dyDescent="0.25">
      <c r="A23" s="198">
        <f t="shared" si="0"/>
        <v>14</v>
      </c>
      <c r="B23" s="362"/>
      <c r="C23" s="199" t="s">
        <v>24331</v>
      </c>
      <c r="D23" s="199" t="s">
        <v>24110</v>
      </c>
      <c r="E23" s="288">
        <v>0</v>
      </c>
      <c r="F23" s="288">
        <v>2000</v>
      </c>
      <c r="G23" s="200">
        <f t="shared" si="1"/>
        <v>85.106382978723403</v>
      </c>
      <c r="H23" s="180" t="str">
        <f t="shared" si="2"/>
        <v>±9</v>
      </c>
      <c r="I23" s="179" t="s">
        <v>24113</v>
      </c>
      <c r="J23" s="179" t="s">
        <v>24113</v>
      </c>
      <c r="K23" s="179" t="s">
        <v>24113</v>
      </c>
      <c r="L23" s="179" t="s">
        <v>24114</v>
      </c>
      <c r="M23" s="180" t="s">
        <v>15</v>
      </c>
      <c r="N23" s="180" t="s">
        <v>17</v>
      </c>
      <c r="O23" s="148"/>
      <c r="P23" s="200" t="e">
        <f t="shared" si="3"/>
        <v>#N/A</v>
      </c>
      <c r="Q23" s="200" t="e">
        <f t="shared" si="3"/>
        <v>#N/A</v>
      </c>
      <c r="R23" s="289" t="s">
        <v>24133</v>
      </c>
      <c r="S23" s="202" t="s">
        <v>24191</v>
      </c>
      <c r="T23" s="34" t="s">
        <v>24266</v>
      </c>
      <c r="U23" s="202" t="s">
        <v>24182</v>
      </c>
      <c r="V23" s="140">
        <f t="shared" si="4"/>
        <v>23.5</v>
      </c>
      <c r="W23" s="160">
        <f t="shared" si="5"/>
        <v>85.106382978723403</v>
      </c>
      <c r="X23" s="160">
        <f t="shared" si="6"/>
        <v>76.59574468085107</v>
      </c>
      <c r="Y23" s="161">
        <f t="shared" si="7"/>
        <v>93.61702127659575</v>
      </c>
      <c r="Z23" s="29" t="str">
        <f t="shared" si="8"/>
        <v>Thép cuộn cán nóng 2.75x123X SAE1006MINH PHÚQUA CÁN NGUỘI</v>
      </c>
      <c r="AA23" s="37" t="e">
        <f>VLOOKUP(Z23,Order!F:H,2,FALSE)</f>
        <v>#N/A</v>
      </c>
      <c r="AB23" s="137" t="e">
        <f>VLOOKUP(AA23,Order!G:H,2,FALSE)</f>
        <v>#N/A</v>
      </c>
      <c r="AC23" s="30" t="e">
        <f>VLOOKUP(Z23,'ort9'!D:E,2,0)</f>
        <v>#N/A</v>
      </c>
      <c r="AD23" s="281">
        <f t="shared" si="9"/>
        <v>2000</v>
      </c>
      <c r="AE23" s="37">
        <f t="shared" si="10"/>
        <v>8.5106382978723403</v>
      </c>
      <c r="AF23" s="175" t="s">
        <v>24119</v>
      </c>
      <c r="AG23" s="37">
        <f>ROUND(AE23,0)</f>
        <v>9</v>
      </c>
      <c r="AH23" s="175" t="str">
        <f>AF23&amp;AG23</f>
        <v>±9</v>
      </c>
      <c r="AJ23" s="175" t="e">
        <f>VLOOKUP(Z23,'ort9'!H:I,2,0)</f>
        <v>#N/A</v>
      </c>
      <c r="AK23" s="175" t="e">
        <f>VLOOKUP(AA23,'ort9'!I:J,2,0)</f>
        <v>#N/A</v>
      </c>
    </row>
    <row r="24" spans="1:38" s="138" customFormat="1" ht="21.2" customHeight="1" x14ac:dyDescent="0.25">
      <c r="A24" s="198">
        <f t="shared" si="0"/>
        <v>15</v>
      </c>
      <c r="B24" s="362"/>
      <c r="C24" s="199" t="s">
        <v>24331</v>
      </c>
      <c r="D24" s="199" t="s">
        <v>24110</v>
      </c>
      <c r="E24" s="288">
        <v>0</v>
      </c>
      <c r="F24" s="288">
        <v>2000</v>
      </c>
      <c r="G24" s="200">
        <f t="shared" si="1"/>
        <v>81.632653061224488</v>
      </c>
      <c r="H24" s="180" t="str">
        <f t="shared" si="2"/>
        <v>±8</v>
      </c>
      <c r="I24" s="179" t="s">
        <v>24113</v>
      </c>
      <c r="J24" s="179" t="s">
        <v>24113</v>
      </c>
      <c r="K24" s="179" t="s">
        <v>24113</v>
      </c>
      <c r="L24" s="179" t="s">
        <v>24114</v>
      </c>
      <c r="M24" s="180" t="s">
        <v>15</v>
      </c>
      <c r="N24" s="180" t="s">
        <v>17</v>
      </c>
      <c r="O24" s="201" t="s">
        <v>24247</v>
      </c>
      <c r="P24" s="200" t="e">
        <f t="shared" si="3"/>
        <v>#N/A</v>
      </c>
      <c r="Q24" s="200" t="e">
        <f t="shared" si="3"/>
        <v>#N/A</v>
      </c>
      <c r="R24" s="202" t="s">
        <v>24250</v>
      </c>
      <c r="S24" s="202" t="s">
        <v>24140</v>
      </c>
      <c r="T24" s="34" t="s">
        <v>24324</v>
      </c>
      <c r="U24" s="202" t="s">
        <v>24182</v>
      </c>
      <c r="V24" s="140">
        <f t="shared" si="4"/>
        <v>24.5</v>
      </c>
      <c r="W24" s="160">
        <f t="shared" si="5"/>
        <v>81.632653061224488</v>
      </c>
      <c r="X24" s="160">
        <f t="shared" si="6"/>
        <v>73.469387755102048</v>
      </c>
      <c r="Y24" s="161">
        <f t="shared" si="7"/>
        <v>89.795918367346943</v>
      </c>
      <c r="Z24" s="29" t="str">
        <f t="shared" si="8"/>
        <v>Thép cuộn cán nóng 2.75x123X SAE1006ỐNG THÉP ĐÀ NẴNGQUA CÁN NGUỘI</v>
      </c>
      <c r="AA24" s="37" t="e">
        <f>VLOOKUP(Z24,Order!F:H,2,FALSE)</f>
        <v>#N/A</v>
      </c>
      <c r="AB24" s="137" t="e">
        <f>VLOOKUP(AA24,Order!G:H,2,FALSE)</f>
        <v>#N/A</v>
      </c>
      <c r="AC24" s="30" t="e">
        <f>VLOOKUP(Z24,'ort9'!D:E,2,0)</f>
        <v>#N/A</v>
      </c>
      <c r="AD24" s="281">
        <f t="shared" si="9"/>
        <v>2000</v>
      </c>
      <c r="AE24" s="37">
        <f t="shared" si="10"/>
        <v>8.1632653061224474</v>
      </c>
      <c r="AF24" s="175" t="s">
        <v>24119</v>
      </c>
      <c r="AG24" s="37">
        <f t="shared" si="11"/>
        <v>8</v>
      </c>
      <c r="AH24" s="175" t="str">
        <f t="shared" si="12"/>
        <v>±8</v>
      </c>
      <c r="AJ24" s="175" t="e">
        <f>VLOOKUP(Z24,'ort9'!H:I,2,0)</f>
        <v>#N/A</v>
      </c>
      <c r="AK24" s="175" t="e">
        <f>VLOOKUP(AA24,'ort9'!I:J,2,0)</f>
        <v>#N/A</v>
      </c>
    </row>
    <row r="25" spans="1:38" s="138" customFormat="1" ht="21.2" customHeight="1" x14ac:dyDescent="0.25">
      <c r="A25" s="198">
        <f t="shared" si="0"/>
        <v>16</v>
      </c>
      <c r="B25" s="362"/>
      <c r="C25" s="199" t="s">
        <v>24332</v>
      </c>
      <c r="D25" s="199" t="s">
        <v>24110</v>
      </c>
      <c r="E25" s="288">
        <v>0</v>
      </c>
      <c r="F25" s="288">
        <v>2500</v>
      </c>
      <c r="G25" s="200">
        <f t="shared" si="1"/>
        <v>106.38297872340425</v>
      </c>
      <c r="H25" s="180" t="str">
        <f t="shared" si="2"/>
        <v>±5</v>
      </c>
      <c r="I25" s="179" t="s">
        <v>24113</v>
      </c>
      <c r="J25" s="179" t="s">
        <v>24113</v>
      </c>
      <c r="K25" s="179" t="s">
        <v>24113</v>
      </c>
      <c r="L25" s="179" t="s">
        <v>24114</v>
      </c>
      <c r="M25" s="180" t="s">
        <v>15</v>
      </c>
      <c r="N25" s="180" t="s">
        <v>17</v>
      </c>
      <c r="O25" s="201"/>
      <c r="P25" s="200" t="e">
        <f t="shared" si="3"/>
        <v>#N/A</v>
      </c>
      <c r="Q25" s="200" t="e">
        <f t="shared" si="3"/>
        <v>#N/A</v>
      </c>
      <c r="R25" s="289" t="s">
        <v>24133</v>
      </c>
      <c r="S25" s="202" t="s">
        <v>24191</v>
      </c>
      <c r="T25" s="34" t="s">
        <v>24266</v>
      </c>
      <c r="U25" s="202" t="s">
        <v>24182</v>
      </c>
      <c r="V25" s="140">
        <f t="shared" si="4"/>
        <v>23.5</v>
      </c>
      <c r="W25" s="160">
        <f t="shared" si="5"/>
        <v>106.38297872340425</v>
      </c>
      <c r="X25" s="160">
        <f t="shared" si="6"/>
        <v>95.744680851063833</v>
      </c>
      <c r="Y25" s="161">
        <f t="shared" si="7"/>
        <v>117.02127659574468</v>
      </c>
      <c r="Z25" s="29" t="str">
        <f t="shared" si="8"/>
        <v>Thép cuộn cán nóng 2.45x123X SAE1006MINH PHÚQUA CÁN NGUỘI</v>
      </c>
      <c r="AA25" s="37" t="e">
        <f>VLOOKUP(Z25,Order!F:H,2,FALSE)</f>
        <v>#N/A</v>
      </c>
      <c r="AB25" s="137" t="e">
        <f>VLOOKUP(AA25,Order!G:H,2,FALSE)</f>
        <v>#N/A</v>
      </c>
      <c r="AC25" s="30" t="e">
        <f>VLOOKUP(Z25,'ort9'!D:E,2,0)</f>
        <v>#N/A</v>
      </c>
      <c r="AD25" s="281">
        <f t="shared" si="9"/>
        <v>2500</v>
      </c>
      <c r="AE25" s="37">
        <f t="shared" si="10"/>
        <v>5.3191489361702118</v>
      </c>
      <c r="AF25" s="175" t="s">
        <v>24119</v>
      </c>
      <c r="AG25" s="37">
        <f t="shared" si="11"/>
        <v>5</v>
      </c>
      <c r="AH25" s="175" t="str">
        <f t="shared" si="12"/>
        <v>±5</v>
      </c>
      <c r="AJ25" s="175" t="e">
        <f>VLOOKUP(Z25,'ort9'!H:I,2,0)</f>
        <v>#N/A</v>
      </c>
      <c r="AK25" s="175" t="e">
        <f>VLOOKUP(AA25,'ort9'!I:J,2,0)</f>
        <v>#N/A</v>
      </c>
    </row>
    <row r="26" spans="1:38" s="138" customFormat="1" ht="23.85" customHeight="1" x14ac:dyDescent="0.25">
      <c r="A26" s="198">
        <f t="shared" si="0"/>
        <v>17</v>
      </c>
      <c r="B26" s="362"/>
      <c r="C26" s="199" t="s">
        <v>24332</v>
      </c>
      <c r="D26" s="199" t="s">
        <v>24110</v>
      </c>
      <c r="E26" s="288">
        <v>0</v>
      </c>
      <c r="F26" s="288">
        <v>1500</v>
      </c>
      <c r="G26" s="200">
        <f t="shared" si="1"/>
        <v>61.224489795918366</v>
      </c>
      <c r="H26" s="180" t="str">
        <f t="shared" si="2"/>
        <v>±6</v>
      </c>
      <c r="I26" s="179" t="s">
        <v>24113</v>
      </c>
      <c r="J26" s="179" t="s">
        <v>24113</v>
      </c>
      <c r="K26" s="179" t="s">
        <v>24113</v>
      </c>
      <c r="L26" s="179" t="s">
        <v>24114</v>
      </c>
      <c r="M26" s="180" t="s">
        <v>15</v>
      </c>
      <c r="N26" s="180" t="s">
        <v>17</v>
      </c>
      <c r="O26" s="201" t="s">
        <v>24247</v>
      </c>
      <c r="P26" s="200" t="e">
        <f t="shared" ref="P26:Q33" si="14">+AA26</f>
        <v>#N/A</v>
      </c>
      <c r="Q26" s="200" t="e">
        <f t="shared" si="14"/>
        <v>#N/A</v>
      </c>
      <c r="R26" s="202" t="s">
        <v>24250</v>
      </c>
      <c r="S26" s="202" t="s">
        <v>24140</v>
      </c>
      <c r="T26" s="34" t="s">
        <v>24324</v>
      </c>
      <c r="U26" s="202" t="s">
        <v>24182</v>
      </c>
      <c r="V26" s="140">
        <f t="shared" si="4"/>
        <v>24.5</v>
      </c>
      <c r="W26" s="160">
        <f t="shared" si="5"/>
        <v>61.224489795918366</v>
      </c>
      <c r="X26" s="160">
        <f t="shared" si="6"/>
        <v>55.102040816326529</v>
      </c>
      <c r="Y26" s="161">
        <f t="shared" si="7"/>
        <v>67.34693877551021</v>
      </c>
      <c r="Z26" s="29" t="str">
        <f t="shared" si="8"/>
        <v>Thép cuộn cán nóng 2.45x123X SAE1006ỐNG THÉP ĐÀ NẴNGQUA CÁN NGUỘI</v>
      </c>
      <c r="AA26" s="37" t="e">
        <f>VLOOKUP(Z26,Order!F:H,2,FALSE)</f>
        <v>#N/A</v>
      </c>
      <c r="AB26" s="137" t="e">
        <f>VLOOKUP(AA26,Order!G:H,2,FALSE)</f>
        <v>#N/A</v>
      </c>
      <c r="AC26" s="30" t="e">
        <f>VLOOKUP(Z26,'ort9'!D:E,2,0)</f>
        <v>#N/A</v>
      </c>
      <c r="AD26" s="281">
        <f t="shared" si="9"/>
        <v>1500</v>
      </c>
      <c r="AE26" s="37">
        <f t="shared" si="10"/>
        <v>6.1224489795918409</v>
      </c>
      <c r="AF26" s="175" t="s">
        <v>24119</v>
      </c>
      <c r="AG26" s="37">
        <f t="shared" si="11"/>
        <v>6</v>
      </c>
      <c r="AH26" s="175" t="str">
        <f t="shared" si="12"/>
        <v>±6</v>
      </c>
      <c r="AJ26" s="175" t="e">
        <f>VLOOKUP(Z26,'ort9'!H:I,2,0)</f>
        <v>#N/A</v>
      </c>
      <c r="AK26" s="175" t="e">
        <f>VLOOKUP(AA26,'ort9'!I:J,2,0)</f>
        <v>#N/A</v>
      </c>
    </row>
    <row r="27" spans="1:38" s="138" customFormat="1" ht="21.2" customHeight="1" x14ac:dyDescent="0.25">
      <c r="A27" s="198">
        <f t="shared" si="0"/>
        <v>18</v>
      </c>
      <c r="B27" s="362"/>
      <c r="C27" s="199" t="s">
        <v>24333</v>
      </c>
      <c r="D27" s="199" t="s">
        <v>24110</v>
      </c>
      <c r="E27" s="288">
        <v>0</v>
      </c>
      <c r="F27" s="288">
        <v>800</v>
      </c>
      <c r="G27" s="200">
        <f t="shared" si="1"/>
        <v>37.209302325581397</v>
      </c>
      <c r="H27" s="180" t="str">
        <f t="shared" si="2"/>
        <v>±4</v>
      </c>
      <c r="I27" s="179" t="s">
        <v>24113</v>
      </c>
      <c r="J27" s="179" t="s">
        <v>24113</v>
      </c>
      <c r="K27" s="179" t="s">
        <v>24113</v>
      </c>
      <c r="L27" s="179" t="s">
        <v>24114</v>
      </c>
      <c r="M27" s="180" t="s">
        <v>15</v>
      </c>
      <c r="N27" s="180" t="s">
        <v>17</v>
      </c>
      <c r="O27" s="201"/>
      <c r="P27" s="200" t="e">
        <f t="shared" si="14"/>
        <v>#N/A</v>
      </c>
      <c r="Q27" s="200" t="e">
        <f t="shared" si="14"/>
        <v>#N/A</v>
      </c>
      <c r="R27" s="202" t="s">
        <v>24190</v>
      </c>
      <c r="S27" s="202" t="s">
        <v>24191</v>
      </c>
      <c r="T27" s="34" t="s">
        <v>24266</v>
      </c>
      <c r="U27" s="202" t="s">
        <v>24182</v>
      </c>
      <c r="V27" s="140">
        <f t="shared" si="4"/>
        <v>21.5</v>
      </c>
      <c r="W27" s="160">
        <f t="shared" si="5"/>
        <v>37.209302325581397</v>
      </c>
      <c r="X27" s="160">
        <f t="shared" si="6"/>
        <v>33.488372093023258</v>
      </c>
      <c r="Y27" s="161">
        <f t="shared" si="7"/>
        <v>40.930232558139544</v>
      </c>
      <c r="Z27" s="29" t="str">
        <f t="shared" si="8"/>
        <v>Thép cuộn cán nóng 2.40x123X SAE1006MINH PHÚQUA CÁN NGUỘI</v>
      </c>
      <c r="AA27" s="37" t="e">
        <f>VLOOKUP(Z27,Order!F:H,2,FALSE)</f>
        <v>#N/A</v>
      </c>
      <c r="AB27" s="137" t="e">
        <f>VLOOKUP(AA27,Order!G:H,2,FALSE)</f>
        <v>#N/A</v>
      </c>
      <c r="AC27" s="30" t="e">
        <f>VLOOKUP(Z27,'ort9'!D:E,2,0)</f>
        <v>#N/A</v>
      </c>
      <c r="AD27" s="281">
        <f t="shared" si="9"/>
        <v>800</v>
      </c>
      <c r="AE27" s="37">
        <f t="shared" si="10"/>
        <v>3.7209302325581426</v>
      </c>
      <c r="AF27" s="175" t="s">
        <v>24119</v>
      </c>
      <c r="AG27" s="37">
        <f t="shared" si="11"/>
        <v>4</v>
      </c>
      <c r="AH27" s="175" t="str">
        <f t="shared" si="12"/>
        <v>±4</v>
      </c>
      <c r="AJ27" s="175" t="e">
        <f>VLOOKUP(Z27,'ort9'!H:I,2,0)</f>
        <v>#N/A</v>
      </c>
      <c r="AK27" s="175" t="e">
        <f>VLOOKUP(AA27,'ort9'!I:J,2,0)</f>
        <v>#N/A</v>
      </c>
    </row>
    <row r="28" spans="1:38" s="138" customFormat="1" ht="21.2" customHeight="1" x14ac:dyDescent="0.25">
      <c r="A28" s="203">
        <f t="shared" si="0"/>
        <v>19</v>
      </c>
      <c r="B28" s="362"/>
      <c r="C28" s="202" t="s">
        <v>24334</v>
      </c>
      <c r="D28" s="199" t="s">
        <v>24110</v>
      </c>
      <c r="E28" s="288">
        <v>0</v>
      </c>
      <c r="F28" s="200">
        <v>1000</v>
      </c>
      <c r="G28" s="200">
        <f t="shared" si="1"/>
        <v>40.816326530612244</v>
      </c>
      <c r="H28" s="180" t="str">
        <f t="shared" si="2"/>
        <v>±4</v>
      </c>
      <c r="I28" s="179" t="s">
        <v>24113</v>
      </c>
      <c r="J28" s="179" t="s">
        <v>24113</v>
      </c>
      <c r="K28" s="179" t="s">
        <v>24113</v>
      </c>
      <c r="L28" s="179" t="s">
        <v>24114</v>
      </c>
      <c r="M28" s="180" t="s">
        <v>15</v>
      </c>
      <c r="N28" s="180" t="s">
        <v>17</v>
      </c>
      <c r="O28" s="201" t="s">
        <v>24247</v>
      </c>
      <c r="P28" s="200" t="e">
        <f t="shared" si="14"/>
        <v>#N/A</v>
      </c>
      <c r="Q28" s="200" t="e">
        <f t="shared" si="14"/>
        <v>#N/A</v>
      </c>
      <c r="R28" s="202" t="s">
        <v>24250</v>
      </c>
      <c r="S28" s="202" t="s">
        <v>24140</v>
      </c>
      <c r="T28" s="34" t="s">
        <v>24324</v>
      </c>
      <c r="U28" s="202" t="s">
        <v>24182</v>
      </c>
      <c r="V28" s="286">
        <f t="shared" si="4"/>
        <v>24.5</v>
      </c>
      <c r="W28" s="287">
        <f t="shared" si="5"/>
        <v>40.816326530612244</v>
      </c>
      <c r="X28" s="287">
        <f t="shared" si="6"/>
        <v>36.734693877551024</v>
      </c>
      <c r="Y28" s="161">
        <f t="shared" si="7"/>
        <v>44.897959183673471</v>
      </c>
      <c r="Z28" s="29" t="str">
        <f t="shared" si="8"/>
        <v>Thép cuộn cán nóng 2.35x123X SAE1006ỐNG THÉP ĐÀ NẴNGQUA CÁN NGUỘI</v>
      </c>
      <c r="AA28" s="37" t="e">
        <f>VLOOKUP(Z28,Order!F:H,2,FALSE)</f>
        <v>#N/A</v>
      </c>
      <c r="AB28" s="137" t="e">
        <f>VLOOKUP(AA28,Order!G:H,2,FALSE)</f>
        <v>#N/A</v>
      </c>
      <c r="AC28" s="30" t="e">
        <f>VLOOKUP(Z28,'ort9'!D:E,2,0)</f>
        <v>#N/A</v>
      </c>
      <c r="AD28" s="281">
        <f t="shared" si="9"/>
        <v>1000</v>
      </c>
      <c r="AE28" s="37">
        <f t="shared" si="10"/>
        <v>4.0816326530612237</v>
      </c>
      <c r="AF28" s="175" t="s">
        <v>24119</v>
      </c>
      <c r="AG28" s="37">
        <f t="shared" si="11"/>
        <v>4</v>
      </c>
      <c r="AH28" s="175" t="str">
        <f t="shared" si="12"/>
        <v>±4</v>
      </c>
      <c r="AJ28" s="175" t="e">
        <f>VLOOKUP(Z28,'ort9'!H:I,2,0)</f>
        <v>#N/A</v>
      </c>
      <c r="AK28" s="175" t="e">
        <f>VLOOKUP(AA28,'ort9'!I:J,2,0)</f>
        <v>#N/A</v>
      </c>
    </row>
    <row r="29" spans="1:38" s="138" customFormat="1" ht="21.2" customHeight="1" x14ac:dyDescent="0.25">
      <c r="A29" s="198">
        <f t="shared" si="0"/>
        <v>20</v>
      </c>
      <c r="B29" s="362"/>
      <c r="C29" s="199" t="s">
        <v>24335</v>
      </c>
      <c r="D29" s="199" t="s">
        <v>24110</v>
      </c>
      <c r="E29" s="288">
        <v>200</v>
      </c>
      <c r="F29" s="288">
        <v>0</v>
      </c>
      <c r="G29" s="200">
        <f t="shared" si="1"/>
        <v>8.5106382978723403</v>
      </c>
      <c r="H29" s="180" t="str">
        <f t="shared" si="2"/>
        <v>±1</v>
      </c>
      <c r="I29" s="179" t="s">
        <v>24113</v>
      </c>
      <c r="J29" s="179" t="s">
        <v>24113</v>
      </c>
      <c r="K29" s="179" t="s">
        <v>24113</v>
      </c>
      <c r="L29" s="179" t="s">
        <v>24114</v>
      </c>
      <c r="M29" s="180" t="s">
        <v>15</v>
      </c>
      <c r="N29" s="180" t="s">
        <v>18</v>
      </c>
      <c r="O29" s="280" t="s">
        <v>24270</v>
      </c>
      <c r="P29" s="200" t="e">
        <f t="shared" si="14"/>
        <v>#N/A</v>
      </c>
      <c r="Q29" s="200" t="e">
        <f t="shared" si="14"/>
        <v>#N/A</v>
      </c>
      <c r="R29" s="289" t="s">
        <v>24133</v>
      </c>
      <c r="S29" s="202" t="s">
        <v>24118</v>
      </c>
      <c r="T29" s="34" t="s">
        <v>24296</v>
      </c>
      <c r="U29" s="202" t="s">
        <v>24182</v>
      </c>
      <c r="V29" s="140">
        <f t="shared" si="4"/>
        <v>23.5</v>
      </c>
      <c r="W29" s="160">
        <f t="shared" si="5"/>
        <v>8.5106382978723403</v>
      </c>
      <c r="X29" s="160">
        <f t="shared" si="6"/>
        <v>7.6595744680851068</v>
      </c>
      <c r="Y29" s="161">
        <f t="shared" si="7"/>
        <v>9.3617021276595764</v>
      </c>
      <c r="Z29" s="29" t="str">
        <f t="shared" si="8"/>
        <v>Thép cuộn cán nóng 3.00x121X SAE1006HOA SENQUA CÁN NGUỘI</v>
      </c>
      <c r="AA29" s="37" t="e">
        <f>VLOOKUP(Z29,Order!F:H,2,FALSE)</f>
        <v>#N/A</v>
      </c>
      <c r="AB29" s="137" t="e">
        <f>VLOOKUP(AA29,Order!G:H,2,FALSE)</f>
        <v>#N/A</v>
      </c>
      <c r="AC29" s="30" t="e">
        <f>VLOOKUP(Z29,'ort9'!D:E,2,0)</f>
        <v>#N/A</v>
      </c>
      <c r="AD29" s="281">
        <f t="shared" si="9"/>
        <v>200</v>
      </c>
      <c r="AE29" s="37">
        <f t="shared" si="10"/>
        <v>0.85106382978723483</v>
      </c>
      <c r="AF29" s="175" t="s">
        <v>24119</v>
      </c>
      <c r="AG29" s="37">
        <f t="shared" si="11"/>
        <v>1</v>
      </c>
      <c r="AH29" s="175" t="str">
        <f t="shared" si="12"/>
        <v>±1</v>
      </c>
      <c r="AJ29" s="175" t="e">
        <f>VLOOKUP(Z29,'ort9'!H:I,2,0)</f>
        <v>#N/A</v>
      </c>
      <c r="AK29" s="175" t="e">
        <f>VLOOKUP(AA29,'ort9'!I:J,2,0)</f>
        <v>#N/A</v>
      </c>
    </row>
    <row r="30" spans="1:38" s="138" customFormat="1" ht="21.2" customHeight="1" x14ac:dyDescent="0.25">
      <c r="A30" s="198">
        <f t="shared" si="0"/>
        <v>21</v>
      </c>
      <c r="B30" s="362"/>
      <c r="C30" s="199" t="s">
        <v>24299</v>
      </c>
      <c r="D30" s="199" t="s">
        <v>24110</v>
      </c>
      <c r="E30" s="288">
        <v>0</v>
      </c>
      <c r="F30" s="288">
        <v>1350</v>
      </c>
      <c r="G30" s="200">
        <f t="shared" si="1"/>
        <v>57.446808510638299</v>
      </c>
      <c r="H30" s="180" t="str">
        <f t="shared" si="2"/>
        <v>±6</v>
      </c>
      <c r="I30" s="179" t="s">
        <v>24113</v>
      </c>
      <c r="J30" s="179" t="s">
        <v>24113</v>
      </c>
      <c r="K30" s="179" t="s">
        <v>24113</v>
      </c>
      <c r="L30" s="179" t="s">
        <v>24114</v>
      </c>
      <c r="M30" s="180" t="s">
        <v>15</v>
      </c>
      <c r="N30" s="180" t="s">
        <v>18</v>
      </c>
      <c r="O30" s="285"/>
      <c r="P30" s="200" t="e">
        <f t="shared" si="14"/>
        <v>#N/A</v>
      </c>
      <c r="Q30" s="200" t="e">
        <f t="shared" si="14"/>
        <v>#N/A</v>
      </c>
      <c r="R30" s="289" t="s">
        <v>24133</v>
      </c>
      <c r="S30" s="202" t="s">
        <v>24191</v>
      </c>
      <c r="T30" s="34" t="s">
        <v>24266</v>
      </c>
      <c r="U30" s="202" t="s">
        <v>24182</v>
      </c>
      <c r="V30" s="140">
        <f t="shared" si="4"/>
        <v>23.5</v>
      </c>
      <c r="W30" s="160">
        <f t="shared" si="5"/>
        <v>57.446808510638299</v>
      </c>
      <c r="X30" s="160">
        <f t="shared" si="6"/>
        <v>51.702127659574465</v>
      </c>
      <c r="Y30" s="161">
        <f t="shared" si="7"/>
        <v>63.191489361702139</v>
      </c>
      <c r="Z30" s="29" t="str">
        <f t="shared" si="8"/>
        <v>Thép cuộn cán nóng 2.75x121Y SAE1006MINH PHÚQUA CÁN NGUỘI</v>
      </c>
      <c r="AA30" s="37" t="e">
        <f>VLOOKUP(Z30,Order!F:H,2,FALSE)</f>
        <v>#N/A</v>
      </c>
      <c r="AB30" s="137" t="e">
        <f>VLOOKUP(AA30,Order!G:H,2,FALSE)</f>
        <v>#N/A</v>
      </c>
      <c r="AC30" s="30" t="e">
        <f>VLOOKUP(Z30,'ort9'!D:E,2,0)</f>
        <v>#N/A</v>
      </c>
      <c r="AD30" s="281">
        <f t="shared" si="9"/>
        <v>1350</v>
      </c>
      <c r="AE30" s="37">
        <f t="shared" si="10"/>
        <v>5.744680851063837</v>
      </c>
      <c r="AF30" s="175" t="s">
        <v>24119</v>
      </c>
      <c r="AG30" s="37">
        <f t="shared" si="11"/>
        <v>6</v>
      </c>
      <c r="AH30" s="175" t="str">
        <f t="shared" si="12"/>
        <v>±6</v>
      </c>
      <c r="AJ30" s="175" t="e">
        <f>VLOOKUP(Z30,'ort9'!H:I,2,0)</f>
        <v>#N/A</v>
      </c>
      <c r="AK30" s="175" t="e">
        <f>VLOOKUP(AA30,'ort9'!I:J,2,0)</f>
        <v>#N/A</v>
      </c>
    </row>
    <row r="31" spans="1:38" s="138" customFormat="1" ht="21.2" customHeight="1" x14ac:dyDescent="0.25">
      <c r="A31" s="198">
        <f t="shared" si="0"/>
        <v>22</v>
      </c>
      <c r="B31" s="362"/>
      <c r="C31" s="199" t="s">
        <v>24299</v>
      </c>
      <c r="D31" s="199" t="s">
        <v>24110</v>
      </c>
      <c r="E31" s="288">
        <v>0</v>
      </c>
      <c r="F31" s="288">
        <v>8700</v>
      </c>
      <c r="G31" s="200">
        <f t="shared" si="1"/>
        <v>370.21276595744683</v>
      </c>
      <c r="H31" s="180" t="str">
        <f t="shared" si="2"/>
        <v>±19</v>
      </c>
      <c r="I31" s="179" t="s">
        <v>24113</v>
      </c>
      <c r="J31" s="179" t="s">
        <v>24113</v>
      </c>
      <c r="K31" s="179" t="s">
        <v>24113</v>
      </c>
      <c r="L31" s="179" t="s">
        <v>24114</v>
      </c>
      <c r="M31" s="180" t="s">
        <v>15</v>
      </c>
      <c r="N31" s="180" t="s">
        <v>18</v>
      </c>
      <c r="O31" s="285"/>
      <c r="P31" s="200" t="e">
        <f t="shared" si="14"/>
        <v>#N/A</v>
      </c>
      <c r="Q31" s="200" t="e">
        <f t="shared" si="14"/>
        <v>#N/A</v>
      </c>
      <c r="R31" s="289" t="s">
        <v>24133</v>
      </c>
      <c r="S31" s="202" t="s">
        <v>24140</v>
      </c>
      <c r="T31" s="34" t="s">
        <v>24300</v>
      </c>
      <c r="U31" s="202" t="s">
        <v>24182</v>
      </c>
      <c r="V31" s="140">
        <f t="shared" si="4"/>
        <v>23.5</v>
      </c>
      <c r="W31" s="160">
        <f t="shared" si="5"/>
        <v>370.21276595744683</v>
      </c>
      <c r="X31" s="160">
        <f t="shared" si="6"/>
        <v>333.19148936170211</v>
      </c>
      <c r="Y31" s="161">
        <f t="shared" si="7"/>
        <v>407.2340425531915</v>
      </c>
      <c r="Z31" s="29" t="str">
        <f t="shared" si="8"/>
        <v>Thép cuộn cán nóng 2.75x121Y SAE1006ỐNG THÉP MIỀN NAMQUA CÁN NGUỘI</v>
      </c>
      <c r="AA31" s="37" t="e">
        <f>VLOOKUP(Z31,Order!F:H,2,FALSE)</f>
        <v>#N/A</v>
      </c>
      <c r="AB31" s="137" t="e">
        <f>VLOOKUP(AA31,Order!G:H,2,FALSE)</f>
        <v>#N/A</v>
      </c>
      <c r="AC31" s="30" t="e">
        <f>VLOOKUP(Z31,'ort9'!D:E,2,0)</f>
        <v>#N/A</v>
      </c>
      <c r="AD31" s="281">
        <f t="shared" si="9"/>
        <v>8700</v>
      </c>
      <c r="AE31" s="37">
        <f t="shared" si="10"/>
        <v>18.510638297872347</v>
      </c>
      <c r="AF31" s="175" t="s">
        <v>24119</v>
      </c>
      <c r="AG31" s="37">
        <f t="shared" si="11"/>
        <v>19</v>
      </c>
      <c r="AH31" s="175" t="str">
        <f t="shared" si="12"/>
        <v>±19</v>
      </c>
      <c r="AJ31" s="175" t="e">
        <f>VLOOKUP(Z31,'ort9'!H:I,2,0)</f>
        <v>#N/A</v>
      </c>
      <c r="AK31" s="175" t="e">
        <f>VLOOKUP(AA31,'ort9'!I:J,2,0)</f>
        <v>#N/A</v>
      </c>
    </row>
    <row r="32" spans="1:38" s="28" customFormat="1" ht="21.2" customHeight="1" x14ac:dyDescent="0.15">
      <c r="A32" s="203">
        <f t="shared" si="0"/>
        <v>23</v>
      </c>
      <c r="B32" s="362"/>
      <c r="C32" s="202" t="s">
        <v>24336</v>
      </c>
      <c r="D32" s="199" t="s">
        <v>24110</v>
      </c>
      <c r="E32" s="288">
        <v>0</v>
      </c>
      <c r="F32" s="200">
        <v>2500</v>
      </c>
      <c r="G32" s="200">
        <f t="shared" si="1"/>
        <v>106.38297872340425</v>
      </c>
      <c r="H32" s="180" t="str">
        <f t="shared" si="2"/>
        <v>±5</v>
      </c>
      <c r="I32" s="179" t="s">
        <v>24113</v>
      </c>
      <c r="J32" s="179" t="s">
        <v>24113</v>
      </c>
      <c r="K32" s="179" t="s">
        <v>24113</v>
      </c>
      <c r="L32" s="179" t="s">
        <v>24114</v>
      </c>
      <c r="M32" s="180" t="s">
        <v>15</v>
      </c>
      <c r="N32" s="180" t="s">
        <v>18</v>
      </c>
      <c r="O32" s="284"/>
      <c r="P32" s="200" t="e">
        <f t="shared" si="14"/>
        <v>#N/A</v>
      </c>
      <c r="Q32" s="200" t="e">
        <f t="shared" si="14"/>
        <v>#N/A</v>
      </c>
      <c r="R32" s="202" t="s">
        <v>24133</v>
      </c>
      <c r="S32" s="202" t="s">
        <v>24191</v>
      </c>
      <c r="T32" s="283" t="s">
        <v>24266</v>
      </c>
      <c r="U32" s="202" t="s">
        <v>24182</v>
      </c>
      <c r="V32" s="140">
        <f t="shared" si="4"/>
        <v>23.5</v>
      </c>
      <c r="W32" s="160">
        <f t="shared" si="5"/>
        <v>106.38297872340425</v>
      </c>
      <c r="X32" s="160">
        <f t="shared" si="6"/>
        <v>95.744680851063833</v>
      </c>
      <c r="Y32" s="161">
        <f t="shared" si="7"/>
        <v>117.02127659574468</v>
      </c>
      <c r="Z32" s="29" t="str">
        <f t="shared" si="8"/>
        <v>Thép cuộn cán nóng 2.45x121Y SAE1006MINH PHÚQUA CÁN NGUỘI</v>
      </c>
      <c r="AA32" s="37" t="e">
        <f>VLOOKUP(Z32,Order!F:H,2,FALSE)</f>
        <v>#N/A</v>
      </c>
      <c r="AB32" s="137" t="e">
        <f>VLOOKUP(AA32,Order!G:H,2,FALSE)</f>
        <v>#N/A</v>
      </c>
      <c r="AC32" s="30" t="e">
        <f>VLOOKUP(Z32,'ort9'!D:E,2,0)</f>
        <v>#N/A</v>
      </c>
      <c r="AD32" s="281">
        <f t="shared" si="9"/>
        <v>2500</v>
      </c>
      <c r="AE32" s="37">
        <f t="shared" si="10"/>
        <v>5.3191489361702118</v>
      </c>
      <c r="AF32" s="175" t="s">
        <v>24119</v>
      </c>
      <c r="AG32" s="37">
        <f>ROUND(AE32,0)</f>
        <v>5</v>
      </c>
      <c r="AH32" s="175" t="str">
        <f>AF32&amp;AG32</f>
        <v>±5</v>
      </c>
      <c r="AI32" s="138"/>
      <c r="AJ32" s="175" t="e">
        <f>VLOOKUP(Z32,'ort9'!H:I,2,0)</f>
        <v>#N/A</v>
      </c>
      <c r="AK32" s="175" t="e">
        <f>VLOOKUP(AA32,'ort9'!I:J,2,0)</f>
        <v>#N/A</v>
      </c>
      <c r="AL32" s="138"/>
    </row>
    <row r="33" spans="1:37" s="138" customFormat="1" ht="21.2" customHeight="1" x14ac:dyDescent="0.25">
      <c r="A33" s="198">
        <f t="shared" si="0"/>
        <v>24</v>
      </c>
      <c r="B33" s="362"/>
      <c r="C33" s="199" t="s">
        <v>24337</v>
      </c>
      <c r="D33" s="199" t="s">
        <v>24110</v>
      </c>
      <c r="E33" s="288">
        <v>1500</v>
      </c>
      <c r="F33" s="288">
        <v>0</v>
      </c>
      <c r="G33" s="200">
        <f t="shared" si="1"/>
        <v>76.92307692307692</v>
      </c>
      <c r="H33" s="180" t="str">
        <f t="shared" si="2"/>
        <v>±8</v>
      </c>
      <c r="I33" s="179" t="s">
        <v>24113</v>
      </c>
      <c r="J33" s="179" t="s">
        <v>24113</v>
      </c>
      <c r="K33" s="179" t="s">
        <v>24113</v>
      </c>
      <c r="L33" s="179" t="s">
        <v>24114</v>
      </c>
      <c r="M33" s="180" t="s">
        <v>15</v>
      </c>
      <c r="N33" s="180" t="s">
        <v>18</v>
      </c>
      <c r="O33" s="178" t="s">
        <v>24315</v>
      </c>
      <c r="P33" s="200" t="e">
        <f t="shared" si="14"/>
        <v>#N/A</v>
      </c>
      <c r="Q33" s="200" t="e">
        <f t="shared" si="14"/>
        <v>#N/A</v>
      </c>
      <c r="R33" s="202" t="s">
        <v>24327</v>
      </c>
      <c r="S33" s="202" t="s">
        <v>24118</v>
      </c>
      <c r="T33" s="34" t="s">
        <v>24295</v>
      </c>
      <c r="U33" s="202" t="s">
        <v>24182</v>
      </c>
      <c r="V33" s="140">
        <f t="shared" si="4"/>
        <v>19.5</v>
      </c>
      <c r="W33" s="160">
        <f t="shared" si="5"/>
        <v>76.92307692307692</v>
      </c>
      <c r="X33" s="160">
        <f t="shared" si="6"/>
        <v>69.230769230769226</v>
      </c>
      <c r="Y33" s="161">
        <f t="shared" si="7"/>
        <v>84.615384615384627</v>
      </c>
      <c r="Z33" s="29" t="str">
        <f t="shared" si="8"/>
        <v>Thép cuộn cán nóng 2.30x121Y SAE1006THÉP VIỆT NHẬTQUA CÁN NGUỘI</v>
      </c>
      <c r="AA33" s="37" t="e">
        <f>VLOOKUP(Z33,Order!F:H,2,FALSE)</f>
        <v>#N/A</v>
      </c>
      <c r="AB33" s="137" t="e">
        <f>VLOOKUP(AA33,Order!G:H,2,FALSE)</f>
        <v>#N/A</v>
      </c>
      <c r="AC33" s="30" t="e">
        <f>VLOOKUP(Z33,'ort9'!D:E,2,0)</f>
        <v>#N/A</v>
      </c>
      <c r="AD33" s="281">
        <f t="shared" si="9"/>
        <v>1500</v>
      </c>
      <c r="AE33" s="37">
        <f t="shared" si="10"/>
        <v>7.6923076923077005</v>
      </c>
      <c r="AF33" s="175" t="s">
        <v>24119</v>
      </c>
      <c r="AG33" s="37">
        <f t="shared" ref="AG33" si="15">ROUND(AE33,0)</f>
        <v>8</v>
      </c>
      <c r="AH33" s="175" t="str">
        <f t="shared" ref="AH33" si="16">AF33&amp;AG33</f>
        <v>±8</v>
      </c>
      <c r="AJ33" s="175" t="e">
        <f>VLOOKUP(Z33,'ort9'!H:I,2,0)</f>
        <v>#N/A</v>
      </c>
      <c r="AK33" s="175" t="e">
        <f>VLOOKUP(AA33,'ort9'!I:J,2,0)</f>
        <v>#N/A</v>
      </c>
    </row>
    <row r="34" spans="1:37" s="10" customFormat="1" ht="14.25" customHeight="1" x14ac:dyDescent="0.2">
      <c r="A34" s="198">
        <f t="shared" si="0"/>
        <v>25</v>
      </c>
      <c r="B34" s="204" t="s">
        <v>19</v>
      </c>
      <c r="C34" s="205"/>
      <c r="D34" s="206"/>
      <c r="E34" s="207">
        <f>SUM(E10:E33)</f>
        <v>5200</v>
      </c>
      <c r="F34" s="207">
        <f>SUM(F10:F33)</f>
        <v>40760</v>
      </c>
      <c r="G34" s="207">
        <f>SUM(G11:G28)</f>
        <v>1311.5019333454336</v>
      </c>
      <c r="H34" s="207"/>
      <c r="I34" s="208"/>
      <c r="J34" s="209"/>
      <c r="K34" s="209"/>
      <c r="L34" s="209"/>
      <c r="M34" s="210"/>
      <c r="N34" s="211"/>
      <c r="O34" s="212"/>
      <c r="P34" s="209"/>
      <c r="Q34" s="209"/>
      <c r="R34" s="213"/>
      <c r="S34" s="159"/>
      <c r="T34" s="42"/>
      <c r="U34" s="42"/>
      <c r="V34" s="140"/>
      <c r="W34" s="160"/>
      <c r="X34" s="160"/>
      <c r="Y34" s="161"/>
      <c r="Z34" s="29"/>
      <c r="AA34" s="37"/>
      <c r="AB34" s="137"/>
      <c r="AC34" s="30"/>
      <c r="AD34" s="281"/>
      <c r="AE34" s="37">
        <f t="shared" si="10"/>
        <v>0</v>
      </c>
      <c r="AF34" s="175" t="s">
        <v>24119</v>
      </c>
      <c r="AG34" s="37">
        <f t="shared" si="11"/>
        <v>0</v>
      </c>
      <c r="AH34" s="175" t="str">
        <f t="shared" si="12"/>
        <v>±0</v>
      </c>
      <c r="AJ34" s="175" t="e">
        <f>VLOOKUP(Z34,'ort9'!H:I,2,TRUE)</f>
        <v>#N/A</v>
      </c>
      <c r="AK34" s="175" t="e">
        <f>VLOOKUP(AA34,'ort9'!I:J,2,0)</f>
        <v>#N/A</v>
      </c>
    </row>
    <row r="35" spans="1:37" s="10" customFormat="1" ht="55.7" customHeight="1" x14ac:dyDescent="0.2">
      <c r="A35" s="363" t="s">
        <v>24301</v>
      </c>
      <c r="B35" s="364"/>
      <c r="C35" s="364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4"/>
      <c r="O35" s="364"/>
      <c r="P35" s="364"/>
      <c r="Q35" s="364"/>
      <c r="R35" s="364"/>
      <c r="S35" s="364"/>
      <c r="Z35" s="29"/>
      <c r="AA35" s="30"/>
      <c r="AB35" s="87"/>
      <c r="AC35" s="79"/>
      <c r="AE35" s="92">
        <f>(5-4)/2</f>
        <v>0.5</v>
      </c>
      <c r="AF35" s="92"/>
      <c r="AG35" s="92">
        <f t="shared" si="11"/>
        <v>1</v>
      </c>
      <c r="AH35" s="92"/>
      <c r="AJ35" s="92"/>
      <c r="AK35" s="92"/>
    </row>
    <row r="36" spans="1:37" s="10" customFormat="1" ht="17.45" customHeight="1" x14ac:dyDescent="0.2">
      <c r="A36" s="43"/>
      <c r="B36" s="103"/>
      <c r="C36" s="214"/>
      <c r="D36" s="215"/>
      <c r="E36" s="214"/>
      <c r="F36" s="214"/>
      <c r="G36" s="214"/>
      <c r="H36" s="214"/>
      <c r="I36" s="104"/>
      <c r="J36" s="104"/>
      <c r="K36" s="104"/>
      <c r="L36" s="104"/>
      <c r="M36" s="104"/>
      <c r="N36" s="365" t="s">
        <v>24338</v>
      </c>
      <c r="O36" s="365"/>
      <c r="P36" s="365"/>
      <c r="Q36" s="365"/>
      <c r="R36" s="365"/>
      <c r="S36" s="365"/>
      <c r="Z36" s="29"/>
      <c r="AA36" s="30"/>
      <c r="AB36" s="87"/>
      <c r="AC36" s="79"/>
      <c r="AE36" s="92"/>
      <c r="AF36" s="92"/>
      <c r="AG36" s="92"/>
      <c r="AH36" s="92"/>
      <c r="AJ36" s="92"/>
      <c r="AK36" s="92"/>
    </row>
    <row r="37" spans="1:37" s="10" customFormat="1" ht="16.5" customHeight="1" x14ac:dyDescent="0.25">
      <c r="A37" s="48"/>
      <c r="B37" s="216"/>
      <c r="C37" s="182"/>
      <c r="D37" s="186"/>
      <c r="E37" s="107" t="s">
        <v>21</v>
      </c>
      <c r="F37" s="186"/>
      <c r="G37" s="107"/>
      <c r="H37" s="186"/>
      <c r="I37" s="92"/>
      <c r="J37" s="108"/>
      <c r="K37" s="108"/>
      <c r="L37" s="108"/>
      <c r="M37" s="188"/>
      <c r="N37" s="92"/>
      <c r="O37" s="217" t="s">
        <v>22</v>
      </c>
      <c r="P37" s="218"/>
      <c r="Q37" s="92"/>
      <c r="R37" s="55"/>
      <c r="S37" s="182"/>
      <c r="Z37" s="29"/>
      <c r="AA37" s="30"/>
      <c r="AB37" s="87"/>
      <c r="AC37" s="79"/>
      <c r="AE37" s="92"/>
      <c r="AF37" s="92"/>
      <c r="AG37" s="92"/>
      <c r="AH37" s="92"/>
      <c r="AJ37" s="92"/>
      <c r="AK37" s="92"/>
    </row>
    <row r="38" spans="1:37" ht="14.25" customHeight="1" x14ac:dyDescent="0.2">
      <c r="A38" s="133" t="s">
        <v>24176</v>
      </c>
      <c r="B38" s="219"/>
      <c r="C38" s="182"/>
      <c r="I38" s="221"/>
      <c r="T38" s="61"/>
      <c r="U38" s="61"/>
      <c r="V38" s="61"/>
      <c r="W38" s="61"/>
      <c r="X38" s="61"/>
      <c r="Y38" s="61"/>
      <c r="Z38" s="29"/>
      <c r="AA38" s="30"/>
      <c r="AB38" s="87"/>
      <c r="AC38" s="79"/>
    </row>
    <row r="39" spans="1:37" ht="13.7" customHeight="1" x14ac:dyDescent="0.2">
      <c r="A39" s="62" t="s">
        <v>24</v>
      </c>
      <c r="B39" s="222"/>
      <c r="C39" s="222"/>
      <c r="D39" s="222"/>
      <c r="T39" s="61"/>
      <c r="U39" s="61"/>
      <c r="V39" s="61"/>
      <c r="W39" s="61"/>
      <c r="X39" s="61"/>
      <c r="Y39" s="61"/>
      <c r="Z39" s="29"/>
      <c r="AA39" s="30"/>
      <c r="AB39" s="87"/>
      <c r="AC39" s="79"/>
    </row>
    <row r="40" spans="1:37" ht="14.25" customHeight="1" x14ac:dyDescent="0.2">
      <c r="A40" s="62" t="s">
        <v>25</v>
      </c>
      <c r="B40" s="222"/>
      <c r="C40" s="223"/>
      <c r="D40" s="196"/>
      <c r="T40" s="61"/>
      <c r="U40" s="61"/>
      <c r="V40" s="61"/>
      <c r="W40" s="61"/>
      <c r="X40" s="61"/>
      <c r="Y40" s="61"/>
      <c r="Z40" s="29"/>
      <c r="AA40" s="30"/>
      <c r="AB40" s="87"/>
      <c r="AC40" s="79"/>
    </row>
    <row r="41" spans="1:37" ht="18" customHeight="1" x14ac:dyDescent="0.2">
      <c r="A41" s="66" t="s">
        <v>26</v>
      </c>
      <c r="B41" s="224"/>
      <c r="C41" s="224"/>
      <c r="D41" s="196"/>
      <c r="T41" s="61"/>
      <c r="U41" s="61"/>
      <c r="V41" s="61"/>
      <c r="W41" s="61"/>
      <c r="X41" s="61"/>
      <c r="Y41" s="61"/>
      <c r="Z41" s="29"/>
      <c r="AA41" s="30"/>
      <c r="AB41" s="87"/>
      <c r="AC41" s="79"/>
    </row>
    <row r="42" spans="1:37" ht="10.5" customHeight="1" x14ac:dyDescent="0.2">
      <c r="A42" s="68"/>
      <c r="E42" s="218"/>
      <c r="F42" s="218"/>
      <c r="G42" s="218"/>
      <c r="H42" s="218"/>
      <c r="I42" s="218"/>
      <c r="J42" s="218"/>
      <c r="K42" s="218"/>
      <c r="L42" s="55"/>
      <c r="M42" s="225"/>
      <c r="N42" s="218"/>
      <c r="T42" s="61"/>
      <c r="U42" s="61"/>
      <c r="V42" s="61"/>
      <c r="W42" s="61"/>
      <c r="X42" s="61"/>
      <c r="Y42" s="61"/>
    </row>
    <row r="43" spans="1:37" ht="12.75" customHeight="1" x14ac:dyDescent="0.2">
      <c r="T43" s="61"/>
      <c r="U43" s="61"/>
      <c r="V43" s="61"/>
      <c r="W43" s="61"/>
      <c r="X43" s="61"/>
      <c r="Y43" s="61"/>
    </row>
    <row r="44" spans="1:37" x14ac:dyDescent="0.2">
      <c r="T44" s="61"/>
      <c r="U44" s="61"/>
      <c r="V44" s="61"/>
      <c r="W44" s="61"/>
      <c r="X44" s="61"/>
      <c r="Y44" s="61"/>
    </row>
    <row r="45" spans="1:37" x14ac:dyDescent="0.2">
      <c r="T45" s="61"/>
      <c r="U45" s="61"/>
      <c r="V45" s="61"/>
      <c r="W45" s="61"/>
      <c r="X45" s="61"/>
      <c r="Y45" s="61"/>
    </row>
    <row r="47" spans="1:37" s="70" customFormat="1" x14ac:dyDescent="0.2">
      <c r="A47" s="69"/>
      <c r="B47" s="69"/>
      <c r="C47" s="55"/>
      <c r="D47" s="186"/>
      <c r="E47" s="220"/>
      <c r="F47" s="220"/>
      <c r="G47" s="220"/>
      <c r="H47" s="220"/>
      <c r="I47" s="110"/>
      <c r="J47" s="110"/>
      <c r="K47" s="110"/>
      <c r="L47" s="110"/>
      <c r="M47" s="188"/>
      <c r="N47" s="110"/>
      <c r="O47" s="189"/>
      <c r="P47" s="110"/>
      <c r="Q47" s="110"/>
      <c r="R47" s="55"/>
      <c r="S47" s="182"/>
      <c r="Z47" s="20"/>
      <c r="AA47" s="21"/>
      <c r="AB47" s="88"/>
      <c r="AC47" s="77"/>
      <c r="AE47" s="176"/>
      <c r="AF47" s="176"/>
      <c r="AG47" s="176"/>
      <c r="AH47" s="176"/>
      <c r="AJ47" s="176"/>
      <c r="AK47" s="176"/>
    </row>
    <row r="48" spans="1:37" s="74" customFormat="1" x14ac:dyDescent="0.2">
      <c r="A48" s="69"/>
      <c r="B48" s="69"/>
      <c r="C48" s="55"/>
      <c r="D48" s="186"/>
      <c r="E48" s="220"/>
      <c r="F48" s="220"/>
      <c r="G48" s="220"/>
      <c r="H48" s="220"/>
      <c r="I48" s="110"/>
      <c r="J48" s="110"/>
      <c r="K48" s="110"/>
      <c r="L48" s="110"/>
      <c r="M48" s="188"/>
      <c r="N48" s="110"/>
      <c r="O48" s="189"/>
      <c r="P48" s="110"/>
      <c r="Q48" s="110"/>
      <c r="R48" s="55"/>
      <c r="S48" s="182"/>
      <c r="T48" s="71"/>
      <c r="U48" s="71"/>
      <c r="V48" s="71"/>
      <c r="W48" s="71"/>
      <c r="X48" s="71"/>
      <c r="Y48" s="71"/>
      <c r="Z48" s="72"/>
      <c r="AA48" s="73"/>
      <c r="AB48" s="89"/>
      <c r="AC48" s="80"/>
      <c r="AE48" s="177"/>
      <c r="AF48" s="177"/>
      <c r="AG48" s="177"/>
      <c r="AH48" s="177"/>
      <c r="AJ48" s="177"/>
      <c r="AK48" s="177"/>
    </row>
    <row r="49" spans="1:37" s="74" customFormat="1" x14ac:dyDescent="0.2">
      <c r="A49" s="69"/>
      <c r="B49" s="69"/>
      <c r="C49" s="55"/>
      <c r="D49" s="186"/>
      <c r="E49" s="220"/>
      <c r="F49" s="220"/>
      <c r="G49" s="220"/>
      <c r="H49" s="220"/>
      <c r="I49" s="110"/>
      <c r="J49" s="110"/>
      <c r="K49" s="110"/>
      <c r="L49" s="110"/>
      <c r="M49" s="188"/>
      <c r="N49" s="110"/>
      <c r="O49" s="189"/>
      <c r="P49" s="110"/>
      <c r="Q49" s="110"/>
      <c r="R49" s="55"/>
      <c r="S49" s="182"/>
      <c r="T49" s="71"/>
      <c r="U49" s="71"/>
      <c r="V49" s="71"/>
      <c r="W49" s="71"/>
      <c r="X49" s="71"/>
      <c r="Y49" s="71"/>
      <c r="Z49" s="72"/>
      <c r="AA49" s="73"/>
      <c r="AB49" s="89"/>
      <c r="AC49" s="80"/>
      <c r="AE49" s="177"/>
      <c r="AF49" s="177"/>
      <c r="AG49" s="177"/>
      <c r="AH49" s="177"/>
      <c r="AJ49" s="177"/>
      <c r="AK49" s="177"/>
    </row>
    <row r="50" spans="1:37" s="74" customFormat="1" x14ac:dyDescent="0.2">
      <c r="A50" s="69"/>
      <c r="B50" s="69"/>
      <c r="C50" s="55"/>
      <c r="D50" s="186"/>
      <c r="E50" s="220"/>
      <c r="F50" s="220"/>
      <c r="G50" s="220"/>
      <c r="H50" s="220"/>
      <c r="I50" s="110"/>
      <c r="J50" s="110"/>
      <c r="K50" s="110"/>
      <c r="L50" s="110"/>
      <c r="M50" s="188"/>
      <c r="N50" s="110"/>
      <c r="O50" s="189"/>
      <c r="P50" s="110"/>
      <c r="Q50" s="110"/>
      <c r="R50" s="55"/>
      <c r="S50" s="182"/>
      <c r="T50" s="71"/>
      <c r="U50" s="71"/>
      <c r="V50" s="71"/>
      <c r="W50" s="71"/>
      <c r="X50" s="71"/>
      <c r="Y50" s="71"/>
      <c r="Z50" s="72"/>
      <c r="AA50" s="73"/>
      <c r="AB50" s="89"/>
      <c r="AC50" s="80"/>
      <c r="AE50" s="177"/>
      <c r="AF50" s="177"/>
      <c r="AG50" s="177"/>
      <c r="AH50" s="177"/>
      <c r="AJ50" s="177"/>
      <c r="AK50" s="177"/>
    </row>
    <row r="51" spans="1:37" s="74" customFormat="1" x14ac:dyDescent="0.2">
      <c r="A51" s="69"/>
      <c r="B51" s="69"/>
      <c r="C51" s="55"/>
      <c r="D51" s="186"/>
      <c r="E51" s="220"/>
      <c r="F51" s="220"/>
      <c r="G51" s="220"/>
      <c r="H51" s="220"/>
      <c r="I51" s="110"/>
      <c r="J51" s="110"/>
      <c r="K51" s="110"/>
      <c r="L51" s="110"/>
      <c r="M51" s="188"/>
      <c r="N51" s="110"/>
      <c r="O51" s="189"/>
      <c r="P51" s="110"/>
      <c r="Q51" s="110"/>
      <c r="R51" s="55"/>
      <c r="S51" s="182"/>
      <c r="T51" s="71"/>
      <c r="U51" s="71"/>
      <c r="V51" s="71"/>
      <c r="W51" s="71"/>
      <c r="X51" s="71"/>
      <c r="Y51" s="71"/>
      <c r="Z51" s="72"/>
      <c r="AA51" s="73"/>
      <c r="AB51" s="89"/>
      <c r="AC51" s="80"/>
      <c r="AE51" s="177"/>
      <c r="AF51" s="177"/>
      <c r="AG51" s="177"/>
      <c r="AH51" s="177"/>
      <c r="AJ51" s="177"/>
      <c r="AK51" s="177"/>
    </row>
    <row r="52" spans="1:37" s="74" customFormat="1" x14ac:dyDescent="0.2">
      <c r="A52" s="69"/>
      <c r="B52" s="69"/>
      <c r="C52" s="55"/>
      <c r="D52" s="186"/>
      <c r="E52" s="220"/>
      <c r="F52" s="220"/>
      <c r="G52" s="220"/>
      <c r="H52" s="220"/>
      <c r="I52" s="110"/>
      <c r="J52" s="110"/>
      <c r="K52" s="110"/>
      <c r="L52" s="110"/>
      <c r="M52" s="188"/>
      <c r="N52" s="110"/>
      <c r="O52" s="189"/>
      <c r="P52" s="110"/>
      <c r="Q52" s="110"/>
      <c r="R52" s="55"/>
      <c r="S52" s="182"/>
      <c r="T52" s="71"/>
      <c r="U52" s="71"/>
      <c r="V52" s="71"/>
      <c r="W52" s="71"/>
      <c r="X52" s="71"/>
      <c r="Y52" s="71"/>
      <c r="Z52" s="72"/>
      <c r="AA52" s="73"/>
      <c r="AB52" s="89"/>
      <c r="AC52" s="80"/>
      <c r="AE52" s="177"/>
      <c r="AF52" s="177"/>
      <c r="AG52" s="177"/>
      <c r="AH52" s="177"/>
      <c r="AJ52" s="177"/>
      <c r="AK52" s="177"/>
    </row>
    <row r="53" spans="1:37" s="74" customFormat="1" x14ac:dyDescent="0.2">
      <c r="A53" s="69"/>
      <c r="B53" s="69"/>
      <c r="C53" s="55"/>
      <c r="D53" s="186"/>
      <c r="E53" s="220"/>
      <c r="F53" s="220"/>
      <c r="G53" s="220"/>
      <c r="H53" s="220"/>
      <c r="I53" s="110"/>
      <c r="J53" s="110"/>
      <c r="K53" s="110"/>
      <c r="L53" s="110"/>
      <c r="M53" s="188"/>
      <c r="N53" s="110"/>
      <c r="O53" s="189"/>
      <c r="P53" s="110"/>
      <c r="Q53" s="110"/>
      <c r="R53" s="55"/>
      <c r="S53" s="182"/>
      <c r="T53" s="71"/>
      <c r="U53" s="71"/>
      <c r="V53" s="71"/>
      <c r="W53" s="71"/>
      <c r="X53" s="71"/>
      <c r="Y53" s="71"/>
      <c r="Z53" s="72"/>
      <c r="AA53" s="73"/>
      <c r="AB53" s="89"/>
      <c r="AC53" s="80"/>
      <c r="AE53" s="177"/>
      <c r="AF53" s="177"/>
      <c r="AG53" s="177"/>
      <c r="AH53" s="177"/>
      <c r="AJ53" s="177"/>
      <c r="AK53" s="177"/>
    </row>
    <row r="54" spans="1:37" s="74" customFormat="1" x14ac:dyDescent="0.2">
      <c r="A54" s="69"/>
      <c r="B54" s="69"/>
      <c r="C54" s="55"/>
      <c r="D54" s="186"/>
      <c r="E54" s="220"/>
      <c r="F54" s="220"/>
      <c r="G54" s="220"/>
      <c r="H54" s="220"/>
      <c r="I54" s="110"/>
      <c r="J54" s="110"/>
      <c r="K54" s="110"/>
      <c r="L54" s="110"/>
      <c r="M54" s="188"/>
      <c r="N54" s="110"/>
      <c r="O54" s="189"/>
      <c r="P54" s="110"/>
      <c r="Q54" s="110"/>
      <c r="R54" s="55"/>
      <c r="S54" s="182"/>
      <c r="T54" s="71"/>
      <c r="U54" s="71"/>
      <c r="V54" s="71"/>
      <c r="W54" s="71"/>
      <c r="X54" s="71"/>
      <c r="Y54" s="71"/>
      <c r="Z54" s="72"/>
      <c r="AA54" s="73"/>
      <c r="AB54" s="89"/>
      <c r="AC54" s="80"/>
      <c r="AE54" s="177"/>
      <c r="AF54" s="177"/>
      <c r="AG54" s="177"/>
      <c r="AH54" s="177"/>
      <c r="AJ54" s="177"/>
      <c r="AK54" s="177"/>
    </row>
    <row r="55" spans="1:37" s="74" customFormat="1" x14ac:dyDescent="0.2">
      <c r="A55" s="69"/>
      <c r="B55" s="69"/>
      <c r="C55" s="55"/>
      <c r="D55" s="186"/>
      <c r="E55" s="220"/>
      <c r="F55" s="220"/>
      <c r="G55" s="220"/>
      <c r="H55" s="220"/>
      <c r="I55" s="110"/>
      <c r="J55" s="110"/>
      <c r="K55" s="110"/>
      <c r="L55" s="110"/>
      <c r="M55" s="188"/>
      <c r="N55" s="110"/>
      <c r="O55" s="189"/>
      <c r="P55" s="110"/>
      <c r="Q55" s="110"/>
      <c r="R55" s="55"/>
      <c r="S55" s="182"/>
      <c r="T55" s="71"/>
      <c r="U55" s="71"/>
      <c r="V55" s="71"/>
      <c r="W55" s="71"/>
      <c r="X55" s="71"/>
      <c r="Y55" s="71"/>
      <c r="Z55" s="72"/>
      <c r="AA55" s="73"/>
      <c r="AB55" s="89"/>
      <c r="AC55" s="80"/>
      <c r="AE55" s="177"/>
      <c r="AF55" s="177"/>
      <c r="AG55" s="177"/>
      <c r="AH55" s="177"/>
      <c r="AJ55" s="177"/>
      <c r="AK55" s="177"/>
    </row>
    <row r="56" spans="1:37" s="74" customFormat="1" x14ac:dyDescent="0.2">
      <c r="A56" s="69"/>
      <c r="B56" s="69"/>
      <c r="C56" s="55"/>
      <c r="D56" s="186"/>
      <c r="E56" s="220"/>
      <c r="F56" s="220"/>
      <c r="G56" s="220"/>
      <c r="H56" s="220"/>
      <c r="I56" s="110"/>
      <c r="J56" s="110"/>
      <c r="K56" s="110"/>
      <c r="L56" s="110"/>
      <c r="M56" s="188"/>
      <c r="N56" s="110"/>
      <c r="O56" s="189"/>
      <c r="P56" s="110"/>
      <c r="Q56" s="110"/>
      <c r="R56" s="55"/>
      <c r="S56" s="182"/>
      <c r="T56" s="71"/>
      <c r="U56" s="71"/>
      <c r="V56" s="71"/>
      <c r="W56" s="71"/>
      <c r="X56" s="71"/>
      <c r="Y56" s="71"/>
      <c r="Z56" s="72"/>
      <c r="AA56" s="73"/>
      <c r="AB56" s="89"/>
      <c r="AC56" s="80"/>
      <c r="AE56" s="177"/>
      <c r="AF56" s="177"/>
      <c r="AG56" s="177"/>
      <c r="AH56" s="177"/>
      <c r="AJ56" s="177"/>
      <c r="AK56" s="177"/>
    </row>
    <row r="57" spans="1:37" s="74" customFormat="1" x14ac:dyDescent="0.2">
      <c r="A57" s="69"/>
      <c r="B57" s="69"/>
      <c r="C57" s="55"/>
      <c r="D57" s="186"/>
      <c r="E57" s="220"/>
      <c r="F57" s="220"/>
      <c r="G57" s="220"/>
      <c r="H57" s="220"/>
      <c r="I57" s="110"/>
      <c r="J57" s="110"/>
      <c r="K57" s="110"/>
      <c r="L57" s="110"/>
      <c r="M57" s="188"/>
      <c r="N57" s="110"/>
      <c r="O57" s="189"/>
      <c r="P57" s="110"/>
      <c r="Q57" s="110"/>
      <c r="R57" s="55"/>
      <c r="S57" s="182"/>
      <c r="T57" s="71"/>
      <c r="U57" s="71"/>
      <c r="V57" s="71"/>
      <c r="W57" s="71"/>
      <c r="X57" s="71"/>
      <c r="Y57" s="71"/>
      <c r="Z57" s="72"/>
      <c r="AA57" s="73"/>
      <c r="AB57" s="89"/>
      <c r="AC57" s="80"/>
      <c r="AE57" s="177"/>
      <c r="AF57" s="177"/>
      <c r="AG57" s="177"/>
      <c r="AH57" s="177"/>
      <c r="AJ57" s="177"/>
      <c r="AK57" s="177"/>
    </row>
    <row r="58" spans="1:37" s="74" customFormat="1" x14ac:dyDescent="0.2">
      <c r="A58" s="69"/>
      <c r="B58" s="69"/>
      <c r="C58" s="55"/>
      <c r="D58" s="186"/>
      <c r="E58" s="220"/>
      <c r="F58" s="220"/>
      <c r="G58" s="220"/>
      <c r="H58" s="220"/>
      <c r="I58" s="110"/>
      <c r="J58" s="110"/>
      <c r="K58" s="110"/>
      <c r="L58" s="110"/>
      <c r="M58" s="188"/>
      <c r="N58" s="110"/>
      <c r="O58" s="189"/>
      <c r="P58" s="110"/>
      <c r="Q58" s="110"/>
      <c r="R58" s="55"/>
      <c r="S58" s="182"/>
      <c r="T58" s="71"/>
      <c r="U58" s="71"/>
      <c r="V58" s="71"/>
      <c r="W58" s="71"/>
      <c r="X58" s="71"/>
      <c r="Y58" s="71"/>
      <c r="Z58" s="72"/>
      <c r="AA58" s="73"/>
      <c r="AB58" s="89"/>
      <c r="AC58" s="80"/>
      <c r="AE58" s="177"/>
      <c r="AF58" s="177"/>
      <c r="AG58" s="177"/>
      <c r="AH58" s="177"/>
      <c r="AJ58" s="177"/>
      <c r="AK58" s="177"/>
    </row>
    <row r="59" spans="1:37" s="74" customFormat="1" x14ac:dyDescent="0.2">
      <c r="A59" s="69"/>
      <c r="B59" s="69"/>
      <c r="C59" s="55"/>
      <c r="D59" s="186"/>
      <c r="E59" s="220"/>
      <c r="F59" s="220"/>
      <c r="G59" s="220"/>
      <c r="H59" s="220"/>
      <c r="I59" s="110"/>
      <c r="J59" s="110"/>
      <c r="K59" s="110"/>
      <c r="L59" s="110"/>
      <c r="M59" s="188"/>
      <c r="N59" s="110"/>
      <c r="O59" s="189"/>
      <c r="P59" s="110"/>
      <c r="Q59" s="110"/>
      <c r="R59" s="55"/>
      <c r="S59" s="182"/>
      <c r="T59" s="71"/>
      <c r="U59" s="71"/>
      <c r="V59" s="71"/>
      <c r="W59" s="71"/>
      <c r="X59" s="71"/>
      <c r="Y59" s="71"/>
      <c r="Z59" s="72"/>
      <c r="AA59" s="73"/>
      <c r="AB59" s="89"/>
      <c r="AC59" s="80"/>
      <c r="AE59" s="177"/>
      <c r="AF59" s="177"/>
      <c r="AG59" s="177"/>
      <c r="AH59" s="177"/>
      <c r="AJ59" s="177"/>
      <c r="AK59" s="177"/>
    </row>
  </sheetData>
  <mergeCells count="26">
    <mergeCell ref="P1:S1"/>
    <mergeCell ref="A4:S4"/>
    <mergeCell ref="A7:A9"/>
    <mergeCell ref="B7:B9"/>
    <mergeCell ref="C7:L7"/>
    <mergeCell ref="M7:N8"/>
    <mergeCell ref="O7:O9"/>
    <mergeCell ref="P7:P9"/>
    <mergeCell ref="Q7:Q9"/>
    <mergeCell ref="R7:R9"/>
    <mergeCell ref="B10:B33"/>
    <mergeCell ref="A35:S35"/>
    <mergeCell ref="N36:S36"/>
    <mergeCell ref="AJ7:AJ9"/>
    <mergeCell ref="AK7:AK9"/>
    <mergeCell ref="C8:C9"/>
    <mergeCell ref="D8:D9"/>
    <mergeCell ref="E8:F8"/>
    <mergeCell ref="G8:H8"/>
    <mergeCell ref="I8:L8"/>
    <mergeCell ref="S7:S9"/>
    <mergeCell ref="T7:T9"/>
    <mergeCell ref="V7:V9"/>
    <mergeCell ref="W7:W9"/>
    <mergeCell ref="X7:X9"/>
    <mergeCell ref="Y7:Y9"/>
  </mergeCells>
  <conditionalFormatting sqref="N36 P38:P1048576 P3 P1 P6:P7 P34">
    <cfRule type="duplicateValues" dxfId="45" priority="7"/>
  </conditionalFormatting>
  <conditionalFormatting sqref="P34:P1048576 P1:P7">
    <cfRule type="duplicateValues" dxfId="44" priority="4"/>
  </conditionalFormatting>
  <conditionalFormatting sqref="P35">
    <cfRule type="duplicateValues" dxfId="43" priority="5"/>
  </conditionalFormatting>
  <conditionalFormatting sqref="Z10:Z41">
    <cfRule type="duplicateValues" dxfId="42" priority="8"/>
  </conditionalFormatting>
  <conditionalFormatting sqref="Z42:Z1048576 Z1:Z9">
    <cfRule type="duplicateValues" dxfId="41" priority="6"/>
  </conditionalFormatting>
  <conditionalFormatting sqref="AA1:AA1048576">
    <cfRule type="duplicateValues" dxfId="40" priority="3"/>
  </conditionalFormatting>
  <conditionalFormatting sqref="AJ7">
    <cfRule type="duplicateValues" dxfId="39" priority="2"/>
  </conditionalFormatting>
  <conditionalFormatting sqref="AJ7:AJ9">
    <cfRule type="duplicateValues" dxfId="38" priority="1"/>
  </conditionalFormatting>
  <pageMargins left="0.30370078740157502" right="0.196850393700787" top="0.55905511799999996" bottom="0.39370078740157499" header="0.118110236220472" footer="0.118110236220472"/>
  <pageSetup paperSize="9" scale="58" fitToHeight="0" orientation="landscape" r:id="rId1"/>
  <rowBreaks count="1" manualBreakCount="1">
    <brk id="52" max="1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0950E-E855-4E86-9B8D-115CFA247255}">
  <dimension ref="A1:D10439"/>
  <sheetViews>
    <sheetView workbookViewId="0">
      <selection activeCell="C11" sqref="C11"/>
    </sheetView>
  </sheetViews>
  <sheetFormatPr defaultRowHeight="15" x14ac:dyDescent="0.25"/>
  <sheetData>
    <row r="1" spans="1:4" x14ac:dyDescent="0.25">
      <c r="A1" s="75" t="s">
        <v>27</v>
      </c>
      <c r="B1" s="75" t="s">
        <v>28</v>
      </c>
      <c r="C1" s="75" t="s">
        <v>29</v>
      </c>
      <c r="D1" s="75" t="s">
        <v>30</v>
      </c>
    </row>
    <row r="2" spans="1:4" x14ac:dyDescent="0.25">
      <c r="A2" s="139" t="s">
        <v>31</v>
      </c>
      <c r="B2" s="139" t="s">
        <v>32</v>
      </c>
      <c r="C2" s="139" t="s">
        <v>33</v>
      </c>
      <c r="D2" s="139" t="s">
        <v>34</v>
      </c>
    </row>
    <row r="3" spans="1:4" x14ac:dyDescent="0.25">
      <c r="A3" s="139" t="s">
        <v>35</v>
      </c>
      <c r="B3" s="139" t="s">
        <v>32</v>
      </c>
      <c r="C3" s="139" t="s">
        <v>33</v>
      </c>
      <c r="D3" s="139" t="s">
        <v>36</v>
      </c>
    </row>
    <row r="4" spans="1:4" x14ac:dyDescent="0.25">
      <c r="A4" s="139" t="s">
        <v>37</v>
      </c>
      <c r="B4" s="139" t="s">
        <v>38</v>
      </c>
      <c r="C4" s="139" t="s">
        <v>33</v>
      </c>
      <c r="D4" s="139" t="s">
        <v>39</v>
      </c>
    </row>
    <row r="5" spans="1:4" x14ac:dyDescent="0.25">
      <c r="A5" s="139" t="s">
        <v>40</v>
      </c>
      <c r="B5" s="139" t="s">
        <v>38</v>
      </c>
      <c r="C5" s="139" t="s">
        <v>33</v>
      </c>
      <c r="D5" s="139" t="s">
        <v>41</v>
      </c>
    </row>
    <row r="6" spans="1:4" x14ac:dyDescent="0.25">
      <c r="A6" s="139" t="s">
        <v>42</v>
      </c>
      <c r="B6" s="139" t="s">
        <v>43</v>
      </c>
      <c r="C6" s="139" t="s">
        <v>44</v>
      </c>
      <c r="D6" s="139" t="s">
        <v>45</v>
      </c>
    </row>
    <row r="7" spans="1:4" x14ac:dyDescent="0.25">
      <c r="A7" s="139" t="s">
        <v>46</v>
      </c>
      <c r="B7" s="139" t="s">
        <v>43</v>
      </c>
      <c r="C7" s="139" t="s">
        <v>44</v>
      </c>
      <c r="D7" s="139" t="s">
        <v>47</v>
      </c>
    </row>
    <row r="8" spans="1:4" x14ac:dyDescent="0.25">
      <c r="A8" s="139" t="s">
        <v>48</v>
      </c>
      <c r="B8" s="139" t="s">
        <v>49</v>
      </c>
      <c r="C8" s="139" t="s">
        <v>33</v>
      </c>
      <c r="D8" s="139" t="s">
        <v>50</v>
      </c>
    </row>
    <row r="9" spans="1:4" x14ac:dyDescent="0.25">
      <c r="A9" s="139" t="s">
        <v>51</v>
      </c>
      <c r="B9" s="139" t="s">
        <v>49</v>
      </c>
      <c r="C9" s="139" t="s">
        <v>33</v>
      </c>
      <c r="D9" s="139" t="s">
        <v>52</v>
      </c>
    </row>
    <row r="10" spans="1:4" x14ac:dyDescent="0.25">
      <c r="A10" s="139" t="s">
        <v>53</v>
      </c>
      <c r="B10" s="139" t="s">
        <v>54</v>
      </c>
      <c r="C10" s="139" t="s">
        <v>33</v>
      </c>
      <c r="D10" s="139" t="s">
        <v>55</v>
      </c>
    </row>
    <row r="11" spans="1:4" x14ac:dyDescent="0.25">
      <c r="A11" s="139" t="s">
        <v>56</v>
      </c>
      <c r="B11" s="139" t="s">
        <v>54</v>
      </c>
      <c r="C11" s="139" t="s">
        <v>33</v>
      </c>
      <c r="D11" s="139" t="s">
        <v>57</v>
      </c>
    </row>
    <row r="12" spans="1:4" x14ac:dyDescent="0.25">
      <c r="A12" s="139" t="s">
        <v>58</v>
      </c>
      <c r="B12" s="139" t="s">
        <v>59</v>
      </c>
      <c r="C12" s="139" t="s">
        <v>33</v>
      </c>
      <c r="D12" s="139" t="s">
        <v>60</v>
      </c>
    </row>
    <row r="13" spans="1:4" x14ac:dyDescent="0.25">
      <c r="A13" s="139" t="s">
        <v>61</v>
      </c>
      <c r="B13" s="139" t="s">
        <v>59</v>
      </c>
      <c r="C13" s="139" t="s">
        <v>33</v>
      </c>
      <c r="D13" s="139" t="s">
        <v>62</v>
      </c>
    </row>
    <row r="14" spans="1:4" x14ac:dyDescent="0.25">
      <c r="A14" s="139" t="s">
        <v>63</v>
      </c>
      <c r="B14" s="139" t="s">
        <v>64</v>
      </c>
      <c r="C14" s="139" t="s">
        <v>65</v>
      </c>
      <c r="D14" s="139" t="s">
        <v>66</v>
      </c>
    </row>
    <row r="15" spans="1:4" x14ac:dyDescent="0.25">
      <c r="A15" s="139" t="s">
        <v>67</v>
      </c>
      <c r="B15" s="139" t="s">
        <v>64</v>
      </c>
      <c r="C15" s="139" t="s">
        <v>65</v>
      </c>
      <c r="D15" s="139" t="s">
        <v>68</v>
      </c>
    </row>
    <row r="16" spans="1:4" x14ac:dyDescent="0.25">
      <c r="A16" s="139" t="s">
        <v>69</v>
      </c>
      <c r="B16" s="139" t="s">
        <v>70</v>
      </c>
      <c r="C16" s="139" t="s">
        <v>65</v>
      </c>
      <c r="D16" s="139" t="s">
        <v>71</v>
      </c>
    </row>
    <row r="17" spans="1:4" x14ac:dyDescent="0.25">
      <c r="A17" s="139" t="s">
        <v>72</v>
      </c>
      <c r="B17" s="139" t="s">
        <v>70</v>
      </c>
      <c r="C17" s="139" t="s">
        <v>65</v>
      </c>
      <c r="D17" s="139" t="s">
        <v>73</v>
      </c>
    </row>
    <row r="18" spans="1:4" x14ac:dyDescent="0.25">
      <c r="A18" s="139" t="s">
        <v>74</v>
      </c>
      <c r="B18" s="139" t="s">
        <v>75</v>
      </c>
      <c r="C18" s="139" t="s">
        <v>65</v>
      </c>
      <c r="D18" s="139" t="s">
        <v>76</v>
      </c>
    </row>
    <row r="19" spans="1:4" x14ac:dyDescent="0.25">
      <c r="A19" s="139" t="s">
        <v>77</v>
      </c>
      <c r="B19" s="139" t="s">
        <v>75</v>
      </c>
      <c r="C19" s="139" t="s">
        <v>65</v>
      </c>
      <c r="D19" s="139" t="s">
        <v>78</v>
      </c>
    </row>
    <row r="20" spans="1:4" x14ac:dyDescent="0.25">
      <c r="A20" s="139" t="s">
        <v>79</v>
      </c>
      <c r="B20" s="139" t="s">
        <v>80</v>
      </c>
      <c r="C20" s="139" t="s">
        <v>65</v>
      </c>
      <c r="D20" s="139" t="s">
        <v>81</v>
      </c>
    </row>
    <row r="21" spans="1:4" x14ac:dyDescent="0.25">
      <c r="A21" s="139" t="s">
        <v>82</v>
      </c>
      <c r="B21" s="139" t="s">
        <v>80</v>
      </c>
      <c r="C21" s="139" t="s">
        <v>65</v>
      </c>
      <c r="D21" s="139" t="s">
        <v>83</v>
      </c>
    </row>
    <row r="22" spans="1:4" x14ac:dyDescent="0.25">
      <c r="A22" s="139" t="s">
        <v>84</v>
      </c>
      <c r="B22" s="139" t="s">
        <v>85</v>
      </c>
      <c r="C22" s="139" t="s">
        <v>65</v>
      </c>
      <c r="D22" s="139" t="s">
        <v>86</v>
      </c>
    </row>
    <row r="23" spans="1:4" x14ac:dyDescent="0.25">
      <c r="A23" s="139" t="s">
        <v>87</v>
      </c>
      <c r="B23" s="139" t="s">
        <v>85</v>
      </c>
      <c r="C23" s="139" t="s">
        <v>65</v>
      </c>
      <c r="D23" s="139" t="s">
        <v>88</v>
      </c>
    </row>
    <row r="24" spans="1:4" x14ac:dyDescent="0.25">
      <c r="A24" s="139" t="s">
        <v>89</v>
      </c>
      <c r="B24" s="139" t="s">
        <v>90</v>
      </c>
      <c r="C24" s="139" t="s">
        <v>65</v>
      </c>
      <c r="D24" s="139" t="s">
        <v>91</v>
      </c>
    </row>
    <row r="25" spans="1:4" x14ac:dyDescent="0.25">
      <c r="A25" s="139" t="s">
        <v>92</v>
      </c>
      <c r="B25" s="139" t="s">
        <v>90</v>
      </c>
      <c r="C25" s="139" t="s">
        <v>65</v>
      </c>
      <c r="D25" s="139" t="s">
        <v>93</v>
      </c>
    </row>
    <row r="26" spans="1:4" x14ac:dyDescent="0.25">
      <c r="A26" s="139" t="s">
        <v>94</v>
      </c>
      <c r="B26" s="139" t="s">
        <v>95</v>
      </c>
      <c r="C26" s="139" t="s">
        <v>96</v>
      </c>
      <c r="D26" s="139" t="s">
        <v>97</v>
      </c>
    </row>
    <row r="27" spans="1:4" x14ac:dyDescent="0.25">
      <c r="A27" s="139" t="s">
        <v>98</v>
      </c>
      <c r="B27" s="139" t="s">
        <v>95</v>
      </c>
      <c r="C27" s="139" t="s">
        <v>96</v>
      </c>
      <c r="D27" s="139" t="s">
        <v>99</v>
      </c>
    </row>
    <row r="28" spans="1:4" x14ac:dyDescent="0.25">
      <c r="A28" s="139" t="s">
        <v>100</v>
      </c>
      <c r="B28" s="139" t="s">
        <v>101</v>
      </c>
      <c r="C28" s="139" t="s">
        <v>96</v>
      </c>
      <c r="D28" s="139" t="s">
        <v>102</v>
      </c>
    </row>
    <row r="29" spans="1:4" x14ac:dyDescent="0.25">
      <c r="A29" s="139" t="s">
        <v>103</v>
      </c>
      <c r="B29" s="139" t="s">
        <v>101</v>
      </c>
      <c r="C29" s="139" t="s">
        <v>96</v>
      </c>
      <c r="D29" s="139" t="s">
        <v>104</v>
      </c>
    </row>
    <row r="30" spans="1:4" x14ac:dyDescent="0.25">
      <c r="A30" s="139" t="s">
        <v>105</v>
      </c>
      <c r="B30" s="139" t="s">
        <v>106</v>
      </c>
      <c r="C30" s="139" t="s">
        <v>96</v>
      </c>
      <c r="D30" s="139" t="s">
        <v>107</v>
      </c>
    </row>
    <row r="31" spans="1:4" x14ac:dyDescent="0.25">
      <c r="A31" s="139" t="s">
        <v>108</v>
      </c>
      <c r="B31" s="139" t="s">
        <v>106</v>
      </c>
      <c r="C31" s="139" t="s">
        <v>96</v>
      </c>
      <c r="D31" s="139" t="s">
        <v>109</v>
      </c>
    </row>
    <row r="32" spans="1:4" x14ac:dyDescent="0.25">
      <c r="A32" s="139" t="s">
        <v>110</v>
      </c>
      <c r="B32" s="139" t="s">
        <v>111</v>
      </c>
      <c r="C32" s="139" t="s">
        <v>112</v>
      </c>
      <c r="D32" s="139" t="s">
        <v>113</v>
      </c>
    </row>
    <row r="33" spans="1:4" x14ac:dyDescent="0.25">
      <c r="A33" s="139" t="s">
        <v>114</v>
      </c>
      <c r="B33" s="139" t="s">
        <v>111</v>
      </c>
      <c r="C33" s="139" t="s">
        <v>112</v>
      </c>
      <c r="D33" s="139" t="s">
        <v>115</v>
      </c>
    </row>
    <row r="34" spans="1:4" x14ac:dyDescent="0.25">
      <c r="A34" s="139" t="s">
        <v>116</v>
      </c>
      <c r="B34" s="139" t="s">
        <v>117</v>
      </c>
      <c r="C34" s="139" t="s">
        <v>65</v>
      </c>
      <c r="D34" s="139" t="s">
        <v>118</v>
      </c>
    </row>
    <row r="35" spans="1:4" x14ac:dyDescent="0.25">
      <c r="A35" s="139" t="s">
        <v>119</v>
      </c>
      <c r="B35" s="139" t="s">
        <v>117</v>
      </c>
      <c r="C35" s="139" t="s">
        <v>65</v>
      </c>
      <c r="D35" s="139" t="s">
        <v>120</v>
      </c>
    </row>
    <row r="36" spans="1:4" x14ac:dyDescent="0.25">
      <c r="A36" s="139" t="s">
        <v>121</v>
      </c>
      <c r="B36" s="139" t="s">
        <v>122</v>
      </c>
      <c r="C36" s="139" t="s">
        <v>123</v>
      </c>
      <c r="D36" s="139" t="s">
        <v>124</v>
      </c>
    </row>
    <row r="37" spans="1:4" x14ac:dyDescent="0.25">
      <c r="A37" s="139" t="s">
        <v>125</v>
      </c>
      <c r="B37" s="139" t="s">
        <v>126</v>
      </c>
      <c r="C37" s="139" t="s">
        <v>127</v>
      </c>
      <c r="D37" s="139" t="s">
        <v>128</v>
      </c>
    </row>
    <row r="38" spans="1:4" x14ac:dyDescent="0.25">
      <c r="A38" s="139" t="s">
        <v>129</v>
      </c>
      <c r="B38" s="139" t="s">
        <v>126</v>
      </c>
      <c r="C38" s="139" t="s">
        <v>127</v>
      </c>
      <c r="D38" s="139" t="s">
        <v>130</v>
      </c>
    </row>
    <row r="39" spans="1:4" x14ac:dyDescent="0.25">
      <c r="A39" s="139" t="s">
        <v>131</v>
      </c>
      <c r="B39" s="139" t="s">
        <v>132</v>
      </c>
      <c r="C39" s="139" t="s">
        <v>127</v>
      </c>
      <c r="D39" s="139" t="s">
        <v>133</v>
      </c>
    </row>
    <row r="40" spans="1:4" x14ac:dyDescent="0.25">
      <c r="A40" s="139" t="s">
        <v>134</v>
      </c>
      <c r="B40" s="139" t="s">
        <v>132</v>
      </c>
      <c r="C40" s="139" t="s">
        <v>127</v>
      </c>
      <c r="D40" s="139" t="s">
        <v>135</v>
      </c>
    </row>
    <row r="41" spans="1:4" x14ac:dyDescent="0.25">
      <c r="A41" s="139" t="s">
        <v>136</v>
      </c>
      <c r="B41" s="139" t="s">
        <v>137</v>
      </c>
      <c r="C41" s="139" t="s">
        <v>127</v>
      </c>
      <c r="D41" s="139" t="s">
        <v>138</v>
      </c>
    </row>
    <row r="42" spans="1:4" x14ac:dyDescent="0.25">
      <c r="A42" s="139" t="s">
        <v>139</v>
      </c>
      <c r="B42" s="139" t="s">
        <v>137</v>
      </c>
      <c r="C42" s="139" t="s">
        <v>127</v>
      </c>
      <c r="D42" s="139" t="s">
        <v>140</v>
      </c>
    </row>
    <row r="43" spans="1:4" x14ac:dyDescent="0.25">
      <c r="A43" s="139" t="s">
        <v>141</v>
      </c>
      <c r="B43" s="139" t="s">
        <v>142</v>
      </c>
      <c r="C43" s="139" t="s">
        <v>127</v>
      </c>
      <c r="D43" s="139" t="s">
        <v>143</v>
      </c>
    </row>
    <row r="44" spans="1:4" x14ac:dyDescent="0.25">
      <c r="A44" s="139" t="s">
        <v>144</v>
      </c>
      <c r="B44" s="139" t="s">
        <v>142</v>
      </c>
      <c r="C44" s="139" t="s">
        <v>127</v>
      </c>
      <c r="D44" s="139" t="s">
        <v>145</v>
      </c>
    </row>
    <row r="45" spans="1:4" x14ac:dyDescent="0.25">
      <c r="A45" s="139" t="s">
        <v>146</v>
      </c>
      <c r="B45" s="139" t="s">
        <v>147</v>
      </c>
      <c r="C45" s="139" t="s">
        <v>127</v>
      </c>
      <c r="D45" s="139" t="s">
        <v>148</v>
      </c>
    </row>
    <row r="46" spans="1:4" x14ac:dyDescent="0.25">
      <c r="A46" s="139" t="s">
        <v>149</v>
      </c>
      <c r="B46" s="139" t="s">
        <v>147</v>
      </c>
      <c r="C46" s="139" t="s">
        <v>127</v>
      </c>
      <c r="D46" s="139" t="s">
        <v>150</v>
      </c>
    </row>
    <row r="47" spans="1:4" x14ac:dyDescent="0.25">
      <c r="A47" s="139" t="s">
        <v>151</v>
      </c>
      <c r="B47" s="139" t="s">
        <v>122</v>
      </c>
      <c r="C47" s="139" t="s">
        <v>123</v>
      </c>
      <c r="D47" s="139" t="s">
        <v>152</v>
      </c>
    </row>
    <row r="48" spans="1:4" x14ac:dyDescent="0.25">
      <c r="A48" s="139" t="s">
        <v>153</v>
      </c>
      <c r="B48" s="139" t="s">
        <v>154</v>
      </c>
      <c r="C48" s="139" t="s">
        <v>123</v>
      </c>
      <c r="D48" s="139" t="s">
        <v>155</v>
      </c>
    </row>
    <row r="49" spans="1:4" x14ac:dyDescent="0.25">
      <c r="A49" s="139" t="s">
        <v>156</v>
      </c>
      <c r="B49" s="139" t="s">
        <v>154</v>
      </c>
      <c r="C49" s="139" t="s">
        <v>123</v>
      </c>
      <c r="D49" s="139" t="s">
        <v>157</v>
      </c>
    </row>
    <row r="50" spans="1:4" x14ac:dyDescent="0.25">
      <c r="A50" s="139" t="s">
        <v>158</v>
      </c>
      <c r="B50" s="139" t="s">
        <v>159</v>
      </c>
      <c r="C50" s="139" t="s">
        <v>123</v>
      </c>
      <c r="D50" s="139" t="s">
        <v>160</v>
      </c>
    </row>
    <row r="51" spans="1:4" x14ac:dyDescent="0.25">
      <c r="A51" s="139" t="s">
        <v>161</v>
      </c>
      <c r="B51" s="139" t="s">
        <v>159</v>
      </c>
      <c r="C51" s="139" t="s">
        <v>123</v>
      </c>
      <c r="D51" s="139" t="s">
        <v>162</v>
      </c>
    </row>
    <row r="52" spans="1:4" x14ac:dyDescent="0.25">
      <c r="A52" s="139" t="s">
        <v>163</v>
      </c>
      <c r="B52" s="139" t="s">
        <v>164</v>
      </c>
      <c r="C52" s="139" t="s">
        <v>123</v>
      </c>
      <c r="D52" s="139" t="s">
        <v>165</v>
      </c>
    </row>
    <row r="53" spans="1:4" x14ac:dyDescent="0.25">
      <c r="A53" s="139" t="s">
        <v>166</v>
      </c>
      <c r="B53" s="139" t="s">
        <v>164</v>
      </c>
      <c r="C53" s="139" t="s">
        <v>123</v>
      </c>
      <c r="D53" s="139" t="s">
        <v>167</v>
      </c>
    </row>
    <row r="54" spans="1:4" x14ac:dyDescent="0.25">
      <c r="A54" s="139" t="s">
        <v>168</v>
      </c>
      <c r="B54" s="139" t="s">
        <v>169</v>
      </c>
      <c r="C54" s="139" t="s">
        <v>123</v>
      </c>
      <c r="D54" s="139" t="s">
        <v>170</v>
      </c>
    </row>
    <row r="55" spans="1:4" x14ac:dyDescent="0.25">
      <c r="A55" s="139" t="s">
        <v>171</v>
      </c>
      <c r="B55" s="139" t="s">
        <v>172</v>
      </c>
      <c r="C55" s="139" t="s">
        <v>65</v>
      </c>
      <c r="D55" s="139" t="s">
        <v>173</v>
      </c>
    </row>
    <row r="56" spans="1:4" x14ac:dyDescent="0.25">
      <c r="A56" s="139" t="s">
        <v>174</v>
      </c>
      <c r="B56" s="139" t="s">
        <v>175</v>
      </c>
      <c r="C56" s="139" t="s">
        <v>65</v>
      </c>
      <c r="D56" s="139" t="s">
        <v>176</v>
      </c>
    </row>
    <row r="57" spans="1:4" x14ac:dyDescent="0.25">
      <c r="A57" s="139" t="s">
        <v>177</v>
      </c>
      <c r="B57" s="139" t="s">
        <v>175</v>
      </c>
      <c r="C57" s="139" t="s">
        <v>65</v>
      </c>
      <c r="D57" s="139" t="s">
        <v>178</v>
      </c>
    </row>
    <row r="58" spans="1:4" x14ac:dyDescent="0.25">
      <c r="A58" s="139" t="s">
        <v>179</v>
      </c>
      <c r="B58" s="139" t="s">
        <v>180</v>
      </c>
      <c r="C58" s="139" t="s">
        <v>65</v>
      </c>
      <c r="D58" s="139" t="s">
        <v>181</v>
      </c>
    </row>
    <row r="59" spans="1:4" x14ac:dyDescent="0.25">
      <c r="A59" s="139" t="s">
        <v>182</v>
      </c>
      <c r="B59" s="139" t="s">
        <v>180</v>
      </c>
      <c r="C59" s="139" t="s">
        <v>65</v>
      </c>
      <c r="D59" s="139" t="s">
        <v>183</v>
      </c>
    </row>
    <row r="60" spans="1:4" x14ac:dyDescent="0.25">
      <c r="A60" s="139" t="s">
        <v>184</v>
      </c>
      <c r="B60" s="139" t="s">
        <v>185</v>
      </c>
      <c r="C60" s="139" t="s">
        <v>186</v>
      </c>
      <c r="D60" s="139" t="s">
        <v>187</v>
      </c>
    </row>
    <row r="61" spans="1:4" x14ac:dyDescent="0.25">
      <c r="A61" s="139" t="s">
        <v>188</v>
      </c>
      <c r="B61" s="139" t="s">
        <v>185</v>
      </c>
      <c r="C61" s="139" t="s">
        <v>186</v>
      </c>
      <c r="D61" s="139" t="s">
        <v>189</v>
      </c>
    </row>
    <row r="62" spans="1:4" x14ac:dyDescent="0.25">
      <c r="A62" s="139" t="s">
        <v>190</v>
      </c>
      <c r="B62" s="139" t="s">
        <v>191</v>
      </c>
      <c r="C62" s="139" t="s">
        <v>186</v>
      </c>
      <c r="D62" s="139" t="s">
        <v>192</v>
      </c>
    </row>
    <row r="63" spans="1:4" x14ac:dyDescent="0.25">
      <c r="A63" s="139" t="s">
        <v>193</v>
      </c>
      <c r="B63" s="139" t="s">
        <v>191</v>
      </c>
      <c r="C63" s="139" t="s">
        <v>186</v>
      </c>
      <c r="D63" s="139" t="s">
        <v>194</v>
      </c>
    </row>
    <row r="64" spans="1:4" x14ac:dyDescent="0.25">
      <c r="A64" s="139" t="s">
        <v>195</v>
      </c>
      <c r="B64" s="139" t="s">
        <v>196</v>
      </c>
      <c r="C64" s="139" t="s">
        <v>186</v>
      </c>
      <c r="D64" s="139" t="s">
        <v>197</v>
      </c>
    </row>
    <row r="65" spans="1:4" x14ac:dyDescent="0.25">
      <c r="A65" s="139" t="s">
        <v>198</v>
      </c>
      <c r="B65" s="139" t="s">
        <v>196</v>
      </c>
      <c r="C65" s="139" t="s">
        <v>186</v>
      </c>
      <c r="D65" s="139" t="s">
        <v>199</v>
      </c>
    </row>
    <row r="66" spans="1:4" x14ac:dyDescent="0.25">
      <c r="A66" s="139" t="s">
        <v>200</v>
      </c>
      <c r="B66" s="139" t="s">
        <v>201</v>
      </c>
      <c r="C66" s="139" t="s">
        <v>186</v>
      </c>
      <c r="D66" s="139" t="s">
        <v>202</v>
      </c>
    </row>
    <row r="67" spans="1:4" x14ac:dyDescent="0.25">
      <c r="A67" s="139" t="s">
        <v>203</v>
      </c>
      <c r="B67" s="139" t="s">
        <v>201</v>
      </c>
      <c r="C67" s="139" t="s">
        <v>186</v>
      </c>
      <c r="D67" s="139" t="s">
        <v>204</v>
      </c>
    </row>
    <row r="68" spans="1:4" x14ac:dyDescent="0.25">
      <c r="A68" s="139" t="s">
        <v>205</v>
      </c>
      <c r="B68" s="139" t="s">
        <v>206</v>
      </c>
      <c r="C68" s="139" t="s">
        <v>186</v>
      </c>
      <c r="D68" s="139" t="s">
        <v>207</v>
      </c>
    </row>
    <row r="69" spans="1:4" x14ac:dyDescent="0.25">
      <c r="A69" s="139" t="s">
        <v>208</v>
      </c>
      <c r="B69" s="139" t="s">
        <v>206</v>
      </c>
      <c r="C69" s="139" t="s">
        <v>186</v>
      </c>
      <c r="D69" s="139" t="s">
        <v>209</v>
      </c>
    </row>
    <row r="70" spans="1:4" x14ac:dyDescent="0.25">
      <c r="A70" s="139" t="s">
        <v>210</v>
      </c>
      <c r="B70" s="139" t="s">
        <v>211</v>
      </c>
      <c r="C70" s="139" t="s">
        <v>186</v>
      </c>
      <c r="D70" s="139" t="s">
        <v>212</v>
      </c>
    </row>
    <row r="71" spans="1:4" x14ac:dyDescent="0.25">
      <c r="A71" s="139" t="s">
        <v>213</v>
      </c>
      <c r="B71" s="139" t="s">
        <v>211</v>
      </c>
      <c r="C71" s="139" t="s">
        <v>186</v>
      </c>
      <c r="D71" s="139" t="s">
        <v>214</v>
      </c>
    </row>
    <row r="72" spans="1:4" x14ac:dyDescent="0.25">
      <c r="A72" s="139" t="s">
        <v>215</v>
      </c>
      <c r="B72" s="139" t="s">
        <v>175</v>
      </c>
      <c r="C72" s="139" t="s">
        <v>186</v>
      </c>
      <c r="D72" s="139" t="s">
        <v>216</v>
      </c>
    </row>
    <row r="73" spans="1:4" x14ac:dyDescent="0.25">
      <c r="A73" s="139" t="s">
        <v>217</v>
      </c>
      <c r="B73" s="139" t="s">
        <v>175</v>
      </c>
      <c r="C73" s="139" t="s">
        <v>186</v>
      </c>
      <c r="D73" s="139" t="s">
        <v>218</v>
      </c>
    </row>
    <row r="74" spans="1:4" x14ac:dyDescent="0.25">
      <c r="A74" s="139" t="s">
        <v>219</v>
      </c>
      <c r="B74" s="139" t="s">
        <v>220</v>
      </c>
      <c r="C74" s="139" t="s">
        <v>186</v>
      </c>
      <c r="D74" s="139" t="s">
        <v>221</v>
      </c>
    </row>
    <row r="75" spans="1:4" x14ac:dyDescent="0.25">
      <c r="A75" s="139" t="s">
        <v>222</v>
      </c>
      <c r="B75" s="139" t="s">
        <v>220</v>
      </c>
      <c r="C75" s="139" t="s">
        <v>186</v>
      </c>
      <c r="D75" s="139" t="s">
        <v>223</v>
      </c>
    </row>
    <row r="76" spans="1:4" x14ac:dyDescent="0.25">
      <c r="A76" s="139" t="s">
        <v>224</v>
      </c>
      <c r="B76" s="139" t="s">
        <v>180</v>
      </c>
      <c r="C76" s="139" t="s">
        <v>186</v>
      </c>
      <c r="D76" s="139" t="s">
        <v>225</v>
      </c>
    </row>
    <row r="77" spans="1:4" x14ac:dyDescent="0.25">
      <c r="A77" s="139" t="s">
        <v>226</v>
      </c>
      <c r="B77" s="139" t="s">
        <v>180</v>
      </c>
      <c r="C77" s="139" t="s">
        <v>186</v>
      </c>
      <c r="D77" s="139" t="s">
        <v>227</v>
      </c>
    </row>
    <row r="78" spans="1:4" x14ac:dyDescent="0.25">
      <c r="A78" s="139" t="s">
        <v>228</v>
      </c>
      <c r="B78" s="139" t="s">
        <v>229</v>
      </c>
      <c r="C78" s="139" t="s">
        <v>186</v>
      </c>
      <c r="D78" s="139" t="s">
        <v>230</v>
      </c>
    </row>
    <row r="79" spans="1:4" x14ac:dyDescent="0.25">
      <c r="A79" s="139" t="s">
        <v>231</v>
      </c>
      <c r="B79" s="139" t="s">
        <v>229</v>
      </c>
      <c r="C79" s="139" t="s">
        <v>186</v>
      </c>
      <c r="D79" s="139" t="s">
        <v>232</v>
      </c>
    </row>
    <row r="80" spans="1:4" x14ac:dyDescent="0.25">
      <c r="A80" s="139" t="s">
        <v>233</v>
      </c>
      <c r="B80" s="139" t="s">
        <v>185</v>
      </c>
      <c r="C80" s="139" t="s">
        <v>65</v>
      </c>
      <c r="D80" s="139" t="s">
        <v>234</v>
      </c>
    </row>
    <row r="81" spans="1:4" x14ac:dyDescent="0.25">
      <c r="A81" s="139" t="s">
        <v>235</v>
      </c>
      <c r="B81" s="139" t="s">
        <v>185</v>
      </c>
      <c r="C81" s="139" t="s">
        <v>65</v>
      </c>
      <c r="D81" s="139" t="s">
        <v>236</v>
      </c>
    </row>
    <row r="82" spans="1:4" x14ac:dyDescent="0.25">
      <c r="A82" s="139" t="s">
        <v>237</v>
      </c>
      <c r="B82" s="139" t="s">
        <v>238</v>
      </c>
      <c r="C82" s="139" t="s">
        <v>65</v>
      </c>
      <c r="D82" s="139" t="s">
        <v>239</v>
      </c>
    </row>
    <row r="83" spans="1:4" x14ac:dyDescent="0.25">
      <c r="A83" s="139" t="s">
        <v>240</v>
      </c>
      <c r="B83" s="139" t="s">
        <v>238</v>
      </c>
      <c r="C83" s="139" t="s">
        <v>65</v>
      </c>
      <c r="D83" s="139" t="s">
        <v>241</v>
      </c>
    </row>
    <row r="84" spans="1:4" x14ac:dyDescent="0.25">
      <c r="A84" s="139" t="s">
        <v>242</v>
      </c>
      <c r="B84" s="139" t="s">
        <v>243</v>
      </c>
      <c r="C84" s="139" t="s">
        <v>65</v>
      </c>
      <c r="D84" s="139" t="s">
        <v>244</v>
      </c>
    </row>
    <row r="85" spans="1:4" x14ac:dyDescent="0.25">
      <c r="A85" s="139" t="s">
        <v>245</v>
      </c>
      <c r="B85" s="139" t="s">
        <v>243</v>
      </c>
      <c r="C85" s="139" t="s">
        <v>65</v>
      </c>
      <c r="D85" s="139" t="s">
        <v>246</v>
      </c>
    </row>
    <row r="86" spans="1:4" x14ac:dyDescent="0.25">
      <c r="A86" s="139" t="s">
        <v>247</v>
      </c>
      <c r="B86" s="139" t="s">
        <v>248</v>
      </c>
      <c r="C86" s="139" t="s">
        <v>65</v>
      </c>
      <c r="D86" s="139" t="s">
        <v>249</v>
      </c>
    </row>
    <row r="87" spans="1:4" x14ac:dyDescent="0.25">
      <c r="A87" s="139" t="s">
        <v>250</v>
      </c>
      <c r="B87" s="139" t="s">
        <v>248</v>
      </c>
      <c r="C87" s="139" t="s">
        <v>65</v>
      </c>
      <c r="D87" s="139" t="s">
        <v>251</v>
      </c>
    </row>
    <row r="88" spans="1:4" x14ac:dyDescent="0.25">
      <c r="A88" s="139" t="s">
        <v>252</v>
      </c>
      <c r="B88" s="139" t="s">
        <v>191</v>
      </c>
      <c r="C88" s="139" t="s">
        <v>65</v>
      </c>
      <c r="D88" s="139" t="s">
        <v>253</v>
      </c>
    </row>
    <row r="89" spans="1:4" x14ac:dyDescent="0.25">
      <c r="A89" s="139" t="s">
        <v>254</v>
      </c>
      <c r="B89" s="139" t="s">
        <v>191</v>
      </c>
      <c r="C89" s="139" t="s">
        <v>65</v>
      </c>
      <c r="D89" s="139" t="s">
        <v>255</v>
      </c>
    </row>
    <row r="90" spans="1:4" x14ac:dyDescent="0.25">
      <c r="A90" s="139" t="s">
        <v>256</v>
      </c>
      <c r="B90" s="139" t="s">
        <v>257</v>
      </c>
      <c r="C90" s="139" t="s">
        <v>33</v>
      </c>
      <c r="D90" s="139" t="s">
        <v>258</v>
      </c>
    </row>
    <row r="91" spans="1:4" x14ac:dyDescent="0.25">
      <c r="A91" s="139" t="s">
        <v>259</v>
      </c>
      <c r="B91" s="139" t="s">
        <v>260</v>
      </c>
      <c r="C91" s="139" t="s">
        <v>33</v>
      </c>
      <c r="D91" s="139" t="s">
        <v>261</v>
      </c>
    </row>
    <row r="92" spans="1:4" x14ac:dyDescent="0.25">
      <c r="A92" s="139" t="s">
        <v>262</v>
      </c>
      <c r="B92" s="139" t="s">
        <v>260</v>
      </c>
      <c r="C92" s="139" t="s">
        <v>33</v>
      </c>
      <c r="D92" s="139" t="s">
        <v>263</v>
      </c>
    </row>
    <row r="93" spans="1:4" x14ac:dyDescent="0.25">
      <c r="A93" s="139" t="s">
        <v>264</v>
      </c>
      <c r="B93" s="139" t="s">
        <v>265</v>
      </c>
      <c r="C93" s="139" t="s">
        <v>33</v>
      </c>
      <c r="D93" s="139" t="s">
        <v>266</v>
      </c>
    </row>
    <row r="94" spans="1:4" x14ac:dyDescent="0.25">
      <c r="A94" s="139" t="s">
        <v>267</v>
      </c>
      <c r="B94" s="139" t="s">
        <v>265</v>
      </c>
      <c r="C94" s="139" t="s">
        <v>33</v>
      </c>
      <c r="D94" s="139" t="s">
        <v>268</v>
      </c>
    </row>
    <row r="95" spans="1:4" x14ac:dyDescent="0.25">
      <c r="A95" s="139" t="s">
        <v>269</v>
      </c>
      <c r="B95" s="139" t="s">
        <v>270</v>
      </c>
      <c r="C95" s="139" t="s">
        <v>33</v>
      </c>
      <c r="D95" s="139" t="s">
        <v>271</v>
      </c>
    </row>
    <row r="96" spans="1:4" x14ac:dyDescent="0.25">
      <c r="A96" s="139" t="s">
        <v>272</v>
      </c>
      <c r="B96" s="139" t="s">
        <v>270</v>
      </c>
      <c r="C96" s="139" t="s">
        <v>33</v>
      </c>
      <c r="D96" s="139" t="s">
        <v>273</v>
      </c>
    </row>
    <row r="97" spans="1:4" x14ac:dyDescent="0.25">
      <c r="A97" s="139" t="s">
        <v>274</v>
      </c>
      <c r="B97" s="139" t="s">
        <v>275</v>
      </c>
      <c r="C97" s="139" t="s">
        <v>33</v>
      </c>
      <c r="D97" s="139" t="s">
        <v>276</v>
      </c>
    </row>
    <row r="98" spans="1:4" x14ac:dyDescent="0.25">
      <c r="A98" s="139" t="s">
        <v>277</v>
      </c>
      <c r="B98" s="139" t="s">
        <v>275</v>
      </c>
      <c r="C98" s="139" t="s">
        <v>33</v>
      </c>
      <c r="D98" s="139" t="s">
        <v>278</v>
      </c>
    </row>
    <row r="99" spans="1:4" x14ac:dyDescent="0.25">
      <c r="A99" s="139" t="s">
        <v>279</v>
      </c>
      <c r="B99" s="139" t="s">
        <v>280</v>
      </c>
      <c r="C99" s="139" t="s">
        <v>33</v>
      </c>
      <c r="D99" s="139" t="s">
        <v>281</v>
      </c>
    </row>
    <row r="100" spans="1:4" x14ac:dyDescent="0.25">
      <c r="A100" s="139" t="s">
        <v>282</v>
      </c>
      <c r="B100" s="139" t="s">
        <v>280</v>
      </c>
      <c r="C100" s="139" t="s">
        <v>33</v>
      </c>
      <c r="D100" s="139" t="s">
        <v>283</v>
      </c>
    </row>
    <row r="101" spans="1:4" x14ac:dyDescent="0.25">
      <c r="A101" s="139" t="s">
        <v>284</v>
      </c>
      <c r="B101" s="139" t="s">
        <v>285</v>
      </c>
      <c r="C101" s="139" t="s">
        <v>33</v>
      </c>
      <c r="D101" s="139" t="s">
        <v>286</v>
      </c>
    </row>
    <row r="102" spans="1:4" x14ac:dyDescent="0.25">
      <c r="A102" s="139" t="s">
        <v>287</v>
      </c>
      <c r="B102" s="139" t="s">
        <v>285</v>
      </c>
      <c r="C102" s="139" t="s">
        <v>33</v>
      </c>
      <c r="D102" s="139" t="s">
        <v>288</v>
      </c>
    </row>
    <row r="103" spans="1:4" x14ac:dyDescent="0.25">
      <c r="A103" s="139" t="s">
        <v>289</v>
      </c>
      <c r="B103" s="139" t="s">
        <v>290</v>
      </c>
      <c r="C103" s="139" t="s">
        <v>33</v>
      </c>
      <c r="D103" s="139" t="s">
        <v>291</v>
      </c>
    </row>
    <row r="104" spans="1:4" x14ac:dyDescent="0.25">
      <c r="A104" s="139" t="s">
        <v>292</v>
      </c>
      <c r="B104" s="139" t="s">
        <v>290</v>
      </c>
      <c r="C104" s="139" t="s">
        <v>33</v>
      </c>
      <c r="D104" s="139" t="s">
        <v>293</v>
      </c>
    </row>
    <row r="105" spans="1:4" x14ac:dyDescent="0.25">
      <c r="A105" s="139" t="s">
        <v>294</v>
      </c>
      <c r="B105" s="139" t="s">
        <v>295</v>
      </c>
      <c r="C105" s="139" t="s">
        <v>65</v>
      </c>
      <c r="D105" s="139" t="s">
        <v>296</v>
      </c>
    </row>
    <row r="106" spans="1:4" x14ac:dyDescent="0.25">
      <c r="A106" s="139" t="s">
        <v>297</v>
      </c>
      <c r="B106" s="139" t="s">
        <v>295</v>
      </c>
      <c r="C106" s="139" t="s">
        <v>65</v>
      </c>
      <c r="D106" s="139" t="s">
        <v>298</v>
      </c>
    </row>
    <row r="107" spans="1:4" x14ac:dyDescent="0.25">
      <c r="A107" s="139" t="s">
        <v>299</v>
      </c>
      <c r="B107" s="139" t="s">
        <v>300</v>
      </c>
      <c r="C107" s="139" t="s">
        <v>65</v>
      </c>
      <c r="D107" s="139" t="s">
        <v>301</v>
      </c>
    </row>
    <row r="108" spans="1:4" x14ac:dyDescent="0.25">
      <c r="A108" s="139" t="s">
        <v>302</v>
      </c>
      <c r="B108" s="139" t="s">
        <v>300</v>
      </c>
      <c r="C108" s="139" t="s">
        <v>65</v>
      </c>
      <c r="D108" s="139" t="s">
        <v>303</v>
      </c>
    </row>
    <row r="109" spans="1:4" x14ac:dyDescent="0.25">
      <c r="A109" s="139" t="s">
        <v>304</v>
      </c>
      <c r="B109" s="139" t="s">
        <v>305</v>
      </c>
      <c r="C109" s="139" t="s">
        <v>65</v>
      </c>
      <c r="D109" s="139" t="s">
        <v>306</v>
      </c>
    </row>
    <row r="110" spans="1:4" x14ac:dyDescent="0.25">
      <c r="A110" s="139" t="s">
        <v>307</v>
      </c>
      <c r="B110" s="139" t="s">
        <v>305</v>
      </c>
      <c r="C110" s="139" t="s">
        <v>65</v>
      </c>
      <c r="D110" s="139" t="s">
        <v>308</v>
      </c>
    </row>
    <row r="111" spans="1:4" x14ac:dyDescent="0.25">
      <c r="A111" s="139" t="s">
        <v>309</v>
      </c>
      <c r="B111" s="139" t="s">
        <v>310</v>
      </c>
      <c r="C111" s="139" t="s">
        <v>65</v>
      </c>
      <c r="D111" s="139" t="s">
        <v>311</v>
      </c>
    </row>
    <row r="112" spans="1:4" x14ac:dyDescent="0.25">
      <c r="A112" s="139" t="s">
        <v>312</v>
      </c>
      <c r="B112" s="139" t="s">
        <v>310</v>
      </c>
      <c r="C112" s="139" t="s">
        <v>65</v>
      </c>
      <c r="D112" s="139" t="s">
        <v>313</v>
      </c>
    </row>
    <row r="113" spans="1:4" x14ac:dyDescent="0.25">
      <c r="A113" s="139" t="s">
        <v>314</v>
      </c>
      <c r="B113" s="139" t="s">
        <v>315</v>
      </c>
      <c r="C113" s="139" t="s">
        <v>316</v>
      </c>
      <c r="D113" s="139" t="s">
        <v>317</v>
      </c>
    </row>
    <row r="114" spans="1:4" x14ac:dyDescent="0.25">
      <c r="A114" s="139" t="s">
        <v>318</v>
      </c>
      <c r="B114" s="139" t="s">
        <v>315</v>
      </c>
      <c r="C114" s="139" t="s">
        <v>316</v>
      </c>
      <c r="D114" s="139" t="s">
        <v>319</v>
      </c>
    </row>
    <row r="115" spans="1:4" x14ac:dyDescent="0.25">
      <c r="A115" s="139" t="s">
        <v>320</v>
      </c>
      <c r="B115" s="139" t="s">
        <v>321</v>
      </c>
      <c r="C115" s="139" t="s">
        <v>65</v>
      </c>
      <c r="D115" s="139" t="s">
        <v>322</v>
      </c>
    </row>
    <row r="116" spans="1:4" x14ac:dyDescent="0.25">
      <c r="A116" s="139" t="s">
        <v>323</v>
      </c>
      <c r="B116" s="139" t="s">
        <v>321</v>
      </c>
      <c r="C116" s="139" t="s">
        <v>65</v>
      </c>
      <c r="D116" s="139" t="s">
        <v>324</v>
      </c>
    </row>
    <row r="117" spans="1:4" x14ac:dyDescent="0.25">
      <c r="A117" s="139" t="s">
        <v>325</v>
      </c>
      <c r="B117" s="139" t="s">
        <v>326</v>
      </c>
      <c r="C117" s="139" t="s">
        <v>123</v>
      </c>
      <c r="D117" s="139" t="s">
        <v>327</v>
      </c>
    </row>
    <row r="118" spans="1:4" x14ac:dyDescent="0.25">
      <c r="A118" s="139" t="s">
        <v>328</v>
      </c>
      <c r="B118" s="139" t="s">
        <v>329</v>
      </c>
      <c r="C118" s="139" t="s">
        <v>123</v>
      </c>
      <c r="D118" s="139" t="s">
        <v>330</v>
      </c>
    </row>
    <row r="119" spans="1:4" x14ac:dyDescent="0.25">
      <c r="A119" s="139" t="s">
        <v>331</v>
      </c>
      <c r="B119" s="139" t="s">
        <v>332</v>
      </c>
      <c r="C119" s="139" t="s">
        <v>123</v>
      </c>
      <c r="D119" s="139" t="s">
        <v>333</v>
      </c>
    </row>
    <row r="120" spans="1:4" x14ac:dyDescent="0.25">
      <c r="A120" s="139" t="s">
        <v>334</v>
      </c>
      <c r="B120" s="139" t="s">
        <v>335</v>
      </c>
      <c r="C120" s="139" t="s">
        <v>123</v>
      </c>
      <c r="D120" s="139" t="s">
        <v>336</v>
      </c>
    </row>
    <row r="121" spans="1:4" x14ac:dyDescent="0.25">
      <c r="A121" s="139" t="s">
        <v>337</v>
      </c>
      <c r="B121" s="139" t="s">
        <v>329</v>
      </c>
      <c r="C121" s="139" t="s">
        <v>33</v>
      </c>
      <c r="D121" s="139" t="s">
        <v>338</v>
      </c>
    </row>
    <row r="122" spans="1:4" x14ac:dyDescent="0.25">
      <c r="A122" s="139" t="s">
        <v>339</v>
      </c>
      <c r="B122" s="139" t="s">
        <v>340</v>
      </c>
      <c r="C122" s="139" t="s">
        <v>33</v>
      </c>
      <c r="D122" s="139" t="s">
        <v>341</v>
      </c>
    </row>
    <row r="123" spans="1:4" x14ac:dyDescent="0.25">
      <c r="A123" s="139" t="s">
        <v>342</v>
      </c>
      <c r="B123" s="139" t="s">
        <v>343</v>
      </c>
      <c r="C123" s="139" t="s">
        <v>33</v>
      </c>
      <c r="D123" s="139" t="s">
        <v>344</v>
      </c>
    </row>
    <row r="124" spans="1:4" x14ac:dyDescent="0.25">
      <c r="A124" s="139" t="s">
        <v>345</v>
      </c>
      <c r="B124" s="139" t="s">
        <v>346</v>
      </c>
      <c r="C124" s="139" t="s">
        <v>33</v>
      </c>
      <c r="D124" s="139" t="s">
        <v>347</v>
      </c>
    </row>
    <row r="125" spans="1:4" x14ac:dyDescent="0.25">
      <c r="A125" s="139" t="s">
        <v>348</v>
      </c>
      <c r="B125" s="139" t="s">
        <v>349</v>
      </c>
      <c r="C125" s="139" t="s">
        <v>123</v>
      </c>
      <c r="D125" s="139" t="s">
        <v>350</v>
      </c>
    </row>
    <row r="126" spans="1:4" x14ac:dyDescent="0.25">
      <c r="A126" s="139" t="s">
        <v>351</v>
      </c>
      <c r="B126" s="139" t="s">
        <v>346</v>
      </c>
      <c r="C126" s="139" t="s">
        <v>123</v>
      </c>
      <c r="D126" s="139" t="s">
        <v>352</v>
      </c>
    </row>
    <row r="127" spans="1:4" x14ac:dyDescent="0.25">
      <c r="A127" s="139" t="s">
        <v>353</v>
      </c>
      <c r="B127" s="139" t="s">
        <v>354</v>
      </c>
      <c r="C127" s="139" t="s">
        <v>123</v>
      </c>
      <c r="D127" s="139" t="s">
        <v>355</v>
      </c>
    </row>
    <row r="128" spans="1:4" x14ac:dyDescent="0.25">
      <c r="A128" s="139" t="s">
        <v>356</v>
      </c>
      <c r="B128" s="139" t="s">
        <v>357</v>
      </c>
      <c r="C128" s="139" t="s">
        <v>65</v>
      </c>
      <c r="D128" s="139" t="s">
        <v>358</v>
      </c>
    </row>
    <row r="129" spans="1:4" x14ac:dyDescent="0.25">
      <c r="A129" s="139" t="s">
        <v>359</v>
      </c>
      <c r="B129" s="139" t="s">
        <v>360</v>
      </c>
      <c r="C129" s="139" t="s">
        <v>65</v>
      </c>
      <c r="D129" s="139" t="s">
        <v>361</v>
      </c>
    </row>
    <row r="130" spans="1:4" x14ac:dyDescent="0.25">
      <c r="A130" s="139" t="s">
        <v>362</v>
      </c>
      <c r="B130" s="139" t="s">
        <v>329</v>
      </c>
      <c r="C130" s="139" t="s">
        <v>127</v>
      </c>
      <c r="D130" s="139" t="s">
        <v>363</v>
      </c>
    </row>
    <row r="131" spans="1:4" x14ac:dyDescent="0.25">
      <c r="A131" s="139" t="s">
        <v>364</v>
      </c>
      <c r="B131" s="139" t="s">
        <v>326</v>
      </c>
      <c r="C131" s="139" t="s">
        <v>127</v>
      </c>
      <c r="D131" s="139" t="s">
        <v>365</v>
      </c>
    </row>
    <row r="132" spans="1:4" x14ac:dyDescent="0.25">
      <c r="A132" s="139" t="s">
        <v>366</v>
      </c>
      <c r="B132" s="139" t="s">
        <v>332</v>
      </c>
      <c r="C132" s="139" t="s">
        <v>127</v>
      </c>
      <c r="D132" s="139" t="s">
        <v>367</v>
      </c>
    </row>
    <row r="133" spans="1:4" x14ac:dyDescent="0.25">
      <c r="A133" s="139" t="s">
        <v>368</v>
      </c>
      <c r="B133" s="139" t="s">
        <v>335</v>
      </c>
      <c r="C133" s="139" t="s">
        <v>127</v>
      </c>
      <c r="D133" s="139" t="s">
        <v>369</v>
      </c>
    </row>
    <row r="134" spans="1:4" x14ac:dyDescent="0.25">
      <c r="A134" s="139" t="s">
        <v>370</v>
      </c>
      <c r="B134" s="139" t="s">
        <v>371</v>
      </c>
      <c r="C134" s="139" t="s">
        <v>65</v>
      </c>
      <c r="D134" s="139" t="s">
        <v>372</v>
      </c>
    </row>
    <row r="135" spans="1:4" x14ac:dyDescent="0.25">
      <c r="A135" s="139" t="s">
        <v>373</v>
      </c>
      <c r="B135" s="139" t="s">
        <v>374</v>
      </c>
      <c r="C135" s="139" t="s">
        <v>375</v>
      </c>
      <c r="D135" s="139" t="s">
        <v>376</v>
      </c>
    </row>
    <row r="136" spans="1:4" x14ac:dyDescent="0.25">
      <c r="A136" s="139" t="s">
        <v>377</v>
      </c>
      <c r="B136" s="139" t="s">
        <v>378</v>
      </c>
      <c r="C136" s="139" t="s">
        <v>375</v>
      </c>
      <c r="D136" s="139" t="s">
        <v>379</v>
      </c>
    </row>
    <row r="137" spans="1:4" x14ac:dyDescent="0.25">
      <c r="A137" s="139" t="s">
        <v>380</v>
      </c>
      <c r="B137" s="139" t="s">
        <v>381</v>
      </c>
      <c r="C137" s="139" t="s">
        <v>375</v>
      </c>
      <c r="D137" s="139" t="s">
        <v>382</v>
      </c>
    </row>
    <row r="138" spans="1:4" x14ac:dyDescent="0.25">
      <c r="A138" s="139" t="s">
        <v>383</v>
      </c>
      <c r="B138" s="139" t="s">
        <v>384</v>
      </c>
      <c r="C138" s="139" t="s">
        <v>375</v>
      </c>
      <c r="D138" s="139" t="s">
        <v>385</v>
      </c>
    </row>
    <row r="139" spans="1:4" x14ac:dyDescent="0.25">
      <c r="A139" s="139" t="s">
        <v>386</v>
      </c>
      <c r="B139" s="139" t="s">
        <v>387</v>
      </c>
      <c r="C139" s="139" t="s">
        <v>375</v>
      </c>
      <c r="D139" s="139" t="s">
        <v>388</v>
      </c>
    </row>
    <row r="140" spans="1:4" x14ac:dyDescent="0.25">
      <c r="A140" s="139" t="s">
        <v>389</v>
      </c>
      <c r="B140" s="139" t="s">
        <v>390</v>
      </c>
      <c r="C140" s="139" t="s">
        <v>375</v>
      </c>
      <c r="D140" s="139" t="s">
        <v>391</v>
      </c>
    </row>
    <row r="141" spans="1:4" x14ac:dyDescent="0.25">
      <c r="A141" s="139" t="s">
        <v>392</v>
      </c>
      <c r="B141" s="139" t="s">
        <v>310</v>
      </c>
      <c r="C141" s="139" t="s">
        <v>65</v>
      </c>
      <c r="D141" s="139" t="s">
        <v>393</v>
      </c>
    </row>
    <row r="142" spans="1:4" x14ac:dyDescent="0.25">
      <c r="A142" s="139" t="s">
        <v>394</v>
      </c>
      <c r="B142" s="139" t="s">
        <v>175</v>
      </c>
      <c r="C142" s="139" t="s">
        <v>65</v>
      </c>
      <c r="D142" s="139" t="s">
        <v>395</v>
      </c>
    </row>
    <row r="143" spans="1:4" x14ac:dyDescent="0.25">
      <c r="A143" s="139" t="s">
        <v>396</v>
      </c>
      <c r="B143" s="139" t="s">
        <v>397</v>
      </c>
      <c r="C143" s="139" t="s">
        <v>65</v>
      </c>
      <c r="D143" s="139" t="s">
        <v>398</v>
      </c>
    </row>
    <row r="144" spans="1:4" x14ac:dyDescent="0.25">
      <c r="A144" s="139" t="s">
        <v>399</v>
      </c>
      <c r="B144" s="139" t="s">
        <v>400</v>
      </c>
      <c r="C144" s="139" t="s">
        <v>65</v>
      </c>
      <c r="D144" s="139" t="s">
        <v>401</v>
      </c>
    </row>
    <row r="145" spans="1:4" x14ac:dyDescent="0.25">
      <c r="A145" s="139" t="s">
        <v>402</v>
      </c>
      <c r="B145" s="139" t="s">
        <v>403</v>
      </c>
      <c r="C145" s="139" t="s">
        <v>65</v>
      </c>
      <c r="D145" s="139" t="s">
        <v>404</v>
      </c>
    </row>
    <row r="146" spans="1:4" x14ac:dyDescent="0.25">
      <c r="A146" s="139" t="s">
        <v>405</v>
      </c>
      <c r="B146" s="139" t="s">
        <v>248</v>
      </c>
      <c r="C146" s="139" t="s">
        <v>65</v>
      </c>
      <c r="D146" s="139" t="s">
        <v>406</v>
      </c>
    </row>
    <row r="147" spans="1:4" x14ac:dyDescent="0.25">
      <c r="A147" s="139" t="s">
        <v>407</v>
      </c>
      <c r="B147" s="139" t="s">
        <v>243</v>
      </c>
      <c r="C147" s="139" t="s">
        <v>65</v>
      </c>
      <c r="D147" s="139" t="s">
        <v>408</v>
      </c>
    </row>
    <row r="148" spans="1:4" x14ac:dyDescent="0.25">
      <c r="A148" s="139" t="s">
        <v>409</v>
      </c>
      <c r="B148" s="139" t="s">
        <v>238</v>
      </c>
      <c r="C148" s="139" t="s">
        <v>65</v>
      </c>
      <c r="D148" s="139" t="s">
        <v>410</v>
      </c>
    </row>
    <row r="149" spans="1:4" x14ac:dyDescent="0.25">
      <c r="A149" s="139" t="s">
        <v>411</v>
      </c>
      <c r="B149" s="139" t="s">
        <v>229</v>
      </c>
      <c r="C149" s="139" t="s">
        <v>186</v>
      </c>
      <c r="D149" s="139" t="s">
        <v>412</v>
      </c>
    </row>
    <row r="150" spans="1:4" x14ac:dyDescent="0.25">
      <c r="A150" s="139" t="s">
        <v>413</v>
      </c>
      <c r="B150" s="139" t="s">
        <v>180</v>
      </c>
      <c r="C150" s="139" t="s">
        <v>186</v>
      </c>
      <c r="D150" s="139" t="s">
        <v>414</v>
      </c>
    </row>
    <row r="151" spans="1:4" x14ac:dyDescent="0.25">
      <c r="A151" s="139" t="s">
        <v>415</v>
      </c>
      <c r="B151" s="139" t="s">
        <v>54</v>
      </c>
      <c r="C151" s="139" t="s">
        <v>186</v>
      </c>
      <c r="D151" s="139" t="s">
        <v>416</v>
      </c>
    </row>
    <row r="152" spans="1:4" x14ac:dyDescent="0.25">
      <c r="A152" s="139" t="s">
        <v>417</v>
      </c>
      <c r="B152" s="139" t="s">
        <v>220</v>
      </c>
      <c r="C152" s="139" t="s">
        <v>186</v>
      </c>
      <c r="D152" s="139" t="s">
        <v>418</v>
      </c>
    </row>
    <row r="153" spans="1:4" x14ac:dyDescent="0.25">
      <c r="A153" s="139" t="s">
        <v>419</v>
      </c>
      <c r="B153" s="139" t="s">
        <v>175</v>
      </c>
      <c r="C153" s="139" t="s">
        <v>186</v>
      </c>
      <c r="D153" s="139" t="s">
        <v>420</v>
      </c>
    </row>
    <row r="154" spans="1:4" x14ac:dyDescent="0.25">
      <c r="A154" s="139" t="s">
        <v>421</v>
      </c>
      <c r="B154" s="139" t="s">
        <v>422</v>
      </c>
      <c r="C154" s="139" t="s">
        <v>186</v>
      </c>
      <c r="D154" s="139" t="s">
        <v>423</v>
      </c>
    </row>
    <row r="155" spans="1:4" x14ac:dyDescent="0.25">
      <c r="A155" s="139" t="s">
        <v>424</v>
      </c>
      <c r="B155" s="139" t="s">
        <v>425</v>
      </c>
      <c r="C155" s="139" t="s">
        <v>112</v>
      </c>
      <c r="D155" s="139" t="s">
        <v>426</v>
      </c>
    </row>
    <row r="156" spans="1:4" x14ac:dyDescent="0.25">
      <c r="A156" s="139" t="s">
        <v>427</v>
      </c>
      <c r="B156" s="139" t="s">
        <v>428</v>
      </c>
      <c r="C156" s="139" t="s">
        <v>127</v>
      </c>
      <c r="D156" s="139" t="s">
        <v>429</v>
      </c>
    </row>
    <row r="157" spans="1:4" x14ac:dyDescent="0.25">
      <c r="A157" s="139" t="s">
        <v>430</v>
      </c>
      <c r="B157" s="139" t="s">
        <v>111</v>
      </c>
      <c r="C157" s="139" t="s">
        <v>112</v>
      </c>
      <c r="D157" s="139" t="s">
        <v>431</v>
      </c>
    </row>
    <row r="158" spans="1:4" x14ac:dyDescent="0.25">
      <c r="A158" s="139" t="s">
        <v>432</v>
      </c>
      <c r="B158" s="139" t="s">
        <v>101</v>
      </c>
      <c r="C158" s="139" t="s">
        <v>96</v>
      </c>
      <c r="D158" s="139" t="s">
        <v>433</v>
      </c>
    </row>
    <row r="159" spans="1:4" x14ac:dyDescent="0.25">
      <c r="A159" s="139" t="s">
        <v>434</v>
      </c>
      <c r="B159" s="139" t="s">
        <v>64</v>
      </c>
      <c r="C159" s="139" t="s">
        <v>65</v>
      </c>
      <c r="D159" s="139" t="s">
        <v>435</v>
      </c>
    </row>
    <row r="160" spans="1:4" x14ac:dyDescent="0.25">
      <c r="A160" s="139" t="s">
        <v>436</v>
      </c>
      <c r="B160" s="139" t="s">
        <v>437</v>
      </c>
      <c r="C160" s="139" t="s">
        <v>65</v>
      </c>
      <c r="D160" s="139" t="s">
        <v>438</v>
      </c>
    </row>
    <row r="161" spans="1:4" x14ac:dyDescent="0.25">
      <c r="A161" s="139" t="s">
        <v>439</v>
      </c>
      <c r="B161" s="139" t="s">
        <v>64</v>
      </c>
      <c r="C161" s="139" t="s">
        <v>65</v>
      </c>
      <c r="D161" s="139" t="s">
        <v>440</v>
      </c>
    </row>
    <row r="162" spans="1:4" x14ac:dyDescent="0.25">
      <c r="A162" s="139" t="s">
        <v>441</v>
      </c>
      <c r="B162" s="139" t="s">
        <v>437</v>
      </c>
      <c r="C162" s="139" t="s">
        <v>65</v>
      </c>
      <c r="D162" s="139" t="s">
        <v>442</v>
      </c>
    </row>
    <row r="163" spans="1:4" x14ac:dyDescent="0.25">
      <c r="A163" s="139" t="s">
        <v>443</v>
      </c>
      <c r="B163" s="139" t="s">
        <v>326</v>
      </c>
      <c r="C163" s="139" t="s">
        <v>127</v>
      </c>
      <c r="D163" s="139" t="s">
        <v>444</v>
      </c>
    </row>
    <row r="164" spans="1:4" x14ac:dyDescent="0.25">
      <c r="A164" s="139" t="s">
        <v>445</v>
      </c>
      <c r="B164" s="139" t="s">
        <v>329</v>
      </c>
      <c r="C164" s="139" t="s">
        <v>127</v>
      </c>
      <c r="D164" s="139" t="s">
        <v>446</v>
      </c>
    </row>
    <row r="165" spans="1:4" x14ac:dyDescent="0.25">
      <c r="A165" s="139" t="s">
        <v>447</v>
      </c>
      <c r="B165" s="139" t="s">
        <v>332</v>
      </c>
      <c r="C165" s="139" t="s">
        <v>127</v>
      </c>
      <c r="D165" s="139" t="s">
        <v>448</v>
      </c>
    </row>
    <row r="166" spans="1:4" x14ac:dyDescent="0.25">
      <c r="A166" s="139" t="s">
        <v>449</v>
      </c>
      <c r="B166" s="139" t="s">
        <v>335</v>
      </c>
      <c r="C166" s="139" t="s">
        <v>127</v>
      </c>
      <c r="D166" s="139" t="s">
        <v>450</v>
      </c>
    </row>
    <row r="167" spans="1:4" x14ac:dyDescent="0.25">
      <c r="A167" s="139" t="s">
        <v>451</v>
      </c>
      <c r="B167" s="139" t="s">
        <v>326</v>
      </c>
      <c r="C167" s="139" t="s">
        <v>123</v>
      </c>
      <c r="D167" s="139" t="s">
        <v>452</v>
      </c>
    </row>
    <row r="168" spans="1:4" x14ac:dyDescent="0.25">
      <c r="A168" s="139" t="s">
        <v>453</v>
      </c>
      <c r="B168" s="139" t="s">
        <v>329</v>
      </c>
      <c r="C168" s="139" t="s">
        <v>123</v>
      </c>
      <c r="D168" s="139" t="s">
        <v>454</v>
      </c>
    </row>
    <row r="169" spans="1:4" x14ac:dyDescent="0.25">
      <c r="A169" s="139" t="s">
        <v>455</v>
      </c>
      <c r="B169" s="139" t="s">
        <v>332</v>
      </c>
      <c r="C169" s="139" t="s">
        <v>123</v>
      </c>
      <c r="D169" s="139" t="s">
        <v>456</v>
      </c>
    </row>
    <row r="170" spans="1:4" x14ac:dyDescent="0.25">
      <c r="A170" s="139" t="s">
        <v>457</v>
      </c>
      <c r="B170" s="139" t="s">
        <v>335</v>
      </c>
      <c r="C170" s="139" t="s">
        <v>123</v>
      </c>
      <c r="D170" s="139" t="s">
        <v>458</v>
      </c>
    </row>
    <row r="171" spans="1:4" x14ac:dyDescent="0.25">
      <c r="A171" s="139" t="s">
        <v>459</v>
      </c>
      <c r="B171" s="139" t="s">
        <v>329</v>
      </c>
      <c r="C171" s="139" t="s">
        <v>33</v>
      </c>
      <c r="D171" s="139" t="s">
        <v>460</v>
      </c>
    </row>
    <row r="172" spans="1:4" x14ac:dyDescent="0.25">
      <c r="A172" s="139" t="s">
        <v>461</v>
      </c>
      <c r="B172" s="139" t="s">
        <v>340</v>
      </c>
      <c r="C172" s="139" t="s">
        <v>33</v>
      </c>
      <c r="D172" s="139" t="s">
        <v>462</v>
      </c>
    </row>
    <row r="173" spans="1:4" x14ac:dyDescent="0.25">
      <c r="A173" s="139" t="s">
        <v>463</v>
      </c>
      <c r="B173" s="139" t="s">
        <v>343</v>
      </c>
      <c r="C173" s="139" t="s">
        <v>33</v>
      </c>
      <c r="D173" s="139" t="s">
        <v>464</v>
      </c>
    </row>
    <row r="174" spans="1:4" x14ac:dyDescent="0.25">
      <c r="A174" s="139" t="s">
        <v>465</v>
      </c>
      <c r="B174" s="139" t="s">
        <v>346</v>
      </c>
      <c r="C174" s="139" t="s">
        <v>33</v>
      </c>
      <c r="D174" s="139" t="s">
        <v>466</v>
      </c>
    </row>
    <row r="175" spans="1:4" x14ac:dyDescent="0.25">
      <c r="A175" s="139" t="s">
        <v>467</v>
      </c>
      <c r="B175" s="139" t="s">
        <v>349</v>
      </c>
      <c r="C175" s="139" t="s">
        <v>123</v>
      </c>
      <c r="D175" s="139" t="s">
        <v>468</v>
      </c>
    </row>
    <row r="176" spans="1:4" x14ac:dyDescent="0.25">
      <c r="A176" s="139" t="s">
        <v>469</v>
      </c>
      <c r="B176" s="139" t="s">
        <v>346</v>
      </c>
      <c r="C176" s="139" t="s">
        <v>123</v>
      </c>
      <c r="D176" s="139" t="s">
        <v>470</v>
      </c>
    </row>
    <row r="177" spans="1:4" x14ac:dyDescent="0.25">
      <c r="A177" s="139" t="s">
        <v>471</v>
      </c>
      <c r="B177" s="139" t="s">
        <v>354</v>
      </c>
      <c r="C177" s="139" t="s">
        <v>123</v>
      </c>
      <c r="D177" s="139" t="s">
        <v>472</v>
      </c>
    </row>
    <row r="178" spans="1:4" x14ac:dyDescent="0.25">
      <c r="A178" s="139" t="s">
        <v>473</v>
      </c>
      <c r="B178" s="139" t="s">
        <v>357</v>
      </c>
      <c r="C178" s="139" t="s">
        <v>65</v>
      </c>
      <c r="D178" s="139" t="s">
        <v>474</v>
      </c>
    </row>
    <row r="179" spans="1:4" x14ac:dyDescent="0.25">
      <c r="A179" s="139" t="s">
        <v>475</v>
      </c>
      <c r="B179" s="139" t="s">
        <v>360</v>
      </c>
      <c r="C179" s="139" t="s">
        <v>65</v>
      </c>
      <c r="D179" s="139" t="s">
        <v>476</v>
      </c>
    </row>
    <row r="180" spans="1:4" x14ac:dyDescent="0.25">
      <c r="A180" s="139" t="s">
        <v>477</v>
      </c>
      <c r="B180" s="139" t="s">
        <v>374</v>
      </c>
      <c r="C180" s="139" t="s">
        <v>375</v>
      </c>
      <c r="D180" s="139" t="s">
        <v>478</v>
      </c>
    </row>
    <row r="181" spans="1:4" x14ac:dyDescent="0.25">
      <c r="A181" s="139" t="s">
        <v>479</v>
      </c>
      <c r="B181" s="139" t="s">
        <v>378</v>
      </c>
      <c r="C181" s="139" t="s">
        <v>375</v>
      </c>
      <c r="D181" s="139" t="s">
        <v>480</v>
      </c>
    </row>
    <row r="182" spans="1:4" x14ac:dyDescent="0.25">
      <c r="A182" s="139" t="s">
        <v>481</v>
      </c>
      <c r="B182" s="139" t="s">
        <v>381</v>
      </c>
      <c r="C182" s="139" t="s">
        <v>375</v>
      </c>
      <c r="D182" s="139" t="s">
        <v>482</v>
      </c>
    </row>
    <row r="183" spans="1:4" x14ac:dyDescent="0.25">
      <c r="A183" s="139" t="s">
        <v>483</v>
      </c>
      <c r="B183" s="139" t="s">
        <v>384</v>
      </c>
      <c r="C183" s="139" t="s">
        <v>375</v>
      </c>
      <c r="D183" s="139" t="s">
        <v>484</v>
      </c>
    </row>
    <row r="184" spans="1:4" x14ac:dyDescent="0.25">
      <c r="A184" s="139" t="s">
        <v>485</v>
      </c>
      <c r="B184" s="139" t="s">
        <v>387</v>
      </c>
      <c r="C184" s="139" t="s">
        <v>375</v>
      </c>
      <c r="D184" s="139" t="s">
        <v>486</v>
      </c>
    </row>
    <row r="185" spans="1:4" x14ac:dyDescent="0.25">
      <c r="A185" s="139" t="s">
        <v>487</v>
      </c>
      <c r="B185" s="139" t="s">
        <v>390</v>
      </c>
      <c r="C185" s="139" t="s">
        <v>375</v>
      </c>
      <c r="D185" s="139" t="s">
        <v>488</v>
      </c>
    </row>
    <row r="186" spans="1:4" x14ac:dyDescent="0.25">
      <c r="A186" s="139" t="s">
        <v>489</v>
      </c>
      <c r="B186" s="139" t="s">
        <v>310</v>
      </c>
      <c r="C186" s="139" t="s">
        <v>65</v>
      </c>
      <c r="D186" s="139" t="s">
        <v>490</v>
      </c>
    </row>
    <row r="187" spans="1:4" x14ac:dyDescent="0.25">
      <c r="A187" s="139" t="s">
        <v>491</v>
      </c>
      <c r="B187" s="139" t="s">
        <v>54</v>
      </c>
      <c r="C187" s="139" t="s">
        <v>186</v>
      </c>
      <c r="D187" s="139" t="s">
        <v>492</v>
      </c>
    </row>
    <row r="188" spans="1:4" x14ac:dyDescent="0.25">
      <c r="A188" s="139" t="s">
        <v>493</v>
      </c>
      <c r="B188" s="139" t="s">
        <v>220</v>
      </c>
      <c r="C188" s="139" t="s">
        <v>186</v>
      </c>
      <c r="D188" s="139" t="s">
        <v>494</v>
      </c>
    </row>
    <row r="189" spans="1:4" x14ac:dyDescent="0.25">
      <c r="A189" s="139" t="s">
        <v>495</v>
      </c>
      <c r="B189" s="139" t="s">
        <v>175</v>
      </c>
      <c r="C189" s="139" t="s">
        <v>186</v>
      </c>
      <c r="D189" s="139" t="s">
        <v>496</v>
      </c>
    </row>
    <row r="190" spans="1:4" x14ac:dyDescent="0.25">
      <c r="A190" s="139" t="s">
        <v>497</v>
      </c>
      <c r="B190" s="139" t="s">
        <v>422</v>
      </c>
      <c r="C190" s="139" t="s">
        <v>186</v>
      </c>
      <c r="D190" s="139" t="s">
        <v>498</v>
      </c>
    </row>
    <row r="191" spans="1:4" x14ac:dyDescent="0.25">
      <c r="A191" s="139" t="s">
        <v>499</v>
      </c>
      <c r="B191" s="139" t="s">
        <v>428</v>
      </c>
      <c r="C191" s="139" t="s">
        <v>127</v>
      </c>
      <c r="D191" s="139" t="s">
        <v>500</v>
      </c>
    </row>
    <row r="192" spans="1:4" x14ac:dyDescent="0.25">
      <c r="A192" s="139" t="s">
        <v>501</v>
      </c>
      <c r="B192" s="139" t="s">
        <v>111</v>
      </c>
      <c r="C192" s="139" t="s">
        <v>112</v>
      </c>
      <c r="D192" s="139" t="s">
        <v>502</v>
      </c>
    </row>
    <row r="193" spans="1:4" x14ac:dyDescent="0.25">
      <c r="A193" s="139" t="s">
        <v>503</v>
      </c>
      <c r="B193" s="139" t="s">
        <v>101</v>
      </c>
      <c r="C193" s="139" t="s">
        <v>96</v>
      </c>
      <c r="D193" s="139" t="s">
        <v>504</v>
      </c>
    </row>
    <row r="194" spans="1:4" x14ac:dyDescent="0.25">
      <c r="A194" s="139" t="s">
        <v>505</v>
      </c>
      <c r="B194" s="139" t="s">
        <v>425</v>
      </c>
      <c r="C194" s="139" t="s">
        <v>112</v>
      </c>
      <c r="D194" s="139" t="s">
        <v>506</v>
      </c>
    </row>
    <row r="195" spans="1:4" x14ac:dyDescent="0.25">
      <c r="A195" s="139" t="s">
        <v>507</v>
      </c>
      <c r="B195" s="139" t="s">
        <v>175</v>
      </c>
      <c r="C195" s="139" t="s">
        <v>65</v>
      </c>
      <c r="D195" s="139" t="s">
        <v>508</v>
      </c>
    </row>
    <row r="196" spans="1:4" x14ac:dyDescent="0.25">
      <c r="A196" s="139" t="s">
        <v>509</v>
      </c>
      <c r="B196" s="139" t="s">
        <v>397</v>
      </c>
      <c r="C196" s="139" t="s">
        <v>65</v>
      </c>
      <c r="D196" s="139" t="s">
        <v>510</v>
      </c>
    </row>
    <row r="197" spans="1:4" x14ac:dyDescent="0.25">
      <c r="A197" s="139" t="s">
        <v>511</v>
      </c>
      <c r="B197" s="139" t="s">
        <v>400</v>
      </c>
      <c r="C197" s="139" t="s">
        <v>65</v>
      </c>
      <c r="D197" s="139" t="s">
        <v>512</v>
      </c>
    </row>
    <row r="198" spans="1:4" x14ac:dyDescent="0.25">
      <c r="A198" s="139" t="s">
        <v>513</v>
      </c>
      <c r="B198" s="139" t="s">
        <v>403</v>
      </c>
      <c r="C198" s="139" t="s">
        <v>65</v>
      </c>
      <c r="D198" s="139" t="s">
        <v>514</v>
      </c>
    </row>
    <row r="199" spans="1:4" x14ac:dyDescent="0.25">
      <c r="A199" s="139" t="s">
        <v>515</v>
      </c>
      <c r="B199" s="139" t="s">
        <v>248</v>
      </c>
      <c r="C199" s="139" t="s">
        <v>65</v>
      </c>
      <c r="D199" s="139" t="s">
        <v>516</v>
      </c>
    </row>
    <row r="200" spans="1:4" x14ac:dyDescent="0.25">
      <c r="A200" s="139" t="s">
        <v>517</v>
      </c>
      <c r="B200" s="139" t="s">
        <v>243</v>
      </c>
      <c r="C200" s="139" t="s">
        <v>65</v>
      </c>
      <c r="D200" s="139" t="s">
        <v>518</v>
      </c>
    </row>
    <row r="201" spans="1:4" x14ac:dyDescent="0.25">
      <c r="A201" s="139" t="s">
        <v>519</v>
      </c>
      <c r="B201" s="139" t="s">
        <v>238</v>
      </c>
      <c r="C201" s="139" t="s">
        <v>65</v>
      </c>
      <c r="D201" s="139" t="s">
        <v>520</v>
      </c>
    </row>
    <row r="202" spans="1:4" x14ac:dyDescent="0.25">
      <c r="A202" s="139" t="s">
        <v>521</v>
      </c>
      <c r="B202" s="139" t="s">
        <v>229</v>
      </c>
      <c r="C202" s="139" t="s">
        <v>186</v>
      </c>
      <c r="D202" s="139" t="s">
        <v>522</v>
      </c>
    </row>
    <row r="203" spans="1:4" x14ac:dyDescent="0.25">
      <c r="A203" s="139" t="s">
        <v>523</v>
      </c>
      <c r="B203" s="139" t="s">
        <v>180</v>
      </c>
      <c r="C203" s="139" t="s">
        <v>186</v>
      </c>
      <c r="D203" s="139" t="s">
        <v>524</v>
      </c>
    </row>
    <row r="204" spans="1:4" x14ac:dyDescent="0.25">
      <c r="A204" s="139" t="s">
        <v>525</v>
      </c>
      <c r="B204" s="139" t="s">
        <v>371</v>
      </c>
      <c r="C204" s="139" t="s">
        <v>65</v>
      </c>
      <c r="D204" s="139" t="s">
        <v>526</v>
      </c>
    </row>
    <row r="205" spans="1:4" x14ac:dyDescent="0.25">
      <c r="A205" s="139" t="s">
        <v>527</v>
      </c>
      <c r="B205" s="139" t="s">
        <v>528</v>
      </c>
      <c r="C205" s="139" t="s">
        <v>65</v>
      </c>
      <c r="D205" s="139" t="s">
        <v>529</v>
      </c>
    </row>
    <row r="206" spans="1:4" x14ac:dyDescent="0.25">
      <c r="A206" s="139" t="s">
        <v>530</v>
      </c>
      <c r="B206" s="139" t="s">
        <v>531</v>
      </c>
      <c r="C206" s="139" t="s">
        <v>65</v>
      </c>
      <c r="D206" s="139" t="s">
        <v>532</v>
      </c>
    </row>
    <row r="207" spans="1:4" x14ac:dyDescent="0.25">
      <c r="A207" s="139" t="s">
        <v>533</v>
      </c>
      <c r="B207" s="139" t="s">
        <v>534</v>
      </c>
      <c r="C207" s="139" t="s">
        <v>535</v>
      </c>
      <c r="D207" s="139" t="s">
        <v>536</v>
      </c>
    </row>
    <row r="208" spans="1:4" x14ac:dyDescent="0.25">
      <c r="A208" s="139" t="s">
        <v>537</v>
      </c>
      <c r="B208" s="139" t="s">
        <v>538</v>
      </c>
      <c r="C208" s="139" t="s">
        <v>535</v>
      </c>
      <c r="D208" s="139" t="s">
        <v>539</v>
      </c>
    </row>
    <row r="209" spans="1:4" x14ac:dyDescent="0.25">
      <c r="A209" s="139" t="s">
        <v>540</v>
      </c>
      <c r="B209" s="139" t="s">
        <v>541</v>
      </c>
      <c r="C209" s="139" t="s">
        <v>535</v>
      </c>
      <c r="D209" s="139" t="s">
        <v>542</v>
      </c>
    </row>
    <row r="210" spans="1:4" x14ac:dyDescent="0.25">
      <c r="A210" s="139" t="s">
        <v>543</v>
      </c>
      <c r="B210" s="139" t="s">
        <v>544</v>
      </c>
      <c r="C210" s="139" t="s">
        <v>535</v>
      </c>
      <c r="D210" s="139" t="s">
        <v>545</v>
      </c>
    </row>
    <row r="211" spans="1:4" x14ac:dyDescent="0.25">
      <c r="A211" s="139" t="s">
        <v>546</v>
      </c>
      <c r="B211" s="139" t="s">
        <v>547</v>
      </c>
      <c r="C211" s="139" t="s">
        <v>535</v>
      </c>
      <c r="D211" s="139" t="s">
        <v>548</v>
      </c>
    </row>
    <row r="212" spans="1:4" x14ac:dyDescent="0.25">
      <c r="A212" s="139" t="s">
        <v>549</v>
      </c>
      <c r="B212" s="139" t="s">
        <v>357</v>
      </c>
      <c r="C212" s="139" t="s">
        <v>535</v>
      </c>
      <c r="D212" s="139" t="s">
        <v>550</v>
      </c>
    </row>
    <row r="213" spans="1:4" x14ac:dyDescent="0.25">
      <c r="A213" s="139" t="s">
        <v>551</v>
      </c>
      <c r="B213" s="139" t="s">
        <v>552</v>
      </c>
      <c r="C213" s="139" t="s">
        <v>535</v>
      </c>
      <c r="D213" s="139" t="s">
        <v>553</v>
      </c>
    </row>
    <row r="214" spans="1:4" x14ac:dyDescent="0.25">
      <c r="A214" s="139" t="s">
        <v>554</v>
      </c>
      <c r="B214" s="139" t="s">
        <v>555</v>
      </c>
      <c r="C214" s="139" t="s">
        <v>535</v>
      </c>
      <c r="D214" s="139" t="s">
        <v>556</v>
      </c>
    </row>
    <row r="215" spans="1:4" x14ac:dyDescent="0.25">
      <c r="A215" s="139" t="s">
        <v>557</v>
      </c>
      <c r="B215" s="139" t="s">
        <v>558</v>
      </c>
      <c r="C215" s="139" t="s">
        <v>535</v>
      </c>
      <c r="D215" s="139" t="s">
        <v>559</v>
      </c>
    </row>
    <row r="216" spans="1:4" x14ac:dyDescent="0.25">
      <c r="A216" s="139" t="s">
        <v>560</v>
      </c>
      <c r="B216" s="139" t="s">
        <v>561</v>
      </c>
      <c r="C216" s="139" t="s">
        <v>535</v>
      </c>
      <c r="D216" s="139" t="s">
        <v>562</v>
      </c>
    </row>
    <row r="217" spans="1:4" x14ac:dyDescent="0.25">
      <c r="A217" s="139" t="s">
        <v>563</v>
      </c>
      <c r="B217" s="139" t="s">
        <v>564</v>
      </c>
      <c r="C217" s="139" t="s">
        <v>535</v>
      </c>
      <c r="D217" s="139" t="s">
        <v>565</v>
      </c>
    </row>
    <row r="218" spans="1:4" x14ac:dyDescent="0.25">
      <c r="A218" s="139" t="s">
        <v>566</v>
      </c>
      <c r="B218" s="139" t="s">
        <v>567</v>
      </c>
      <c r="C218" s="139" t="s">
        <v>535</v>
      </c>
      <c r="D218" s="139" t="s">
        <v>568</v>
      </c>
    </row>
    <row r="219" spans="1:4" x14ac:dyDescent="0.25">
      <c r="A219" s="139" t="s">
        <v>569</v>
      </c>
      <c r="B219" s="139" t="s">
        <v>570</v>
      </c>
      <c r="C219" s="139" t="s">
        <v>535</v>
      </c>
      <c r="D219" s="139" t="s">
        <v>571</v>
      </c>
    </row>
    <row r="220" spans="1:4" x14ac:dyDescent="0.25">
      <c r="A220" s="139" t="s">
        <v>572</v>
      </c>
      <c r="B220" s="139" t="s">
        <v>528</v>
      </c>
      <c r="C220" s="139" t="s">
        <v>65</v>
      </c>
      <c r="D220" s="139" t="s">
        <v>573</v>
      </c>
    </row>
    <row r="221" spans="1:4" x14ac:dyDescent="0.25">
      <c r="A221" s="139" t="s">
        <v>574</v>
      </c>
      <c r="B221" s="139" t="s">
        <v>531</v>
      </c>
      <c r="C221" s="139" t="s">
        <v>65</v>
      </c>
      <c r="D221" s="139" t="s">
        <v>575</v>
      </c>
    </row>
    <row r="222" spans="1:4" x14ac:dyDescent="0.25">
      <c r="A222" s="139" t="s">
        <v>576</v>
      </c>
      <c r="B222" s="139" t="s">
        <v>577</v>
      </c>
      <c r="C222" s="139" t="s">
        <v>316</v>
      </c>
      <c r="D222" s="139" t="s">
        <v>578</v>
      </c>
    </row>
    <row r="223" spans="1:4" x14ac:dyDescent="0.25">
      <c r="A223" s="139" t="s">
        <v>579</v>
      </c>
      <c r="B223" s="139" t="s">
        <v>577</v>
      </c>
      <c r="C223" s="139" t="s">
        <v>316</v>
      </c>
      <c r="D223" s="139" t="s">
        <v>580</v>
      </c>
    </row>
    <row r="224" spans="1:4" x14ac:dyDescent="0.25">
      <c r="A224" s="139" t="s">
        <v>581</v>
      </c>
      <c r="B224" s="139" t="s">
        <v>582</v>
      </c>
      <c r="C224" s="139" t="s">
        <v>316</v>
      </c>
      <c r="D224" s="139" t="s">
        <v>583</v>
      </c>
    </row>
    <row r="225" spans="1:4" x14ac:dyDescent="0.25">
      <c r="A225" s="139" t="s">
        <v>584</v>
      </c>
      <c r="B225" s="139" t="s">
        <v>582</v>
      </c>
      <c r="C225" s="139" t="s">
        <v>316</v>
      </c>
      <c r="D225" s="139" t="s">
        <v>585</v>
      </c>
    </row>
    <row r="226" spans="1:4" x14ac:dyDescent="0.25">
      <c r="A226" s="139" t="s">
        <v>586</v>
      </c>
      <c r="B226" s="139" t="s">
        <v>587</v>
      </c>
      <c r="C226" s="139" t="s">
        <v>316</v>
      </c>
      <c r="D226" s="139" t="s">
        <v>588</v>
      </c>
    </row>
    <row r="227" spans="1:4" x14ac:dyDescent="0.25">
      <c r="A227" s="139" t="s">
        <v>589</v>
      </c>
      <c r="B227" s="139" t="s">
        <v>587</v>
      </c>
      <c r="C227" s="139" t="s">
        <v>316</v>
      </c>
      <c r="D227" s="139" t="s">
        <v>590</v>
      </c>
    </row>
    <row r="228" spans="1:4" x14ac:dyDescent="0.25">
      <c r="A228" s="139" t="s">
        <v>591</v>
      </c>
      <c r="B228" s="139" t="s">
        <v>592</v>
      </c>
      <c r="C228" s="139" t="s">
        <v>316</v>
      </c>
      <c r="D228" s="139" t="s">
        <v>593</v>
      </c>
    </row>
    <row r="229" spans="1:4" x14ac:dyDescent="0.25">
      <c r="A229" s="139" t="s">
        <v>594</v>
      </c>
      <c r="B229" s="139" t="s">
        <v>592</v>
      </c>
      <c r="C229" s="139" t="s">
        <v>316</v>
      </c>
      <c r="D229" s="139" t="s">
        <v>595</v>
      </c>
    </row>
    <row r="230" spans="1:4" x14ac:dyDescent="0.25">
      <c r="A230" s="139" t="s">
        <v>596</v>
      </c>
      <c r="B230" s="139" t="s">
        <v>597</v>
      </c>
      <c r="C230" s="139" t="s">
        <v>316</v>
      </c>
      <c r="D230" s="139" t="s">
        <v>598</v>
      </c>
    </row>
    <row r="231" spans="1:4" x14ac:dyDescent="0.25">
      <c r="A231" s="139" t="s">
        <v>599</v>
      </c>
      <c r="B231" s="139" t="s">
        <v>597</v>
      </c>
      <c r="C231" s="139" t="s">
        <v>316</v>
      </c>
      <c r="D231" s="139" t="s">
        <v>600</v>
      </c>
    </row>
    <row r="232" spans="1:4" x14ac:dyDescent="0.25">
      <c r="A232" s="139" t="s">
        <v>601</v>
      </c>
      <c r="B232" s="139" t="s">
        <v>602</v>
      </c>
      <c r="C232" s="139" t="s">
        <v>603</v>
      </c>
      <c r="D232" s="139" t="s">
        <v>604</v>
      </c>
    </row>
    <row r="233" spans="1:4" x14ac:dyDescent="0.25">
      <c r="A233" s="139" t="s">
        <v>605</v>
      </c>
      <c r="B233" s="139" t="s">
        <v>602</v>
      </c>
      <c r="C233" s="139" t="s">
        <v>603</v>
      </c>
      <c r="D233" s="139" t="s">
        <v>606</v>
      </c>
    </row>
    <row r="234" spans="1:4" x14ac:dyDescent="0.25">
      <c r="A234" s="139" t="s">
        <v>607</v>
      </c>
      <c r="B234" s="139" t="s">
        <v>608</v>
      </c>
      <c r="C234" s="139" t="s">
        <v>316</v>
      </c>
      <c r="D234" s="139" t="s">
        <v>609</v>
      </c>
    </row>
    <row r="235" spans="1:4" x14ac:dyDescent="0.25">
      <c r="A235" s="139" t="s">
        <v>610</v>
      </c>
      <c r="B235" s="139" t="s">
        <v>608</v>
      </c>
      <c r="C235" s="139" t="s">
        <v>316</v>
      </c>
      <c r="D235" s="139" t="s">
        <v>611</v>
      </c>
    </row>
    <row r="236" spans="1:4" x14ac:dyDescent="0.25">
      <c r="A236" s="139" t="s">
        <v>612</v>
      </c>
      <c r="B236" s="139" t="s">
        <v>613</v>
      </c>
      <c r="C236" s="139" t="s">
        <v>316</v>
      </c>
      <c r="D236" s="139" t="s">
        <v>614</v>
      </c>
    </row>
    <row r="237" spans="1:4" x14ac:dyDescent="0.25">
      <c r="A237" s="139" t="s">
        <v>615</v>
      </c>
      <c r="B237" s="139" t="s">
        <v>613</v>
      </c>
      <c r="C237" s="139" t="s">
        <v>316</v>
      </c>
      <c r="D237" s="139" t="s">
        <v>616</v>
      </c>
    </row>
    <row r="238" spans="1:4" x14ac:dyDescent="0.25">
      <c r="A238" s="139" t="s">
        <v>617</v>
      </c>
      <c r="B238" s="139" t="s">
        <v>618</v>
      </c>
      <c r="C238" s="139" t="s">
        <v>316</v>
      </c>
      <c r="D238" s="139" t="s">
        <v>619</v>
      </c>
    </row>
    <row r="239" spans="1:4" x14ac:dyDescent="0.25">
      <c r="A239" s="139" t="s">
        <v>620</v>
      </c>
      <c r="B239" s="139" t="s">
        <v>618</v>
      </c>
      <c r="C239" s="139" t="s">
        <v>316</v>
      </c>
      <c r="D239" s="139" t="s">
        <v>621</v>
      </c>
    </row>
    <row r="240" spans="1:4" x14ac:dyDescent="0.25">
      <c r="A240" s="139" t="s">
        <v>622</v>
      </c>
      <c r="B240" s="139" t="s">
        <v>623</v>
      </c>
      <c r="C240" s="139" t="s">
        <v>316</v>
      </c>
      <c r="D240" s="139" t="s">
        <v>624</v>
      </c>
    </row>
    <row r="241" spans="1:4" x14ac:dyDescent="0.25">
      <c r="A241" s="139" t="s">
        <v>625</v>
      </c>
      <c r="B241" s="139" t="s">
        <v>623</v>
      </c>
      <c r="C241" s="139" t="s">
        <v>316</v>
      </c>
      <c r="D241" s="139" t="s">
        <v>626</v>
      </c>
    </row>
    <row r="242" spans="1:4" x14ac:dyDescent="0.25">
      <c r="A242" s="139" t="s">
        <v>627</v>
      </c>
      <c r="B242" s="139" t="s">
        <v>628</v>
      </c>
      <c r="C242" s="139" t="s">
        <v>316</v>
      </c>
      <c r="D242" s="139" t="s">
        <v>629</v>
      </c>
    </row>
    <row r="243" spans="1:4" x14ac:dyDescent="0.25">
      <c r="A243" s="139" t="s">
        <v>630</v>
      </c>
      <c r="B243" s="139" t="s">
        <v>628</v>
      </c>
      <c r="C243" s="139" t="s">
        <v>316</v>
      </c>
      <c r="D243" s="139" t="s">
        <v>631</v>
      </c>
    </row>
    <row r="244" spans="1:4" x14ac:dyDescent="0.25">
      <c r="A244" s="139" t="s">
        <v>632</v>
      </c>
      <c r="B244" s="139" t="s">
        <v>633</v>
      </c>
      <c r="C244" s="139" t="s">
        <v>316</v>
      </c>
      <c r="D244" s="139" t="s">
        <v>634</v>
      </c>
    </row>
    <row r="245" spans="1:4" x14ac:dyDescent="0.25">
      <c r="A245" s="139" t="s">
        <v>635</v>
      </c>
      <c r="B245" s="139" t="s">
        <v>633</v>
      </c>
      <c r="C245" s="139" t="s">
        <v>316</v>
      </c>
      <c r="D245" s="139" t="s">
        <v>636</v>
      </c>
    </row>
    <row r="246" spans="1:4" x14ac:dyDescent="0.25">
      <c r="A246" s="139" t="s">
        <v>637</v>
      </c>
      <c r="B246" s="139" t="s">
        <v>638</v>
      </c>
      <c r="C246" s="139" t="s">
        <v>316</v>
      </c>
      <c r="D246" s="139" t="s">
        <v>639</v>
      </c>
    </row>
    <row r="247" spans="1:4" x14ac:dyDescent="0.25">
      <c r="A247" s="139" t="s">
        <v>640</v>
      </c>
      <c r="B247" s="139" t="s">
        <v>638</v>
      </c>
      <c r="C247" s="139" t="s">
        <v>316</v>
      </c>
      <c r="D247" s="139" t="s">
        <v>641</v>
      </c>
    </row>
    <row r="248" spans="1:4" x14ac:dyDescent="0.25">
      <c r="A248" s="139" t="s">
        <v>642</v>
      </c>
      <c r="B248" s="139" t="s">
        <v>643</v>
      </c>
      <c r="C248" s="139" t="s">
        <v>316</v>
      </c>
      <c r="D248" s="139" t="s">
        <v>644</v>
      </c>
    </row>
    <row r="249" spans="1:4" x14ac:dyDescent="0.25">
      <c r="A249" s="139" t="s">
        <v>645</v>
      </c>
      <c r="B249" s="139" t="s">
        <v>643</v>
      </c>
      <c r="C249" s="139" t="s">
        <v>316</v>
      </c>
      <c r="D249" s="139" t="s">
        <v>646</v>
      </c>
    </row>
    <row r="250" spans="1:4" x14ac:dyDescent="0.25">
      <c r="A250" s="139" t="s">
        <v>647</v>
      </c>
      <c r="B250" s="139" t="s">
        <v>648</v>
      </c>
      <c r="C250" s="139" t="s">
        <v>316</v>
      </c>
      <c r="D250" s="139" t="s">
        <v>649</v>
      </c>
    </row>
    <row r="251" spans="1:4" x14ac:dyDescent="0.25">
      <c r="A251" s="139" t="s">
        <v>650</v>
      </c>
      <c r="B251" s="139" t="s">
        <v>648</v>
      </c>
      <c r="C251" s="139" t="s">
        <v>316</v>
      </c>
      <c r="D251" s="139" t="s">
        <v>651</v>
      </c>
    </row>
    <row r="252" spans="1:4" x14ac:dyDescent="0.25">
      <c r="A252" s="139" t="s">
        <v>652</v>
      </c>
      <c r="B252" s="139" t="s">
        <v>653</v>
      </c>
      <c r="C252" s="139" t="s">
        <v>316</v>
      </c>
      <c r="D252" s="139" t="s">
        <v>654</v>
      </c>
    </row>
    <row r="253" spans="1:4" x14ac:dyDescent="0.25">
      <c r="A253" s="139" t="s">
        <v>655</v>
      </c>
      <c r="B253" s="139" t="s">
        <v>653</v>
      </c>
      <c r="C253" s="139" t="s">
        <v>316</v>
      </c>
      <c r="D253" s="139" t="s">
        <v>656</v>
      </c>
    </row>
    <row r="254" spans="1:4" x14ac:dyDescent="0.25">
      <c r="A254" s="139" t="s">
        <v>657</v>
      </c>
      <c r="B254" s="139" t="s">
        <v>437</v>
      </c>
      <c r="C254" s="139" t="s">
        <v>658</v>
      </c>
      <c r="D254" s="139" t="s">
        <v>659</v>
      </c>
    </row>
    <row r="255" spans="1:4" x14ac:dyDescent="0.25">
      <c r="A255" s="139" t="s">
        <v>660</v>
      </c>
      <c r="B255" s="139" t="s">
        <v>437</v>
      </c>
      <c r="C255" s="139" t="s">
        <v>658</v>
      </c>
      <c r="D255" s="139" t="s">
        <v>661</v>
      </c>
    </row>
    <row r="256" spans="1:4" x14ac:dyDescent="0.25">
      <c r="A256" s="139" t="s">
        <v>662</v>
      </c>
      <c r="B256" s="139" t="s">
        <v>663</v>
      </c>
      <c r="C256" s="139" t="s">
        <v>664</v>
      </c>
      <c r="D256" s="139" t="s">
        <v>665</v>
      </c>
    </row>
    <row r="257" spans="1:4" x14ac:dyDescent="0.25">
      <c r="A257" s="139" t="s">
        <v>666</v>
      </c>
      <c r="B257" s="139" t="s">
        <v>663</v>
      </c>
      <c r="C257" s="139" t="s">
        <v>664</v>
      </c>
      <c r="D257" s="139" t="s">
        <v>667</v>
      </c>
    </row>
    <row r="258" spans="1:4" x14ac:dyDescent="0.25">
      <c r="A258" s="139" t="s">
        <v>668</v>
      </c>
      <c r="B258" s="139" t="s">
        <v>669</v>
      </c>
      <c r="C258" s="139" t="s">
        <v>670</v>
      </c>
      <c r="D258" s="139" t="s">
        <v>671</v>
      </c>
    </row>
    <row r="259" spans="1:4" x14ac:dyDescent="0.25">
      <c r="A259" s="139" t="s">
        <v>672</v>
      </c>
      <c r="B259" s="139" t="s">
        <v>669</v>
      </c>
      <c r="C259" s="139" t="s">
        <v>670</v>
      </c>
      <c r="D259" s="139" t="s">
        <v>673</v>
      </c>
    </row>
    <row r="260" spans="1:4" x14ac:dyDescent="0.25">
      <c r="A260" s="139" t="s">
        <v>674</v>
      </c>
      <c r="B260" s="139" t="s">
        <v>675</v>
      </c>
      <c r="C260" s="139" t="s">
        <v>670</v>
      </c>
      <c r="D260" s="139" t="s">
        <v>676</v>
      </c>
    </row>
    <row r="261" spans="1:4" x14ac:dyDescent="0.25">
      <c r="A261" s="139" t="s">
        <v>677</v>
      </c>
      <c r="B261" s="139" t="s">
        <v>675</v>
      </c>
      <c r="C261" s="139" t="s">
        <v>670</v>
      </c>
      <c r="D261" s="139" t="s">
        <v>678</v>
      </c>
    </row>
    <row r="262" spans="1:4" x14ac:dyDescent="0.25">
      <c r="A262" s="139" t="s">
        <v>679</v>
      </c>
      <c r="B262" s="139" t="s">
        <v>680</v>
      </c>
      <c r="C262" s="139" t="s">
        <v>65</v>
      </c>
      <c r="D262" s="139" t="s">
        <v>681</v>
      </c>
    </row>
    <row r="263" spans="1:4" x14ac:dyDescent="0.25">
      <c r="A263" s="139" t="s">
        <v>682</v>
      </c>
      <c r="B263" s="139" t="s">
        <v>680</v>
      </c>
      <c r="C263" s="139" t="s">
        <v>65</v>
      </c>
      <c r="D263" s="139" t="s">
        <v>683</v>
      </c>
    </row>
    <row r="264" spans="1:4" x14ac:dyDescent="0.25">
      <c r="A264" s="139" t="s">
        <v>684</v>
      </c>
      <c r="B264" s="139" t="s">
        <v>169</v>
      </c>
      <c r="C264" s="139" t="s">
        <v>123</v>
      </c>
      <c r="D264" s="139" t="s">
        <v>685</v>
      </c>
    </row>
    <row r="265" spans="1:4" x14ac:dyDescent="0.25">
      <c r="A265" s="139" t="s">
        <v>686</v>
      </c>
      <c r="B265" s="139" t="s">
        <v>687</v>
      </c>
      <c r="C265" s="139" t="s">
        <v>123</v>
      </c>
      <c r="D265" s="139" t="s">
        <v>688</v>
      </c>
    </row>
    <row r="266" spans="1:4" x14ac:dyDescent="0.25">
      <c r="A266" s="139" t="s">
        <v>689</v>
      </c>
      <c r="B266" s="139" t="s">
        <v>687</v>
      </c>
      <c r="C266" s="139" t="s">
        <v>123</v>
      </c>
      <c r="D266" s="139" t="s">
        <v>690</v>
      </c>
    </row>
    <row r="267" spans="1:4" x14ac:dyDescent="0.25">
      <c r="A267" s="139" t="s">
        <v>691</v>
      </c>
      <c r="B267" s="139" t="s">
        <v>692</v>
      </c>
      <c r="C267" s="139" t="s">
        <v>123</v>
      </c>
      <c r="D267" s="139" t="s">
        <v>693</v>
      </c>
    </row>
    <row r="268" spans="1:4" x14ac:dyDescent="0.25">
      <c r="A268" s="139" t="s">
        <v>694</v>
      </c>
      <c r="B268" s="139" t="s">
        <v>692</v>
      </c>
      <c r="C268" s="139" t="s">
        <v>123</v>
      </c>
      <c r="D268" s="139" t="s">
        <v>695</v>
      </c>
    </row>
    <row r="269" spans="1:4" x14ac:dyDescent="0.25">
      <c r="A269" s="139" t="s">
        <v>696</v>
      </c>
      <c r="B269" s="139" t="s">
        <v>697</v>
      </c>
      <c r="C269" s="139" t="s">
        <v>186</v>
      </c>
      <c r="D269" s="139" t="s">
        <v>698</v>
      </c>
    </row>
    <row r="270" spans="1:4" x14ac:dyDescent="0.25">
      <c r="A270" s="139" t="s">
        <v>699</v>
      </c>
      <c r="B270" s="139" t="s">
        <v>697</v>
      </c>
      <c r="C270" s="139" t="s">
        <v>186</v>
      </c>
      <c r="D270" s="139" t="s">
        <v>700</v>
      </c>
    </row>
    <row r="271" spans="1:4" x14ac:dyDescent="0.25">
      <c r="A271" s="139" t="s">
        <v>701</v>
      </c>
      <c r="B271" s="139" t="s">
        <v>702</v>
      </c>
      <c r="C271" s="139" t="s">
        <v>186</v>
      </c>
      <c r="D271" s="139" t="s">
        <v>703</v>
      </c>
    </row>
    <row r="272" spans="1:4" x14ac:dyDescent="0.25">
      <c r="A272" s="139" t="s">
        <v>704</v>
      </c>
      <c r="B272" s="139" t="s">
        <v>702</v>
      </c>
      <c r="C272" s="139" t="s">
        <v>186</v>
      </c>
      <c r="D272" s="139" t="s">
        <v>705</v>
      </c>
    </row>
    <row r="273" spans="1:4" x14ac:dyDescent="0.25">
      <c r="A273" s="139" t="s">
        <v>706</v>
      </c>
      <c r="B273" s="139" t="s">
        <v>707</v>
      </c>
      <c r="C273" s="139" t="s">
        <v>186</v>
      </c>
      <c r="D273" s="139" t="s">
        <v>708</v>
      </c>
    </row>
    <row r="274" spans="1:4" x14ac:dyDescent="0.25">
      <c r="A274" s="139" t="s">
        <v>709</v>
      </c>
      <c r="B274" s="139" t="s">
        <v>707</v>
      </c>
      <c r="C274" s="139" t="s">
        <v>186</v>
      </c>
      <c r="D274" s="139" t="s">
        <v>710</v>
      </c>
    </row>
    <row r="275" spans="1:4" x14ac:dyDescent="0.25">
      <c r="A275" s="139" t="s">
        <v>711</v>
      </c>
      <c r="B275" s="139" t="s">
        <v>238</v>
      </c>
      <c r="C275" s="139" t="s">
        <v>186</v>
      </c>
      <c r="D275" s="139" t="s">
        <v>712</v>
      </c>
    </row>
    <row r="276" spans="1:4" x14ac:dyDescent="0.25">
      <c r="A276" s="139" t="s">
        <v>713</v>
      </c>
      <c r="B276" s="139" t="s">
        <v>238</v>
      </c>
      <c r="C276" s="139" t="s">
        <v>186</v>
      </c>
      <c r="D276" s="139" t="s">
        <v>714</v>
      </c>
    </row>
    <row r="277" spans="1:4" x14ac:dyDescent="0.25">
      <c r="A277" s="139" t="s">
        <v>715</v>
      </c>
      <c r="B277" s="139" t="s">
        <v>716</v>
      </c>
      <c r="C277" s="139" t="s">
        <v>186</v>
      </c>
      <c r="D277" s="139" t="s">
        <v>717</v>
      </c>
    </row>
    <row r="278" spans="1:4" x14ac:dyDescent="0.25">
      <c r="A278" s="139" t="s">
        <v>718</v>
      </c>
      <c r="B278" s="139" t="s">
        <v>716</v>
      </c>
      <c r="C278" s="139" t="s">
        <v>186</v>
      </c>
      <c r="D278" s="139" t="s">
        <v>719</v>
      </c>
    </row>
    <row r="279" spans="1:4" x14ac:dyDescent="0.25">
      <c r="A279" s="139" t="s">
        <v>720</v>
      </c>
      <c r="B279" s="139" t="s">
        <v>43</v>
      </c>
      <c r="C279" s="139" t="s">
        <v>186</v>
      </c>
      <c r="D279" s="139" t="s">
        <v>721</v>
      </c>
    </row>
    <row r="280" spans="1:4" x14ac:dyDescent="0.25">
      <c r="A280" s="139" t="s">
        <v>722</v>
      </c>
      <c r="B280" s="139" t="s">
        <v>43</v>
      </c>
      <c r="C280" s="139" t="s">
        <v>186</v>
      </c>
      <c r="D280" s="139" t="s">
        <v>723</v>
      </c>
    </row>
    <row r="281" spans="1:4" x14ac:dyDescent="0.25">
      <c r="A281" s="139" t="s">
        <v>724</v>
      </c>
      <c r="B281" s="139" t="s">
        <v>725</v>
      </c>
      <c r="C281" s="139" t="s">
        <v>186</v>
      </c>
      <c r="D281" s="139" t="s">
        <v>726</v>
      </c>
    </row>
    <row r="282" spans="1:4" x14ac:dyDescent="0.25">
      <c r="A282" s="139" t="s">
        <v>727</v>
      </c>
      <c r="B282" s="139" t="s">
        <v>725</v>
      </c>
      <c r="C282" s="139" t="s">
        <v>186</v>
      </c>
      <c r="D282" s="139" t="s">
        <v>728</v>
      </c>
    </row>
    <row r="283" spans="1:4" x14ac:dyDescent="0.25">
      <c r="A283" s="139" t="s">
        <v>729</v>
      </c>
      <c r="B283" s="139" t="s">
        <v>730</v>
      </c>
      <c r="C283" s="139" t="s">
        <v>186</v>
      </c>
      <c r="D283" s="139" t="s">
        <v>731</v>
      </c>
    </row>
    <row r="284" spans="1:4" x14ac:dyDescent="0.25">
      <c r="A284" s="139" t="s">
        <v>732</v>
      </c>
      <c r="B284" s="139" t="s">
        <v>730</v>
      </c>
      <c r="C284" s="139" t="s">
        <v>186</v>
      </c>
      <c r="D284" s="139" t="s">
        <v>733</v>
      </c>
    </row>
    <row r="285" spans="1:4" x14ac:dyDescent="0.25">
      <c r="A285" s="139" t="s">
        <v>734</v>
      </c>
      <c r="B285" s="139" t="s">
        <v>735</v>
      </c>
      <c r="C285" s="139" t="s">
        <v>186</v>
      </c>
      <c r="D285" s="139" t="s">
        <v>736</v>
      </c>
    </row>
    <row r="286" spans="1:4" x14ac:dyDescent="0.25">
      <c r="A286" s="139" t="s">
        <v>737</v>
      </c>
      <c r="B286" s="139" t="s">
        <v>735</v>
      </c>
      <c r="C286" s="139" t="s">
        <v>186</v>
      </c>
      <c r="D286" s="139" t="s">
        <v>738</v>
      </c>
    </row>
    <row r="287" spans="1:4" x14ac:dyDescent="0.25">
      <c r="A287" s="139" t="s">
        <v>739</v>
      </c>
      <c r="B287" s="139" t="s">
        <v>740</v>
      </c>
      <c r="C287" s="139" t="s">
        <v>186</v>
      </c>
      <c r="D287" s="139" t="s">
        <v>741</v>
      </c>
    </row>
    <row r="288" spans="1:4" x14ac:dyDescent="0.25">
      <c r="A288" s="139" t="s">
        <v>742</v>
      </c>
      <c r="B288" s="139" t="s">
        <v>740</v>
      </c>
      <c r="C288" s="139" t="s">
        <v>186</v>
      </c>
      <c r="D288" s="139" t="s">
        <v>743</v>
      </c>
    </row>
    <row r="289" spans="1:4" x14ac:dyDescent="0.25">
      <c r="A289" s="139" t="s">
        <v>744</v>
      </c>
      <c r="B289" s="139" t="s">
        <v>740</v>
      </c>
      <c r="C289" s="139" t="s">
        <v>65</v>
      </c>
      <c r="D289" s="139" t="s">
        <v>745</v>
      </c>
    </row>
    <row r="290" spans="1:4" x14ac:dyDescent="0.25">
      <c r="A290" s="139" t="s">
        <v>746</v>
      </c>
      <c r="B290" s="139" t="s">
        <v>740</v>
      </c>
      <c r="C290" s="139" t="s">
        <v>65</v>
      </c>
      <c r="D290" s="139" t="s">
        <v>747</v>
      </c>
    </row>
    <row r="291" spans="1:4" x14ac:dyDescent="0.25">
      <c r="A291" s="139" t="s">
        <v>748</v>
      </c>
      <c r="B291" s="139" t="s">
        <v>422</v>
      </c>
      <c r="C291" s="139" t="s">
        <v>186</v>
      </c>
      <c r="D291" s="139" t="s">
        <v>749</v>
      </c>
    </row>
    <row r="292" spans="1:4" x14ac:dyDescent="0.25">
      <c r="A292" s="139" t="s">
        <v>750</v>
      </c>
      <c r="B292" s="139" t="s">
        <v>422</v>
      </c>
      <c r="C292" s="139" t="s">
        <v>186</v>
      </c>
      <c r="D292" s="139" t="s">
        <v>751</v>
      </c>
    </row>
    <row r="293" spans="1:4" x14ac:dyDescent="0.25">
      <c r="A293" s="139" t="s">
        <v>752</v>
      </c>
      <c r="B293" s="139" t="s">
        <v>54</v>
      </c>
      <c r="C293" s="139" t="s">
        <v>186</v>
      </c>
      <c r="D293" s="139" t="s">
        <v>753</v>
      </c>
    </row>
    <row r="294" spans="1:4" x14ac:dyDescent="0.25">
      <c r="A294" s="139" t="s">
        <v>754</v>
      </c>
      <c r="B294" s="139" t="s">
        <v>54</v>
      </c>
      <c r="C294" s="139" t="s">
        <v>186</v>
      </c>
      <c r="D294" s="139" t="s">
        <v>755</v>
      </c>
    </row>
    <row r="295" spans="1:4" x14ac:dyDescent="0.25">
      <c r="A295" s="139" t="s">
        <v>756</v>
      </c>
      <c r="B295" s="139" t="s">
        <v>211</v>
      </c>
      <c r="C295" s="139" t="s">
        <v>65</v>
      </c>
      <c r="D295" s="139" t="s">
        <v>757</v>
      </c>
    </row>
    <row r="296" spans="1:4" x14ac:dyDescent="0.25">
      <c r="A296" s="139" t="s">
        <v>758</v>
      </c>
      <c r="B296" s="139" t="s">
        <v>211</v>
      </c>
      <c r="C296" s="139" t="s">
        <v>65</v>
      </c>
      <c r="D296" s="139" t="s">
        <v>759</v>
      </c>
    </row>
    <row r="297" spans="1:4" x14ac:dyDescent="0.25">
      <c r="A297" s="139" t="s">
        <v>760</v>
      </c>
      <c r="B297" s="139" t="s">
        <v>172</v>
      </c>
      <c r="C297" s="139" t="s">
        <v>65</v>
      </c>
      <c r="D297" s="139" t="s">
        <v>761</v>
      </c>
    </row>
    <row r="298" spans="1:4" x14ac:dyDescent="0.25">
      <c r="A298" s="139" t="s">
        <v>762</v>
      </c>
      <c r="B298" s="139" t="s">
        <v>403</v>
      </c>
      <c r="C298" s="139" t="s">
        <v>65</v>
      </c>
      <c r="D298" s="139" t="s">
        <v>763</v>
      </c>
    </row>
    <row r="299" spans="1:4" x14ac:dyDescent="0.25">
      <c r="A299" s="139" t="s">
        <v>764</v>
      </c>
      <c r="B299" s="139" t="s">
        <v>403</v>
      </c>
      <c r="C299" s="139" t="s">
        <v>65</v>
      </c>
      <c r="D299" s="139" t="s">
        <v>765</v>
      </c>
    </row>
    <row r="300" spans="1:4" x14ac:dyDescent="0.25">
      <c r="A300" s="139" t="s">
        <v>766</v>
      </c>
      <c r="B300" s="139" t="s">
        <v>400</v>
      </c>
      <c r="C300" s="139" t="s">
        <v>65</v>
      </c>
      <c r="D300" s="139" t="s">
        <v>767</v>
      </c>
    </row>
    <row r="301" spans="1:4" x14ac:dyDescent="0.25">
      <c r="A301" s="139" t="s">
        <v>768</v>
      </c>
      <c r="B301" s="139" t="s">
        <v>400</v>
      </c>
      <c r="C301" s="139" t="s">
        <v>65</v>
      </c>
      <c r="D301" s="139" t="s">
        <v>769</v>
      </c>
    </row>
    <row r="302" spans="1:4" x14ac:dyDescent="0.25">
      <c r="A302" s="139" t="s">
        <v>770</v>
      </c>
      <c r="B302" s="139" t="s">
        <v>397</v>
      </c>
      <c r="C302" s="139" t="s">
        <v>65</v>
      </c>
      <c r="D302" s="139" t="s">
        <v>771</v>
      </c>
    </row>
    <row r="303" spans="1:4" x14ac:dyDescent="0.25">
      <c r="A303" s="139" t="s">
        <v>772</v>
      </c>
      <c r="B303" s="139" t="s">
        <v>397</v>
      </c>
      <c r="C303" s="139" t="s">
        <v>65</v>
      </c>
      <c r="D303" s="139" t="s">
        <v>773</v>
      </c>
    </row>
    <row r="304" spans="1:4" x14ac:dyDescent="0.25">
      <c r="A304" s="139" t="s">
        <v>774</v>
      </c>
      <c r="B304" s="139" t="s">
        <v>775</v>
      </c>
      <c r="C304" s="139" t="s">
        <v>33</v>
      </c>
      <c r="D304" s="139" t="s">
        <v>776</v>
      </c>
    </row>
    <row r="305" spans="1:4" x14ac:dyDescent="0.25">
      <c r="A305" s="139" t="s">
        <v>777</v>
      </c>
      <c r="B305" s="139" t="s">
        <v>775</v>
      </c>
      <c r="C305" s="139" t="s">
        <v>33</v>
      </c>
      <c r="D305" s="139" t="s">
        <v>778</v>
      </c>
    </row>
    <row r="306" spans="1:4" x14ac:dyDescent="0.25">
      <c r="A306" s="139" t="s">
        <v>779</v>
      </c>
      <c r="B306" s="139" t="s">
        <v>780</v>
      </c>
      <c r="C306" s="139" t="s">
        <v>33</v>
      </c>
      <c r="D306" s="139" t="s">
        <v>781</v>
      </c>
    </row>
    <row r="307" spans="1:4" x14ac:dyDescent="0.25">
      <c r="A307" s="139" t="s">
        <v>782</v>
      </c>
      <c r="B307" s="139" t="s">
        <v>780</v>
      </c>
      <c r="C307" s="139" t="s">
        <v>33</v>
      </c>
      <c r="D307" s="139" t="s">
        <v>783</v>
      </c>
    </row>
    <row r="308" spans="1:4" x14ac:dyDescent="0.25">
      <c r="A308" s="139" t="s">
        <v>784</v>
      </c>
      <c r="B308" s="139" t="s">
        <v>785</v>
      </c>
      <c r="C308" s="139" t="s">
        <v>33</v>
      </c>
      <c r="D308" s="139" t="s">
        <v>786</v>
      </c>
    </row>
    <row r="309" spans="1:4" x14ac:dyDescent="0.25">
      <c r="A309" s="139" t="s">
        <v>787</v>
      </c>
      <c r="B309" s="139" t="s">
        <v>785</v>
      </c>
      <c r="C309" s="139" t="s">
        <v>33</v>
      </c>
      <c r="D309" s="139" t="s">
        <v>788</v>
      </c>
    </row>
    <row r="310" spans="1:4" x14ac:dyDescent="0.25">
      <c r="A310" s="139" t="s">
        <v>789</v>
      </c>
      <c r="B310" s="139" t="s">
        <v>790</v>
      </c>
      <c r="C310" s="139" t="s">
        <v>33</v>
      </c>
      <c r="D310" s="139" t="s">
        <v>791</v>
      </c>
    </row>
    <row r="311" spans="1:4" x14ac:dyDescent="0.25">
      <c r="A311" s="139" t="s">
        <v>792</v>
      </c>
      <c r="B311" s="139" t="s">
        <v>790</v>
      </c>
      <c r="C311" s="139" t="s">
        <v>33</v>
      </c>
      <c r="D311" s="139" t="s">
        <v>793</v>
      </c>
    </row>
    <row r="312" spans="1:4" x14ac:dyDescent="0.25">
      <c r="A312" s="139" t="s">
        <v>794</v>
      </c>
      <c r="B312" s="139" t="s">
        <v>795</v>
      </c>
      <c r="C312" s="139" t="s">
        <v>33</v>
      </c>
      <c r="D312" s="139" t="s">
        <v>796</v>
      </c>
    </row>
    <row r="313" spans="1:4" x14ac:dyDescent="0.25">
      <c r="A313" s="139" t="s">
        <v>797</v>
      </c>
      <c r="B313" s="139" t="s">
        <v>795</v>
      </c>
      <c r="C313" s="139" t="s">
        <v>33</v>
      </c>
      <c r="D313" s="139" t="s">
        <v>798</v>
      </c>
    </row>
    <row r="314" spans="1:4" x14ac:dyDescent="0.25">
      <c r="A314" s="139" t="s">
        <v>799</v>
      </c>
      <c r="B314" s="139" t="s">
        <v>257</v>
      </c>
      <c r="C314" s="139" t="s">
        <v>33</v>
      </c>
      <c r="D314" s="139" t="s">
        <v>800</v>
      </c>
    </row>
    <row r="315" spans="1:4" x14ac:dyDescent="0.25">
      <c r="A315" s="139" t="s">
        <v>801</v>
      </c>
      <c r="B315" s="139" t="s">
        <v>802</v>
      </c>
      <c r="C315" s="139" t="s">
        <v>33</v>
      </c>
      <c r="D315" s="139" t="s">
        <v>803</v>
      </c>
    </row>
    <row r="316" spans="1:4" x14ac:dyDescent="0.25">
      <c r="A316" s="139" t="s">
        <v>804</v>
      </c>
      <c r="B316" s="139" t="s">
        <v>802</v>
      </c>
      <c r="C316" s="139" t="s">
        <v>33</v>
      </c>
      <c r="D316" s="139" t="s">
        <v>805</v>
      </c>
    </row>
    <row r="317" spans="1:4" x14ac:dyDescent="0.25">
      <c r="A317" s="139" t="s">
        <v>806</v>
      </c>
      <c r="B317" s="139" t="s">
        <v>807</v>
      </c>
      <c r="C317" s="139" t="s">
        <v>33</v>
      </c>
      <c r="D317" s="139" t="s">
        <v>808</v>
      </c>
    </row>
    <row r="318" spans="1:4" x14ac:dyDescent="0.25">
      <c r="A318" s="139" t="s">
        <v>809</v>
      </c>
      <c r="B318" s="139" t="s">
        <v>807</v>
      </c>
      <c r="C318" s="139" t="s">
        <v>33</v>
      </c>
      <c r="D318" s="139" t="s">
        <v>810</v>
      </c>
    </row>
    <row r="319" spans="1:4" x14ac:dyDescent="0.25">
      <c r="A319" s="139" t="s">
        <v>811</v>
      </c>
      <c r="B319" s="139" t="s">
        <v>812</v>
      </c>
      <c r="C319" s="139" t="s">
        <v>33</v>
      </c>
      <c r="D319" s="139" t="s">
        <v>813</v>
      </c>
    </row>
    <row r="320" spans="1:4" x14ac:dyDescent="0.25">
      <c r="A320" s="139" t="s">
        <v>814</v>
      </c>
      <c r="B320" s="139" t="s">
        <v>812</v>
      </c>
      <c r="C320" s="139" t="s">
        <v>33</v>
      </c>
      <c r="D320" s="139" t="s">
        <v>815</v>
      </c>
    </row>
    <row r="321" spans="1:4" x14ac:dyDescent="0.25">
      <c r="A321" s="139" t="s">
        <v>816</v>
      </c>
      <c r="B321" s="139" t="s">
        <v>817</v>
      </c>
      <c r="C321" s="139" t="s">
        <v>33</v>
      </c>
      <c r="D321" s="139" t="s">
        <v>818</v>
      </c>
    </row>
    <row r="322" spans="1:4" x14ac:dyDescent="0.25">
      <c r="A322" s="139" t="s">
        <v>819</v>
      </c>
      <c r="B322" s="139" t="s">
        <v>817</v>
      </c>
      <c r="C322" s="139" t="s">
        <v>33</v>
      </c>
      <c r="D322" s="139" t="s">
        <v>820</v>
      </c>
    </row>
    <row r="323" spans="1:4" x14ac:dyDescent="0.25">
      <c r="A323" s="139" t="s">
        <v>821</v>
      </c>
      <c r="B323" s="139" t="s">
        <v>822</v>
      </c>
      <c r="C323" s="139" t="s">
        <v>33</v>
      </c>
      <c r="D323" s="139" t="s">
        <v>823</v>
      </c>
    </row>
    <row r="324" spans="1:4" x14ac:dyDescent="0.25">
      <c r="A324" s="139" t="s">
        <v>824</v>
      </c>
      <c r="B324" s="139" t="s">
        <v>822</v>
      </c>
      <c r="C324" s="139" t="s">
        <v>33</v>
      </c>
      <c r="D324" s="139" t="s">
        <v>825</v>
      </c>
    </row>
    <row r="325" spans="1:4" x14ac:dyDescent="0.25">
      <c r="A325" s="139" t="s">
        <v>826</v>
      </c>
      <c r="B325" s="139" t="s">
        <v>827</v>
      </c>
      <c r="C325" s="139" t="s">
        <v>33</v>
      </c>
      <c r="D325" s="139" t="s">
        <v>828</v>
      </c>
    </row>
    <row r="326" spans="1:4" x14ac:dyDescent="0.25">
      <c r="A326" s="139" t="s">
        <v>829</v>
      </c>
      <c r="B326" s="139" t="s">
        <v>827</v>
      </c>
      <c r="C326" s="139" t="s">
        <v>33</v>
      </c>
      <c r="D326" s="139" t="s">
        <v>830</v>
      </c>
    </row>
    <row r="327" spans="1:4" x14ac:dyDescent="0.25">
      <c r="A327" s="139" t="s">
        <v>831</v>
      </c>
      <c r="B327" s="139" t="s">
        <v>832</v>
      </c>
      <c r="C327" s="139" t="s">
        <v>33</v>
      </c>
      <c r="D327" s="139" t="s">
        <v>833</v>
      </c>
    </row>
    <row r="328" spans="1:4" x14ac:dyDescent="0.25">
      <c r="A328" s="139" t="s">
        <v>834</v>
      </c>
      <c r="B328" s="139" t="s">
        <v>832</v>
      </c>
      <c r="C328" s="139" t="s">
        <v>33</v>
      </c>
      <c r="D328" s="139" t="s">
        <v>835</v>
      </c>
    </row>
    <row r="329" spans="1:4" x14ac:dyDescent="0.25">
      <c r="A329" s="139" t="s">
        <v>836</v>
      </c>
      <c r="B329" s="139" t="s">
        <v>837</v>
      </c>
      <c r="C329" s="139" t="s">
        <v>838</v>
      </c>
      <c r="D329" s="139" t="s">
        <v>839</v>
      </c>
    </row>
    <row r="330" spans="1:4" x14ac:dyDescent="0.25">
      <c r="A330" s="139" t="s">
        <v>840</v>
      </c>
      <c r="B330" s="139" t="s">
        <v>837</v>
      </c>
      <c r="C330" s="139" t="s">
        <v>838</v>
      </c>
      <c r="D330" s="139" t="s">
        <v>841</v>
      </c>
    </row>
    <row r="331" spans="1:4" x14ac:dyDescent="0.25">
      <c r="A331" s="139" t="s">
        <v>842</v>
      </c>
      <c r="B331" s="139" t="s">
        <v>843</v>
      </c>
      <c r="C331" s="139" t="s">
        <v>65</v>
      </c>
      <c r="D331" s="139" t="s">
        <v>844</v>
      </c>
    </row>
    <row r="332" spans="1:4" x14ac:dyDescent="0.25">
      <c r="A332" s="139" t="s">
        <v>845</v>
      </c>
      <c r="B332" s="139" t="s">
        <v>843</v>
      </c>
      <c r="C332" s="139" t="s">
        <v>65</v>
      </c>
      <c r="D332" s="139" t="s">
        <v>846</v>
      </c>
    </row>
    <row r="333" spans="1:4" x14ac:dyDescent="0.25">
      <c r="A333" s="139" t="s">
        <v>847</v>
      </c>
      <c r="B333" s="139" t="s">
        <v>848</v>
      </c>
      <c r="C333" s="139" t="s">
        <v>375</v>
      </c>
      <c r="D333" s="139" t="s">
        <v>849</v>
      </c>
    </row>
    <row r="334" spans="1:4" x14ac:dyDescent="0.25">
      <c r="A334" s="139" t="s">
        <v>850</v>
      </c>
      <c r="B334" s="139" t="s">
        <v>848</v>
      </c>
      <c r="C334" s="139" t="s">
        <v>375</v>
      </c>
      <c r="D334" s="139" t="s">
        <v>851</v>
      </c>
    </row>
    <row r="335" spans="1:4" x14ac:dyDescent="0.25">
      <c r="A335" s="139" t="s">
        <v>852</v>
      </c>
      <c r="B335" s="139" t="s">
        <v>853</v>
      </c>
      <c r="C335" s="139" t="s">
        <v>375</v>
      </c>
      <c r="D335" s="139" t="s">
        <v>854</v>
      </c>
    </row>
    <row r="336" spans="1:4" x14ac:dyDescent="0.25">
      <c r="A336" s="139" t="s">
        <v>855</v>
      </c>
      <c r="B336" s="139" t="s">
        <v>853</v>
      </c>
      <c r="C336" s="139" t="s">
        <v>375</v>
      </c>
      <c r="D336" s="139" t="s">
        <v>856</v>
      </c>
    </row>
    <row r="337" spans="1:4" x14ac:dyDescent="0.25">
      <c r="A337" s="139" t="s">
        <v>857</v>
      </c>
      <c r="B337" s="139" t="s">
        <v>858</v>
      </c>
      <c r="C337" s="139" t="s">
        <v>375</v>
      </c>
      <c r="D337" s="139" t="s">
        <v>859</v>
      </c>
    </row>
    <row r="338" spans="1:4" x14ac:dyDescent="0.25">
      <c r="A338" s="139" t="s">
        <v>860</v>
      </c>
      <c r="B338" s="139" t="s">
        <v>858</v>
      </c>
      <c r="C338" s="139" t="s">
        <v>375</v>
      </c>
      <c r="D338" s="139" t="s">
        <v>861</v>
      </c>
    </row>
    <row r="339" spans="1:4" x14ac:dyDescent="0.25">
      <c r="A339" s="139" t="s">
        <v>862</v>
      </c>
      <c r="B339" s="139" t="s">
        <v>384</v>
      </c>
      <c r="C339" s="139" t="s">
        <v>375</v>
      </c>
      <c r="D339" s="139" t="s">
        <v>863</v>
      </c>
    </row>
    <row r="340" spans="1:4" x14ac:dyDescent="0.25">
      <c r="A340" s="139" t="s">
        <v>864</v>
      </c>
      <c r="B340" s="139" t="s">
        <v>384</v>
      </c>
      <c r="C340" s="139" t="s">
        <v>375</v>
      </c>
      <c r="D340" s="139" t="s">
        <v>865</v>
      </c>
    </row>
    <row r="341" spans="1:4" x14ac:dyDescent="0.25">
      <c r="A341" s="139" t="s">
        <v>866</v>
      </c>
      <c r="B341" s="139" t="s">
        <v>381</v>
      </c>
      <c r="C341" s="139" t="s">
        <v>375</v>
      </c>
      <c r="D341" s="139" t="s">
        <v>867</v>
      </c>
    </row>
    <row r="342" spans="1:4" x14ac:dyDescent="0.25">
      <c r="A342" s="139" t="s">
        <v>868</v>
      </c>
      <c r="B342" s="139" t="s">
        <v>381</v>
      </c>
      <c r="C342" s="139" t="s">
        <v>375</v>
      </c>
      <c r="D342" s="139" t="s">
        <v>869</v>
      </c>
    </row>
    <row r="343" spans="1:4" x14ac:dyDescent="0.25">
      <c r="A343" s="139" t="s">
        <v>870</v>
      </c>
      <c r="B343" s="139" t="s">
        <v>378</v>
      </c>
      <c r="C343" s="139" t="s">
        <v>375</v>
      </c>
      <c r="D343" s="139" t="s">
        <v>871</v>
      </c>
    </row>
    <row r="344" spans="1:4" x14ac:dyDescent="0.25">
      <c r="A344" s="139" t="s">
        <v>872</v>
      </c>
      <c r="B344" s="139" t="s">
        <v>378</v>
      </c>
      <c r="C344" s="139" t="s">
        <v>375</v>
      </c>
      <c r="D344" s="139" t="s">
        <v>873</v>
      </c>
    </row>
    <row r="345" spans="1:4" x14ac:dyDescent="0.25">
      <c r="A345" s="139" t="s">
        <v>874</v>
      </c>
      <c r="B345" s="139" t="s">
        <v>875</v>
      </c>
      <c r="C345" s="139" t="s">
        <v>65</v>
      </c>
      <c r="D345" s="139" t="s">
        <v>876</v>
      </c>
    </row>
    <row r="346" spans="1:4" x14ac:dyDescent="0.25">
      <c r="A346" s="139" t="s">
        <v>877</v>
      </c>
      <c r="B346" s="139" t="s">
        <v>875</v>
      </c>
      <c r="C346" s="139" t="s">
        <v>65</v>
      </c>
      <c r="D346" s="139" t="s">
        <v>878</v>
      </c>
    </row>
    <row r="347" spans="1:4" x14ac:dyDescent="0.25">
      <c r="A347" s="139" t="s">
        <v>879</v>
      </c>
      <c r="B347" s="139" t="s">
        <v>880</v>
      </c>
      <c r="C347" s="139" t="s">
        <v>123</v>
      </c>
      <c r="D347" s="139" t="s">
        <v>881</v>
      </c>
    </row>
    <row r="348" spans="1:4" x14ac:dyDescent="0.25">
      <c r="A348" s="139" t="s">
        <v>882</v>
      </c>
      <c r="B348" s="139" t="s">
        <v>880</v>
      </c>
      <c r="C348" s="139" t="s">
        <v>123</v>
      </c>
      <c r="D348" s="139" t="s">
        <v>883</v>
      </c>
    </row>
    <row r="349" spans="1:4" x14ac:dyDescent="0.25">
      <c r="A349" s="139" t="s">
        <v>884</v>
      </c>
      <c r="B349" s="139" t="s">
        <v>885</v>
      </c>
      <c r="C349" s="139" t="s">
        <v>65</v>
      </c>
      <c r="D349" s="139" t="s">
        <v>886</v>
      </c>
    </row>
    <row r="350" spans="1:4" x14ac:dyDescent="0.25">
      <c r="A350" s="139" t="s">
        <v>887</v>
      </c>
      <c r="B350" s="139" t="s">
        <v>885</v>
      </c>
      <c r="C350" s="139" t="s">
        <v>65</v>
      </c>
      <c r="D350" s="139" t="s">
        <v>888</v>
      </c>
    </row>
    <row r="351" spans="1:4" x14ac:dyDescent="0.25">
      <c r="A351" s="139" t="s">
        <v>889</v>
      </c>
      <c r="B351" s="139" t="s">
        <v>890</v>
      </c>
      <c r="C351" s="139" t="s">
        <v>33</v>
      </c>
      <c r="D351" s="139" t="s">
        <v>891</v>
      </c>
    </row>
    <row r="352" spans="1:4" x14ac:dyDescent="0.25">
      <c r="A352" s="139" t="s">
        <v>892</v>
      </c>
      <c r="B352" s="139" t="s">
        <v>890</v>
      </c>
      <c r="C352" s="139" t="s">
        <v>33</v>
      </c>
      <c r="D352" s="139" t="s">
        <v>893</v>
      </c>
    </row>
    <row r="353" spans="1:4" x14ac:dyDescent="0.25">
      <c r="A353" s="139" t="s">
        <v>894</v>
      </c>
      <c r="B353" s="139" t="s">
        <v>895</v>
      </c>
      <c r="C353" s="139" t="s">
        <v>112</v>
      </c>
      <c r="D353" s="139" t="s">
        <v>896</v>
      </c>
    </row>
    <row r="354" spans="1:4" x14ac:dyDescent="0.25">
      <c r="A354" s="139" t="s">
        <v>897</v>
      </c>
      <c r="B354" s="139" t="s">
        <v>895</v>
      </c>
      <c r="C354" s="139" t="s">
        <v>112</v>
      </c>
      <c r="D354" s="139" t="s">
        <v>898</v>
      </c>
    </row>
    <row r="355" spans="1:4" x14ac:dyDescent="0.25">
      <c r="A355" s="139" t="s">
        <v>899</v>
      </c>
      <c r="B355" s="139" t="s">
        <v>875</v>
      </c>
      <c r="C355" s="139" t="s">
        <v>112</v>
      </c>
      <c r="D355" s="139" t="s">
        <v>900</v>
      </c>
    </row>
    <row r="356" spans="1:4" x14ac:dyDescent="0.25">
      <c r="A356" s="139" t="s">
        <v>901</v>
      </c>
      <c r="B356" s="139" t="s">
        <v>875</v>
      </c>
      <c r="C356" s="139" t="s">
        <v>112</v>
      </c>
      <c r="D356" s="139" t="s">
        <v>902</v>
      </c>
    </row>
    <row r="357" spans="1:4" x14ac:dyDescent="0.25">
      <c r="A357" s="139" t="s">
        <v>903</v>
      </c>
      <c r="B357" s="139" t="s">
        <v>904</v>
      </c>
      <c r="C357" s="139" t="s">
        <v>65</v>
      </c>
      <c r="D357" s="139" t="s">
        <v>905</v>
      </c>
    </row>
    <row r="358" spans="1:4" x14ac:dyDescent="0.25">
      <c r="A358" s="139" t="s">
        <v>906</v>
      </c>
      <c r="B358" s="139" t="s">
        <v>904</v>
      </c>
      <c r="C358" s="139" t="s">
        <v>65</v>
      </c>
      <c r="D358" s="139" t="s">
        <v>907</v>
      </c>
    </row>
    <row r="359" spans="1:4" x14ac:dyDescent="0.25">
      <c r="A359" s="139" t="s">
        <v>908</v>
      </c>
      <c r="B359" s="139" t="s">
        <v>909</v>
      </c>
      <c r="C359" s="139" t="s">
        <v>112</v>
      </c>
      <c r="D359" s="139" t="s">
        <v>910</v>
      </c>
    </row>
    <row r="360" spans="1:4" x14ac:dyDescent="0.25">
      <c r="A360" s="139" t="s">
        <v>911</v>
      </c>
      <c r="B360" s="139" t="s">
        <v>909</v>
      </c>
      <c r="C360" s="139" t="s">
        <v>112</v>
      </c>
      <c r="D360" s="139" t="s">
        <v>912</v>
      </c>
    </row>
    <row r="361" spans="1:4" x14ac:dyDescent="0.25">
      <c r="A361" s="139" t="s">
        <v>913</v>
      </c>
      <c r="B361" s="139" t="s">
        <v>914</v>
      </c>
      <c r="C361" s="139" t="s">
        <v>112</v>
      </c>
      <c r="D361" s="139" t="s">
        <v>915</v>
      </c>
    </row>
    <row r="362" spans="1:4" x14ac:dyDescent="0.25">
      <c r="A362" s="139" t="s">
        <v>916</v>
      </c>
      <c r="B362" s="139" t="s">
        <v>914</v>
      </c>
      <c r="C362" s="139" t="s">
        <v>112</v>
      </c>
      <c r="D362" s="139" t="s">
        <v>917</v>
      </c>
    </row>
    <row r="363" spans="1:4" x14ac:dyDescent="0.25">
      <c r="A363" s="139" t="s">
        <v>918</v>
      </c>
      <c r="B363" s="139" t="s">
        <v>919</v>
      </c>
      <c r="C363" s="139" t="s">
        <v>112</v>
      </c>
      <c r="D363" s="139" t="s">
        <v>920</v>
      </c>
    </row>
    <row r="364" spans="1:4" x14ac:dyDescent="0.25">
      <c r="A364" s="139" t="s">
        <v>921</v>
      </c>
      <c r="B364" s="139" t="s">
        <v>919</v>
      </c>
      <c r="C364" s="139" t="s">
        <v>112</v>
      </c>
      <c r="D364" s="139" t="s">
        <v>922</v>
      </c>
    </row>
    <row r="365" spans="1:4" x14ac:dyDescent="0.25">
      <c r="A365" s="139" t="s">
        <v>923</v>
      </c>
      <c r="B365" s="139" t="s">
        <v>924</v>
      </c>
      <c r="C365" s="139" t="s">
        <v>112</v>
      </c>
      <c r="D365" s="139" t="s">
        <v>925</v>
      </c>
    </row>
    <row r="366" spans="1:4" x14ac:dyDescent="0.25">
      <c r="A366" s="139" t="s">
        <v>926</v>
      </c>
      <c r="B366" s="139" t="s">
        <v>924</v>
      </c>
      <c r="C366" s="139" t="s">
        <v>112</v>
      </c>
      <c r="D366" s="139" t="s">
        <v>927</v>
      </c>
    </row>
    <row r="367" spans="1:4" x14ac:dyDescent="0.25">
      <c r="A367" s="139" t="s">
        <v>928</v>
      </c>
      <c r="B367" s="139" t="s">
        <v>929</v>
      </c>
      <c r="C367" s="139" t="s">
        <v>112</v>
      </c>
      <c r="D367" s="139" t="s">
        <v>930</v>
      </c>
    </row>
    <row r="368" spans="1:4" x14ac:dyDescent="0.25">
      <c r="A368" s="139" t="s">
        <v>931</v>
      </c>
      <c r="B368" s="139" t="s">
        <v>929</v>
      </c>
      <c r="C368" s="139" t="s">
        <v>112</v>
      </c>
      <c r="D368" s="139" t="s">
        <v>932</v>
      </c>
    </row>
    <row r="369" spans="1:4" x14ac:dyDescent="0.25">
      <c r="A369" s="139" t="s">
        <v>933</v>
      </c>
      <c r="B369" s="139" t="s">
        <v>934</v>
      </c>
      <c r="C369" s="139" t="s">
        <v>112</v>
      </c>
      <c r="D369" s="139" t="s">
        <v>935</v>
      </c>
    </row>
    <row r="370" spans="1:4" x14ac:dyDescent="0.25">
      <c r="A370" s="139" t="s">
        <v>936</v>
      </c>
      <c r="B370" s="139" t="s">
        <v>934</v>
      </c>
      <c r="C370" s="139" t="s">
        <v>112</v>
      </c>
      <c r="D370" s="139" t="s">
        <v>937</v>
      </c>
    </row>
    <row r="371" spans="1:4" x14ac:dyDescent="0.25">
      <c r="A371" s="139" t="s">
        <v>938</v>
      </c>
      <c r="B371" s="139" t="s">
        <v>939</v>
      </c>
      <c r="C371" s="139" t="s">
        <v>112</v>
      </c>
      <c r="D371" s="139" t="s">
        <v>940</v>
      </c>
    </row>
    <row r="372" spans="1:4" x14ac:dyDescent="0.25">
      <c r="A372" s="139" t="s">
        <v>941</v>
      </c>
      <c r="B372" s="139" t="s">
        <v>939</v>
      </c>
      <c r="C372" s="139" t="s">
        <v>112</v>
      </c>
      <c r="D372" s="139" t="s">
        <v>942</v>
      </c>
    </row>
    <row r="373" spans="1:4" x14ac:dyDescent="0.25">
      <c r="A373" s="139" t="s">
        <v>943</v>
      </c>
      <c r="B373" s="139" t="s">
        <v>944</v>
      </c>
      <c r="C373" s="139" t="s">
        <v>112</v>
      </c>
      <c r="D373" s="139" t="s">
        <v>945</v>
      </c>
    </row>
    <row r="374" spans="1:4" x14ac:dyDescent="0.25">
      <c r="A374" s="139" t="s">
        <v>946</v>
      </c>
      <c r="B374" s="139" t="s">
        <v>944</v>
      </c>
      <c r="C374" s="139" t="s">
        <v>112</v>
      </c>
      <c r="D374" s="139" t="s">
        <v>947</v>
      </c>
    </row>
    <row r="375" spans="1:4" x14ac:dyDescent="0.25">
      <c r="A375" s="139" t="s">
        <v>948</v>
      </c>
      <c r="B375" s="139" t="s">
        <v>949</v>
      </c>
      <c r="C375" s="139" t="s">
        <v>112</v>
      </c>
      <c r="D375" s="139" t="s">
        <v>950</v>
      </c>
    </row>
    <row r="376" spans="1:4" x14ac:dyDescent="0.25">
      <c r="A376" s="139" t="s">
        <v>951</v>
      </c>
      <c r="B376" s="139" t="s">
        <v>949</v>
      </c>
      <c r="C376" s="139" t="s">
        <v>112</v>
      </c>
      <c r="D376" s="139" t="s">
        <v>952</v>
      </c>
    </row>
    <row r="377" spans="1:4" x14ac:dyDescent="0.25">
      <c r="A377" s="139" t="s">
        <v>953</v>
      </c>
      <c r="B377" s="139" t="s">
        <v>954</v>
      </c>
      <c r="C377" s="139" t="s">
        <v>112</v>
      </c>
      <c r="D377" s="139" t="s">
        <v>955</v>
      </c>
    </row>
    <row r="378" spans="1:4" x14ac:dyDescent="0.25">
      <c r="A378" s="139" t="s">
        <v>956</v>
      </c>
      <c r="B378" s="139" t="s">
        <v>954</v>
      </c>
      <c r="C378" s="139" t="s">
        <v>112</v>
      </c>
      <c r="D378" s="139" t="s">
        <v>957</v>
      </c>
    </row>
    <row r="379" spans="1:4" x14ac:dyDescent="0.25">
      <c r="A379" s="139" t="s">
        <v>958</v>
      </c>
      <c r="B379" s="139" t="s">
        <v>959</v>
      </c>
      <c r="C379" s="139" t="s">
        <v>112</v>
      </c>
      <c r="D379" s="139" t="s">
        <v>960</v>
      </c>
    </row>
    <row r="380" spans="1:4" x14ac:dyDescent="0.25">
      <c r="A380" s="139" t="s">
        <v>961</v>
      </c>
      <c r="B380" s="139" t="s">
        <v>959</v>
      </c>
      <c r="C380" s="139" t="s">
        <v>112</v>
      </c>
      <c r="D380" s="139" t="s">
        <v>962</v>
      </c>
    </row>
    <row r="381" spans="1:4" x14ac:dyDescent="0.25">
      <c r="A381" s="139" t="s">
        <v>963</v>
      </c>
      <c r="B381" s="139" t="s">
        <v>964</v>
      </c>
      <c r="C381" s="139" t="s">
        <v>112</v>
      </c>
      <c r="D381" s="139" t="s">
        <v>965</v>
      </c>
    </row>
    <row r="382" spans="1:4" x14ac:dyDescent="0.25">
      <c r="A382" s="139" t="s">
        <v>966</v>
      </c>
      <c r="B382" s="139" t="s">
        <v>964</v>
      </c>
      <c r="C382" s="139" t="s">
        <v>112</v>
      </c>
      <c r="D382" s="139" t="s">
        <v>967</v>
      </c>
    </row>
    <row r="383" spans="1:4" x14ac:dyDescent="0.25">
      <c r="A383" s="139" t="s">
        <v>968</v>
      </c>
      <c r="B383" s="139" t="s">
        <v>969</v>
      </c>
      <c r="C383" s="139" t="s">
        <v>112</v>
      </c>
      <c r="D383" s="139" t="s">
        <v>970</v>
      </c>
    </row>
    <row r="384" spans="1:4" x14ac:dyDescent="0.25">
      <c r="A384" s="139" t="s">
        <v>971</v>
      </c>
      <c r="B384" s="139" t="s">
        <v>969</v>
      </c>
      <c r="C384" s="139" t="s">
        <v>112</v>
      </c>
      <c r="D384" s="139" t="s">
        <v>972</v>
      </c>
    </row>
    <row r="385" spans="1:4" x14ac:dyDescent="0.25">
      <c r="A385" s="139" t="s">
        <v>973</v>
      </c>
      <c r="B385" s="139" t="s">
        <v>974</v>
      </c>
      <c r="C385" s="139" t="s">
        <v>112</v>
      </c>
      <c r="D385" s="139" t="s">
        <v>975</v>
      </c>
    </row>
    <row r="386" spans="1:4" x14ac:dyDescent="0.25">
      <c r="A386" s="139" t="s">
        <v>976</v>
      </c>
      <c r="B386" s="139" t="s">
        <v>974</v>
      </c>
      <c r="C386" s="139" t="s">
        <v>112</v>
      </c>
      <c r="D386" s="139" t="s">
        <v>977</v>
      </c>
    </row>
    <row r="387" spans="1:4" x14ac:dyDescent="0.25">
      <c r="A387" s="139" t="s">
        <v>978</v>
      </c>
      <c r="B387" s="139" t="s">
        <v>979</v>
      </c>
      <c r="C387" s="139" t="s">
        <v>112</v>
      </c>
      <c r="D387" s="139" t="s">
        <v>980</v>
      </c>
    </row>
    <row r="388" spans="1:4" x14ac:dyDescent="0.25">
      <c r="A388" s="139" t="s">
        <v>981</v>
      </c>
      <c r="B388" s="139" t="s">
        <v>979</v>
      </c>
      <c r="C388" s="139" t="s">
        <v>112</v>
      </c>
      <c r="D388" s="139" t="s">
        <v>982</v>
      </c>
    </row>
    <row r="389" spans="1:4" x14ac:dyDescent="0.25">
      <c r="A389" s="139" t="s">
        <v>983</v>
      </c>
      <c r="B389" s="139" t="s">
        <v>984</v>
      </c>
      <c r="C389" s="139" t="s">
        <v>112</v>
      </c>
      <c r="D389" s="139" t="s">
        <v>985</v>
      </c>
    </row>
    <row r="390" spans="1:4" x14ac:dyDescent="0.25">
      <c r="A390" s="139" t="s">
        <v>986</v>
      </c>
      <c r="B390" s="139" t="s">
        <v>984</v>
      </c>
      <c r="C390" s="139" t="s">
        <v>112</v>
      </c>
      <c r="D390" s="139" t="s">
        <v>987</v>
      </c>
    </row>
    <row r="391" spans="1:4" x14ac:dyDescent="0.25">
      <c r="A391" s="139" t="s">
        <v>988</v>
      </c>
      <c r="B391" s="139" t="s">
        <v>989</v>
      </c>
      <c r="C391" s="139" t="s">
        <v>664</v>
      </c>
      <c r="D391" s="139" t="s">
        <v>990</v>
      </c>
    </row>
    <row r="392" spans="1:4" x14ac:dyDescent="0.25">
      <c r="A392" s="139" t="s">
        <v>991</v>
      </c>
      <c r="B392" s="139" t="s">
        <v>989</v>
      </c>
      <c r="C392" s="139" t="s">
        <v>664</v>
      </c>
      <c r="D392" s="139" t="s">
        <v>992</v>
      </c>
    </row>
    <row r="393" spans="1:4" x14ac:dyDescent="0.25">
      <c r="A393" s="139" t="s">
        <v>993</v>
      </c>
      <c r="B393" s="139" t="s">
        <v>994</v>
      </c>
      <c r="C393" s="139" t="s">
        <v>664</v>
      </c>
      <c r="D393" s="139" t="s">
        <v>995</v>
      </c>
    </row>
    <row r="394" spans="1:4" x14ac:dyDescent="0.25">
      <c r="A394" s="139" t="s">
        <v>996</v>
      </c>
      <c r="B394" s="139" t="s">
        <v>994</v>
      </c>
      <c r="C394" s="139" t="s">
        <v>664</v>
      </c>
      <c r="D394" s="139" t="s">
        <v>997</v>
      </c>
    </row>
    <row r="395" spans="1:4" x14ac:dyDescent="0.25">
      <c r="A395" s="139" t="s">
        <v>998</v>
      </c>
      <c r="B395" s="139" t="s">
        <v>999</v>
      </c>
      <c r="C395" s="139" t="s">
        <v>112</v>
      </c>
      <c r="D395" s="139" t="s">
        <v>1000</v>
      </c>
    </row>
    <row r="396" spans="1:4" x14ac:dyDescent="0.25">
      <c r="A396" s="139" t="s">
        <v>1001</v>
      </c>
      <c r="B396" s="139" t="s">
        <v>999</v>
      </c>
      <c r="C396" s="139" t="s">
        <v>112</v>
      </c>
      <c r="D396" s="139" t="s">
        <v>1002</v>
      </c>
    </row>
    <row r="397" spans="1:4" x14ac:dyDescent="0.25">
      <c r="A397" s="139" t="s">
        <v>1003</v>
      </c>
      <c r="B397" s="139" t="s">
        <v>1004</v>
      </c>
      <c r="C397" s="139" t="s">
        <v>112</v>
      </c>
      <c r="D397" s="139" t="s">
        <v>1005</v>
      </c>
    </row>
    <row r="398" spans="1:4" x14ac:dyDescent="0.25">
      <c r="A398" s="139" t="s">
        <v>1006</v>
      </c>
      <c r="B398" s="139" t="s">
        <v>1004</v>
      </c>
      <c r="C398" s="139" t="s">
        <v>112</v>
      </c>
      <c r="D398" s="139" t="s">
        <v>1007</v>
      </c>
    </row>
    <row r="399" spans="1:4" x14ac:dyDescent="0.25">
      <c r="A399" s="139" t="s">
        <v>1008</v>
      </c>
      <c r="B399" s="139" t="s">
        <v>1009</v>
      </c>
      <c r="C399" s="139" t="s">
        <v>112</v>
      </c>
      <c r="D399" s="139" t="s">
        <v>1010</v>
      </c>
    </row>
    <row r="400" spans="1:4" x14ac:dyDescent="0.25">
      <c r="A400" s="139" t="s">
        <v>1011</v>
      </c>
      <c r="B400" s="139" t="s">
        <v>1009</v>
      </c>
      <c r="C400" s="139" t="s">
        <v>112</v>
      </c>
      <c r="D400" s="139" t="s">
        <v>1012</v>
      </c>
    </row>
    <row r="401" spans="1:4" x14ac:dyDescent="0.25">
      <c r="A401" s="139" t="s">
        <v>1013</v>
      </c>
      <c r="B401" s="139" t="s">
        <v>1014</v>
      </c>
      <c r="C401" s="139" t="s">
        <v>112</v>
      </c>
      <c r="D401" s="139" t="s">
        <v>1015</v>
      </c>
    </row>
    <row r="402" spans="1:4" x14ac:dyDescent="0.25">
      <c r="A402" s="139" t="s">
        <v>1016</v>
      </c>
      <c r="B402" s="139" t="s">
        <v>1014</v>
      </c>
      <c r="C402" s="139" t="s">
        <v>112</v>
      </c>
      <c r="D402" s="139" t="s">
        <v>1017</v>
      </c>
    </row>
    <row r="403" spans="1:4" x14ac:dyDescent="0.25">
      <c r="A403" s="139" t="s">
        <v>1018</v>
      </c>
      <c r="B403" s="139" t="s">
        <v>1019</v>
      </c>
      <c r="C403" s="139" t="s">
        <v>112</v>
      </c>
      <c r="D403" s="139" t="s">
        <v>1020</v>
      </c>
    </row>
    <row r="404" spans="1:4" x14ac:dyDescent="0.25">
      <c r="A404" s="139" t="s">
        <v>1021</v>
      </c>
      <c r="B404" s="139" t="s">
        <v>1019</v>
      </c>
      <c r="C404" s="139" t="s">
        <v>112</v>
      </c>
      <c r="D404" s="139" t="s">
        <v>1022</v>
      </c>
    </row>
    <row r="405" spans="1:4" x14ac:dyDescent="0.25">
      <c r="A405" s="139" t="s">
        <v>1023</v>
      </c>
      <c r="B405" s="139" t="s">
        <v>1024</v>
      </c>
      <c r="C405" s="139" t="s">
        <v>112</v>
      </c>
      <c r="D405" s="139" t="s">
        <v>1025</v>
      </c>
    </row>
    <row r="406" spans="1:4" x14ac:dyDescent="0.25">
      <c r="A406" s="139" t="s">
        <v>1026</v>
      </c>
      <c r="B406" s="139" t="s">
        <v>1024</v>
      </c>
      <c r="C406" s="139" t="s">
        <v>112</v>
      </c>
      <c r="D406" s="139" t="s">
        <v>1027</v>
      </c>
    </row>
    <row r="407" spans="1:4" x14ac:dyDescent="0.25">
      <c r="A407" s="139" t="s">
        <v>1028</v>
      </c>
      <c r="B407" s="139" t="s">
        <v>1029</v>
      </c>
      <c r="C407" s="139" t="s">
        <v>112</v>
      </c>
      <c r="D407" s="139" t="s">
        <v>1030</v>
      </c>
    </row>
    <row r="408" spans="1:4" x14ac:dyDescent="0.25">
      <c r="A408" s="139" t="s">
        <v>1031</v>
      </c>
      <c r="B408" s="139" t="s">
        <v>1029</v>
      </c>
      <c r="C408" s="139" t="s">
        <v>112</v>
      </c>
      <c r="D408" s="139" t="s">
        <v>1032</v>
      </c>
    </row>
    <row r="409" spans="1:4" x14ac:dyDescent="0.25">
      <c r="A409" s="139" t="s">
        <v>1033</v>
      </c>
      <c r="B409" s="139" t="s">
        <v>1034</v>
      </c>
      <c r="C409" s="139" t="s">
        <v>112</v>
      </c>
      <c r="D409" s="139" t="s">
        <v>1035</v>
      </c>
    </row>
    <row r="410" spans="1:4" x14ac:dyDescent="0.25">
      <c r="A410" s="139" t="s">
        <v>1036</v>
      </c>
      <c r="B410" s="139" t="s">
        <v>1034</v>
      </c>
      <c r="C410" s="139" t="s">
        <v>112</v>
      </c>
      <c r="D410" s="139" t="s">
        <v>1037</v>
      </c>
    </row>
    <row r="411" spans="1:4" x14ac:dyDescent="0.25">
      <c r="A411" s="139" t="s">
        <v>1038</v>
      </c>
      <c r="B411" s="139" t="s">
        <v>1039</v>
      </c>
      <c r="C411" s="139" t="s">
        <v>123</v>
      </c>
      <c r="D411" s="139" t="s">
        <v>1040</v>
      </c>
    </row>
    <row r="412" spans="1:4" x14ac:dyDescent="0.25">
      <c r="A412" s="139" t="s">
        <v>1041</v>
      </c>
      <c r="B412" s="139" t="s">
        <v>1039</v>
      </c>
      <c r="C412" s="139" t="s">
        <v>123</v>
      </c>
      <c r="D412" s="139" t="s">
        <v>1042</v>
      </c>
    </row>
    <row r="413" spans="1:4" x14ac:dyDescent="0.25">
      <c r="A413" s="139" t="s">
        <v>1043</v>
      </c>
      <c r="B413" s="139" t="s">
        <v>1044</v>
      </c>
      <c r="C413" s="139" t="s">
        <v>112</v>
      </c>
      <c r="D413" s="139" t="s">
        <v>1045</v>
      </c>
    </row>
    <row r="414" spans="1:4" x14ac:dyDescent="0.25">
      <c r="A414" s="139" t="s">
        <v>1046</v>
      </c>
      <c r="B414" s="139" t="s">
        <v>1044</v>
      </c>
      <c r="C414" s="139" t="s">
        <v>112</v>
      </c>
      <c r="D414" s="139" t="s">
        <v>1047</v>
      </c>
    </row>
    <row r="415" spans="1:4" x14ac:dyDescent="0.25">
      <c r="A415" s="139" t="s">
        <v>1048</v>
      </c>
      <c r="B415" s="139" t="s">
        <v>1049</v>
      </c>
      <c r="C415" s="139" t="s">
        <v>112</v>
      </c>
      <c r="D415" s="139" t="s">
        <v>1050</v>
      </c>
    </row>
    <row r="416" spans="1:4" x14ac:dyDescent="0.25">
      <c r="A416" s="139" t="s">
        <v>1051</v>
      </c>
      <c r="B416" s="139" t="s">
        <v>1049</v>
      </c>
      <c r="C416" s="139" t="s">
        <v>112</v>
      </c>
      <c r="D416" s="139" t="s">
        <v>1052</v>
      </c>
    </row>
    <row r="417" spans="1:4" x14ac:dyDescent="0.25">
      <c r="A417" s="139" t="s">
        <v>1053</v>
      </c>
      <c r="B417" s="139" t="s">
        <v>1054</v>
      </c>
      <c r="C417" s="139" t="s">
        <v>112</v>
      </c>
      <c r="D417" s="139" t="s">
        <v>1055</v>
      </c>
    </row>
    <row r="418" spans="1:4" x14ac:dyDescent="0.25">
      <c r="A418" s="139" t="s">
        <v>1056</v>
      </c>
      <c r="B418" s="139" t="s">
        <v>1054</v>
      </c>
      <c r="C418" s="139" t="s">
        <v>112</v>
      </c>
      <c r="D418" s="139" t="s">
        <v>1057</v>
      </c>
    </row>
    <row r="419" spans="1:4" x14ac:dyDescent="0.25">
      <c r="A419" s="139" t="s">
        <v>1058</v>
      </c>
      <c r="B419" s="139" t="s">
        <v>1059</v>
      </c>
      <c r="C419" s="139" t="s">
        <v>112</v>
      </c>
      <c r="D419" s="139" t="s">
        <v>1060</v>
      </c>
    </row>
    <row r="420" spans="1:4" x14ac:dyDescent="0.25">
      <c r="A420" s="139" t="s">
        <v>1061</v>
      </c>
      <c r="B420" s="139" t="s">
        <v>1059</v>
      </c>
      <c r="C420" s="139" t="s">
        <v>112</v>
      </c>
      <c r="D420" s="139" t="s">
        <v>1062</v>
      </c>
    </row>
    <row r="421" spans="1:4" x14ac:dyDescent="0.25">
      <c r="A421" s="139" t="s">
        <v>1063</v>
      </c>
      <c r="B421" s="139" t="s">
        <v>1064</v>
      </c>
      <c r="C421" s="139" t="s">
        <v>112</v>
      </c>
      <c r="D421" s="139" t="s">
        <v>1065</v>
      </c>
    </row>
    <row r="422" spans="1:4" x14ac:dyDescent="0.25">
      <c r="A422" s="139" t="s">
        <v>1066</v>
      </c>
      <c r="B422" s="139" t="s">
        <v>1064</v>
      </c>
      <c r="C422" s="139" t="s">
        <v>112</v>
      </c>
      <c r="D422" s="139" t="s">
        <v>1067</v>
      </c>
    </row>
    <row r="423" spans="1:4" x14ac:dyDescent="0.25">
      <c r="A423" s="139" t="s">
        <v>1068</v>
      </c>
      <c r="B423" s="139" t="s">
        <v>1069</v>
      </c>
      <c r="C423" s="139" t="s">
        <v>112</v>
      </c>
      <c r="D423" s="139" t="s">
        <v>1070</v>
      </c>
    </row>
    <row r="424" spans="1:4" x14ac:dyDescent="0.25">
      <c r="A424" s="139" t="s">
        <v>1071</v>
      </c>
      <c r="B424" s="139" t="s">
        <v>1069</v>
      </c>
      <c r="C424" s="139" t="s">
        <v>112</v>
      </c>
      <c r="D424" s="139" t="s">
        <v>1072</v>
      </c>
    </row>
    <row r="425" spans="1:4" x14ac:dyDescent="0.25">
      <c r="A425" s="139" t="s">
        <v>1073</v>
      </c>
      <c r="B425" s="139" t="s">
        <v>1074</v>
      </c>
      <c r="C425" s="139" t="s">
        <v>112</v>
      </c>
      <c r="D425" s="139" t="s">
        <v>1075</v>
      </c>
    </row>
    <row r="426" spans="1:4" x14ac:dyDescent="0.25">
      <c r="A426" s="139" t="s">
        <v>1076</v>
      </c>
      <c r="B426" s="139" t="s">
        <v>1074</v>
      </c>
      <c r="C426" s="139" t="s">
        <v>112</v>
      </c>
      <c r="D426" s="139" t="s">
        <v>1077</v>
      </c>
    </row>
    <row r="427" spans="1:4" x14ac:dyDescent="0.25">
      <c r="A427" s="139" t="s">
        <v>1078</v>
      </c>
      <c r="B427" s="139" t="s">
        <v>1079</v>
      </c>
      <c r="C427" s="139" t="s">
        <v>112</v>
      </c>
      <c r="D427" s="139" t="s">
        <v>1080</v>
      </c>
    </row>
    <row r="428" spans="1:4" x14ac:dyDescent="0.25">
      <c r="A428" s="139" t="s">
        <v>1081</v>
      </c>
      <c r="B428" s="139" t="s">
        <v>1079</v>
      </c>
      <c r="C428" s="139" t="s">
        <v>112</v>
      </c>
      <c r="D428" s="139" t="s">
        <v>1082</v>
      </c>
    </row>
    <row r="429" spans="1:4" x14ac:dyDescent="0.25">
      <c r="A429" s="139" t="s">
        <v>1083</v>
      </c>
      <c r="B429" s="139" t="s">
        <v>1084</v>
      </c>
      <c r="C429" s="139" t="s">
        <v>112</v>
      </c>
      <c r="D429" s="139" t="s">
        <v>1085</v>
      </c>
    </row>
    <row r="430" spans="1:4" x14ac:dyDescent="0.25">
      <c r="A430" s="139" t="s">
        <v>1086</v>
      </c>
      <c r="B430" s="139" t="s">
        <v>1084</v>
      </c>
      <c r="C430" s="139" t="s">
        <v>112</v>
      </c>
      <c r="D430" s="139" t="s">
        <v>1087</v>
      </c>
    </row>
    <row r="431" spans="1:4" x14ac:dyDescent="0.25">
      <c r="A431" s="139" t="s">
        <v>1088</v>
      </c>
      <c r="B431" s="139" t="s">
        <v>1089</v>
      </c>
      <c r="C431" s="139" t="s">
        <v>112</v>
      </c>
      <c r="D431" s="139" t="s">
        <v>1090</v>
      </c>
    </row>
    <row r="432" spans="1:4" x14ac:dyDescent="0.25">
      <c r="A432" s="139" t="s">
        <v>1091</v>
      </c>
      <c r="B432" s="139" t="s">
        <v>1089</v>
      </c>
      <c r="C432" s="139" t="s">
        <v>112</v>
      </c>
      <c r="D432" s="139" t="s">
        <v>1092</v>
      </c>
    </row>
    <row r="433" spans="1:4" x14ac:dyDescent="0.25">
      <c r="A433" s="139" t="s">
        <v>1093</v>
      </c>
      <c r="B433" s="139" t="s">
        <v>1094</v>
      </c>
      <c r="C433" s="139" t="s">
        <v>112</v>
      </c>
      <c r="D433" s="139" t="s">
        <v>1095</v>
      </c>
    </row>
    <row r="434" spans="1:4" x14ac:dyDescent="0.25">
      <c r="A434" s="139" t="s">
        <v>1096</v>
      </c>
      <c r="B434" s="139" t="s">
        <v>1094</v>
      </c>
      <c r="C434" s="139" t="s">
        <v>112</v>
      </c>
      <c r="D434" s="139" t="s">
        <v>1097</v>
      </c>
    </row>
    <row r="435" spans="1:4" x14ac:dyDescent="0.25">
      <c r="A435" s="139" t="s">
        <v>1098</v>
      </c>
      <c r="B435" s="139" t="s">
        <v>1099</v>
      </c>
      <c r="C435" s="139" t="s">
        <v>112</v>
      </c>
      <c r="D435" s="139" t="s">
        <v>1100</v>
      </c>
    </row>
    <row r="436" spans="1:4" x14ac:dyDescent="0.25">
      <c r="A436" s="139" t="s">
        <v>1101</v>
      </c>
      <c r="B436" s="139" t="s">
        <v>1099</v>
      </c>
      <c r="C436" s="139" t="s">
        <v>112</v>
      </c>
      <c r="D436" s="139" t="s">
        <v>1102</v>
      </c>
    </row>
    <row r="437" spans="1:4" x14ac:dyDescent="0.25">
      <c r="A437" s="139" t="s">
        <v>1103</v>
      </c>
      <c r="B437" s="139" t="s">
        <v>1104</v>
      </c>
      <c r="C437" s="139" t="s">
        <v>112</v>
      </c>
      <c r="D437" s="139" t="s">
        <v>1105</v>
      </c>
    </row>
    <row r="438" spans="1:4" x14ac:dyDescent="0.25">
      <c r="A438" s="139" t="s">
        <v>1106</v>
      </c>
      <c r="B438" s="139" t="s">
        <v>1104</v>
      </c>
      <c r="C438" s="139" t="s">
        <v>112</v>
      </c>
      <c r="D438" s="139" t="s">
        <v>1107</v>
      </c>
    </row>
    <row r="439" spans="1:4" x14ac:dyDescent="0.25">
      <c r="A439" s="139" t="s">
        <v>1108</v>
      </c>
      <c r="B439" s="139" t="s">
        <v>1109</v>
      </c>
      <c r="C439" s="139" t="s">
        <v>112</v>
      </c>
      <c r="D439" s="139" t="s">
        <v>1110</v>
      </c>
    </row>
    <row r="440" spans="1:4" x14ac:dyDescent="0.25">
      <c r="A440" s="139" t="s">
        <v>1111</v>
      </c>
      <c r="B440" s="139" t="s">
        <v>1109</v>
      </c>
      <c r="C440" s="139" t="s">
        <v>112</v>
      </c>
      <c r="D440" s="139" t="s">
        <v>1112</v>
      </c>
    </row>
    <row r="441" spans="1:4" x14ac:dyDescent="0.25">
      <c r="A441" s="139" t="s">
        <v>1113</v>
      </c>
      <c r="B441" s="139" t="s">
        <v>1114</v>
      </c>
      <c r="C441" s="139" t="s">
        <v>112</v>
      </c>
      <c r="D441" s="139" t="s">
        <v>1115</v>
      </c>
    </row>
    <row r="442" spans="1:4" x14ac:dyDescent="0.25">
      <c r="A442" s="139" t="s">
        <v>1116</v>
      </c>
      <c r="B442" s="139" t="s">
        <v>1114</v>
      </c>
      <c r="C442" s="139" t="s">
        <v>112</v>
      </c>
      <c r="D442" s="139" t="s">
        <v>1117</v>
      </c>
    </row>
    <row r="443" spans="1:4" x14ac:dyDescent="0.25">
      <c r="A443" s="139" t="s">
        <v>1118</v>
      </c>
      <c r="B443" s="139" t="s">
        <v>1119</v>
      </c>
      <c r="C443" s="139" t="s">
        <v>112</v>
      </c>
      <c r="D443" s="139" t="s">
        <v>1120</v>
      </c>
    </row>
    <row r="444" spans="1:4" x14ac:dyDescent="0.25">
      <c r="A444" s="139" t="s">
        <v>1121</v>
      </c>
      <c r="B444" s="139" t="s">
        <v>1119</v>
      </c>
      <c r="C444" s="139" t="s">
        <v>112</v>
      </c>
      <c r="D444" s="139" t="s">
        <v>1122</v>
      </c>
    </row>
    <row r="445" spans="1:4" x14ac:dyDescent="0.25">
      <c r="A445" s="139" t="s">
        <v>1123</v>
      </c>
      <c r="B445" s="139" t="s">
        <v>1124</v>
      </c>
      <c r="C445" s="139" t="s">
        <v>112</v>
      </c>
      <c r="D445" s="139" t="s">
        <v>1125</v>
      </c>
    </row>
    <row r="446" spans="1:4" x14ac:dyDescent="0.25">
      <c r="A446" s="139" t="s">
        <v>1126</v>
      </c>
      <c r="B446" s="139" t="s">
        <v>1124</v>
      </c>
      <c r="C446" s="139" t="s">
        <v>112</v>
      </c>
      <c r="D446" s="139" t="s">
        <v>1127</v>
      </c>
    </row>
    <row r="447" spans="1:4" x14ac:dyDescent="0.25">
      <c r="A447" s="139" t="s">
        <v>1128</v>
      </c>
      <c r="B447" s="139" t="s">
        <v>1129</v>
      </c>
      <c r="C447" s="139" t="s">
        <v>112</v>
      </c>
      <c r="D447" s="139" t="s">
        <v>1130</v>
      </c>
    </row>
    <row r="448" spans="1:4" x14ac:dyDescent="0.25">
      <c r="A448" s="139" t="s">
        <v>1131</v>
      </c>
      <c r="B448" s="139" t="s">
        <v>1129</v>
      </c>
      <c r="C448" s="139" t="s">
        <v>112</v>
      </c>
      <c r="D448" s="139" t="s">
        <v>1132</v>
      </c>
    </row>
    <row r="449" spans="1:4" x14ac:dyDescent="0.25">
      <c r="A449" s="139" t="s">
        <v>1133</v>
      </c>
      <c r="B449" s="139" t="s">
        <v>1134</v>
      </c>
      <c r="C449" s="139" t="s">
        <v>112</v>
      </c>
      <c r="D449" s="139" t="s">
        <v>1135</v>
      </c>
    </row>
    <row r="450" spans="1:4" x14ac:dyDescent="0.25">
      <c r="A450" s="139" t="s">
        <v>1136</v>
      </c>
      <c r="B450" s="139" t="s">
        <v>1134</v>
      </c>
      <c r="C450" s="139" t="s">
        <v>112</v>
      </c>
      <c r="D450" s="139" t="s">
        <v>1137</v>
      </c>
    </row>
    <row r="451" spans="1:4" x14ac:dyDescent="0.25">
      <c r="A451" s="139" t="s">
        <v>1138</v>
      </c>
      <c r="B451" s="139" t="s">
        <v>1139</v>
      </c>
      <c r="C451" s="139" t="s">
        <v>112</v>
      </c>
      <c r="D451" s="139" t="s">
        <v>1140</v>
      </c>
    </row>
    <row r="452" spans="1:4" x14ac:dyDescent="0.25">
      <c r="A452" s="139" t="s">
        <v>1141</v>
      </c>
      <c r="B452" s="139" t="s">
        <v>1139</v>
      </c>
      <c r="C452" s="139" t="s">
        <v>112</v>
      </c>
      <c r="D452" s="139" t="s">
        <v>1142</v>
      </c>
    </row>
    <row r="453" spans="1:4" x14ac:dyDescent="0.25">
      <c r="A453" s="139" t="s">
        <v>1143</v>
      </c>
      <c r="B453" s="139" t="s">
        <v>1144</v>
      </c>
      <c r="C453" s="139" t="s">
        <v>112</v>
      </c>
      <c r="D453" s="139" t="s">
        <v>1145</v>
      </c>
    </row>
    <row r="454" spans="1:4" x14ac:dyDescent="0.25">
      <c r="A454" s="139" t="s">
        <v>1146</v>
      </c>
      <c r="B454" s="139" t="s">
        <v>1144</v>
      </c>
      <c r="C454" s="139" t="s">
        <v>112</v>
      </c>
      <c r="D454" s="139" t="s">
        <v>1147</v>
      </c>
    </row>
    <row r="455" spans="1:4" x14ac:dyDescent="0.25">
      <c r="A455" s="139" t="s">
        <v>1148</v>
      </c>
      <c r="B455" s="139" t="s">
        <v>1149</v>
      </c>
      <c r="C455" s="139" t="s">
        <v>112</v>
      </c>
      <c r="D455" s="139" t="s">
        <v>1150</v>
      </c>
    </row>
    <row r="456" spans="1:4" x14ac:dyDescent="0.25">
      <c r="A456" s="139" t="s">
        <v>1151</v>
      </c>
      <c r="B456" s="139" t="s">
        <v>1149</v>
      </c>
      <c r="C456" s="139" t="s">
        <v>112</v>
      </c>
      <c r="D456" s="139" t="s">
        <v>1152</v>
      </c>
    </row>
    <row r="457" spans="1:4" x14ac:dyDescent="0.25">
      <c r="A457" s="139" t="s">
        <v>1153</v>
      </c>
      <c r="B457" s="139" t="s">
        <v>1154</v>
      </c>
      <c r="C457" s="139" t="s">
        <v>112</v>
      </c>
      <c r="D457" s="139" t="s">
        <v>1155</v>
      </c>
    </row>
    <row r="458" spans="1:4" x14ac:dyDescent="0.25">
      <c r="A458" s="139" t="s">
        <v>1156</v>
      </c>
      <c r="B458" s="139" t="s">
        <v>1154</v>
      </c>
      <c r="C458" s="139" t="s">
        <v>112</v>
      </c>
      <c r="D458" s="139" t="s">
        <v>1157</v>
      </c>
    </row>
    <row r="459" spans="1:4" x14ac:dyDescent="0.25">
      <c r="A459" s="139" t="s">
        <v>1158</v>
      </c>
      <c r="B459" s="139" t="s">
        <v>1159</v>
      </c>
      <c r="C459" s="139" t="s">
        <v>112</v>
      </c>
      <c r="D459" s="139" t="s">
        <v>1160</v>
      </c>
    </row>
    <row r="460" spans="1:4" x14ac:dyDescent="0.25">
      <c r="A460" s="139" t="s">
        <v>1161</v>
      </c>
      <c r="B460" s="139" t="s">
        <v>1159</v>
      </c>
      <c r="C460" s="139" t="s">
        <v>112</v>
      </c>
      <c r="D460" s="139" t="s">
        <v>1162</v>
      </c>
    </row>
    <row r="461" spans="1:4" x14ac:dyDescent="0.25">
      <c r="A461" s="139" t="s">
        <v>1163</v>
      </c>
      <c r="B461" s="139" t="s">
        <v>1164</v>
      </c>
      <c r="C461" s="139" t="s">
        <v>112</v>
      </c>
      <c r="D461" s="139" t="s">
        <v>1165</v>
      </c>
    </row>
    <row r="462" spans="1:4" x14ac:dyDescent="0.25">
      <c r="A462" s="139" t="s">
        <v>1166</v>
      </c>
      <c r="B462" s="139" t="s">
        <v>1164</v>
      </c>
      <c r="C462" s="139" t="s">
        <v>112</v>
      </c>
      <c r="D462" s="139" t="s">
        <v>1167</v>
      </c>
    </row>
    <row r="463" spans="1:4" x14ac:dyDescent="0.25">
      <c r="A463" s="139" t="s">
        <v>1168</v>
      </c>
      <c r="B463" s="139" t="s">
        <v>1169</v>
      </c>
      <c r="C463" s="139" t="s">
        <v>112</v>
      </c>
      <c r="D463" s="139" t="s">
        <v>1170</v>
      </c>
    </row>
    <row r="464" spans="1:4" x14ac:dyDescent="0.25">
      <c r="A464" s="139" t="s">
        <v>1171</v>
      </c>
      <c r="B464" s="139" t="s">
        <v>1169</v>
      </c>
      <c r="C464" s="139" t="s">
        <v>112</v>
      </c>
      <c r="D464" s="139" t="s">
        <v>1172</v>
      </c>
    </row>
    <row r="465" spans="1:4" x14ac:dyDescent="0.25">
      <c r="A465" s="139" t="s">
        <v>1173</v>
      </c>
      <c r="B465" s="139" t="s">
        <v>1174</v>
      </c>
      <c r="C465" s="139" t="s">
        <v>112</v>
      </c>
      <c r="D465" s="139" t="s">
        <v>1175</v>
      </c>
    </row>
    <row r="466" spans="1:4" x14ac:dyDescent="0.25">
      <c r="A466" s="139" t="s">
        <v>1176</v>
      </c>
      <c r="B466" s="139" t="s">
        <v>1174</v>
      </c>
      <c r="C466" s="139" t="s">
        <v>112</v>
      </c>
      <c r="D466" s="139" t="s">
        <v>1177</v>
      </c>
    </row>
    <row r="467" spans="1:4" x14ac:dyDescent="0.25">
      <c r="A467" s="139" t="s">
        <v>1178</v>
      </c>
      <c r="B467" s="139" t="s">
        <v>1179</v>
      </c>
      <c r="C467" s="139" t="s">
        <v>112</v>
      </c>
      <c r="D467" s="139" t="s">
        <v>1180</v>
      </c>
    </row>
    <row r="468" spans="1:4" x14ac:dyDescent="0.25">
      <c r="A468" s="139" t="s">
        <v>1181</v>
      </c>
      <c r="B468" s="139" t="s">
        <v>1179</v>
      </c>
      <c r="C468" s="139" t="s">
        <v>112</v>
      </c>
      <c r="D468" s="139" t="s">
        <v>1182</v>
      </c>
    </row>
    <row r="469" spans="1:4" x14ac:dyDescent="0.25">
      <c r="A469" s="139" t="s">
        <v>1183</v>
      </c>
      <c r="B469" s="139" t="s">
        <v>1184</v>
      </c>
      <c r="C469" s="139" t="s">
        <v>112</v>
      </c>
      <c r="D469" s="139" t="s">
        <v>1185</v>
      </c>
    </row>
    <row r="470" spans="1:4" x14ac:dyDescent="0.25">
      <c r="A470" s="139" t="s">
        <v>1186</v>
      </c>
      <c r="B470" s="139" t="s">
        <v>1184</v>
      </c>
      <c r="C470" s="139" t="s">
        <v>112</v>
      </c>
      <c r="D470" s="139" t="s">
        <v>1187</v>
      </c>
    </row>
    <row r="471" spans="1:4" x14ac:dyDescent="0.25">
      <c r="A471" s="139" t="s">
        <v>1188</v>
      </c>
      <c r="B471" s="139" t="s">
        <v>1189</v>
      </c>
      <c r="C471" s="139" t="s">
        <v>112</v>
      </c>
      <c r="D471" s="139" t="s">
        <v>1190</v>
      </c>
    </row>
    <row r="472" spans="1:4" x14ac:dyDescent="0.25">
      <c r="A472" s="139" t="s">
        <v>1191</v>
      </c>
      <c r="B472" s="139" t="s">
        <v>1189</v>
      </c>
      <c r="C472" s="139" t="s">
        <v>112</v>
      </c>
      <c r="D472" s="139" t="s">
        <v>1192</v>
      </c>
    </row>
    <row r="473" spans="1:4" x14ac:dyDescent="0.25">
      <c r="A473" s="139" t="s">
        <v>1193</v>
      </c>
      <c r="B473" s="139" t="s">
        <v>1194</v>
      </c>
      <c r="C473" s="139" t="s">
        <v>112</v>
      </c>
      <c r="D473" s="139" t="s">
        <v>1195</v>
      </c>
    </row>
    <row r="474" spans="1:4" x14ac:dyDescent="0.25">
      <c r="A474" s="139" t="s">
        <v>1196</v>
      </c>
      <c r="B474" s="139" t="s">
        <v>1194</v>
      </c>
      <c r="C474" s="139" t="s">
        <v>112</v>
      </c>
      <c r="D474" s="139" t="s">
        <v>1197</v>
      </c>
    </row>
    <row r="475" spans="1:4" x14ac:dyDescent="0.25">
      <c r="A475" s="139" t="s">
        <v>1198</v>
      </c>
      <c r="B475" s="139" t="s">
        <v>1199</v>
      </c>
      <c r="C475" s="139" t="s">
        <v>112</v>
      </c>
      <c r="D475" s="139" t="s">
        <v>1200</v>
      </c>
    </row>
    <row r="476" spans="1:4" x14ac:dyDescent="0.25">
      <c r="A476" s="139" t="s">
        <v>1201</v>
      </c>
      <c r="B476" s="139" t="s">
        <v>1199</v>
      </c>
      <c r="C476" s="139" t="s">
        <v>112</v>
      </c>
      <c r="D476" s="139" t="s">
        <v>1202</v>
      </c>
    </row>
    <row r="477" spans="1:4" x14ac:dyDescent="0.25">
      <c r="A477" s="139" t="s">
        <v>1203</v>
      </c>
      <c r="B477" s="139" t="s">
        <v>1204</v>
      </c>
      <c r="C477" s="139" t="s">
        <v>44</v>
      </c>
      <c r="D477" s="139" t="s">
        <v>1205</v>
      </c>
    </row>
    <row r="478" spans="1:4" x14ac:dyDescent="0.25">
      <c r="A478" s="139" t="s">
        <v>1206</v>
      </c>
      <c r="B478" s="139" t="s">
        <v>1204</v>
      </c>
      <c r="C478" s="139" t="s">
        <v>44</v>
      </c>
      <c r="D478" s="139" t="s">
        <v>1207</v>
      </c>
    </row>
    <row r="479" spans="1:4" x14ac:dyDescent="0.25">
      <c r="A479" s="139" t="s">
        <v>1208</v>
      </c>
      <c r="B479" s="139" t="s">
        <v>1209</v>
      </c>
      <c r="C479" s="139" t="s">
        <v>658</v>
      </c>
      <c r="D479" s="139" t="s">
        <v>1210</v>
      </c>
    </row>
    <row r="480" spans="1:4" x14ac:dyDescent="0.25">
      <c r="A480" s="139" t="s">
        <v>1211</v>
      </c>
      <c r="B480" s="139" t="s">
        <v>1209</v>
      </c>
      <c r="C480" s="139" t="s">
        <v>658</v>
      </c>
      <c r="D480" s="139" t="s">
        <v>1212</v>
      </c>
    </row>
    <row r="481" spans="1:4" x14ac:dyDescent="0.25">
      <c r="A481" s="139" t="s">
        <v>1213</v>
      </c>
      <c r="B481" s="139" t="s">
        <v>547</v>
      </c>
      <c r="C481" s="139" t="s">
        <v>127</v>
      </c>
      <c r="D481" s="139" t="s">
        <v>1214</v>
      </c>
    </row>
    <row r="482" spans="1:4" x14ac:dyDescent="0.25">
      <c r="A482" s="139" t="s">
        <v>1215</v>
      </c>
      <c r="B482" s="139" t="s">
        <v>547</v>
      </c>
      <c r="C482" s="139" t="s">
        <v>127</v>
      </c>
      <c r="D482" s="139" t="s">
        <v>1216</v>
      </c>
    </row>
    <row r="483" spans="1:4" x14ac:dyDescent="0.25">
      <c r="A483" s="139" t="s">
        <v>1217</v>
      </c>
      <c r="B483" s="139" t="s">
        <v>1218</v>
      </c>
      <c r="C483" s="139" t="s">
        <v>127</v>
      </c>
      <c r="D483" s="139" t="s">
        <v>1219</v>
      </c>
    </row>
    <row r="484" spans="1:4" x14ac:dyDescent="0.25">
      <c r="A484" s="139" t="s">
        <v>1220</v>
      </c>
      <c r="B484" s="139" t="s">
        <v>1218</v>
      </c>
      <c r="C484" s="139" t="s">
        <v>127</v>
      </c>
      <c r="D484" s="139" t="s">
        <v>1221</v>
      </c>
    </row>
    <row r="485" spans="1:4" x14ac:dyDescent="0.25">
      <c r="A485" s="139" t="s">
        <v>1222</v>
      </c>
      <c r="B485" s="139" t="s">
        <v>1223</v>
      </c>
      <c r="C485" s="139" t="s">
        <v>127</v>
      </c>
      <c r="D485" s="139" t="s">
        <v>1224</v>
      </c>
    </row>
    <row r="486" spans="1:4" x14ac:dyDescent="0.25">
      <c r="A486" s="139" t="s">
        <v>1225</v>
      </c>
      <c r="B486" s="139" t="s">
        <v>1223</v>
      </c>
      <c r="C486" s="139" t="s">
        <v>127</v>
      </c>
      <c r="D486" s="139" t="s">
        <v>1226</v>
      </c>
    </row>
    <row r="487" spans="1:4" x14ac:dyDescent="0.25">
      <c r="A487" s="139" t="s">
        <v>1227</v>
      </c>
      <c r="B487" s="139" t="s">
        <v>1228</v>
      </c>
      <c r="C487" s="139" t="s">
        <v>127</v>
      </c>
      <c r="D487" s="139" t="s">
        <v>1229</v>
      </c>
    </row>
    <row r="488" spans="1:4" x14ac:dyDescent="0.25">
      <c r="A488" s="139" t="s">
        <v>1230</v>
      </c>
      <c r="B488" s="139" t="s">
        <v>1228</v>
      </c>
      <c r="C488" s="139" t="s">
        <v>127</v>
      </c>
      <c r="D488" s="139" t="s">
        <v>1231</v>
      </c>
    </row>
    <row r="489" spans="1:4" x14ac:dyDescent="0.25">
      <c r="A489" s="139" t="s">
        <v>1232</v>
      </c>
      <c r="B489" s="139" t="s">
        <v>1233</v>
      </c>
      <c r="C489" s="139" t="s">
        <v>127</v>
      </c>
      <c r="D489" s="139" t="s">
        <v>1234</v>
      </c>
    </row>
    <row r="490" spans="1:4" x14ac:dyDescent="0.25">
      <c r="A490" s="139" t="s">
        <v>1235</v>
      </c>
      <c r="B490" s="139" t="s">
        <v>1233</v>
      </c>
      <c r="C490" s="139" t="s">
        <v>127</v>
      </c>
      <c r="D490" s="139" t="s">
        <v>1236</v>
      </c>
    </row>
    <row r="491" spans="1:4" x14ac:dyDescent="0.25">
      <c r="A491" s="139" t="s">
        <v>1237</v>
      </c>
      <c r="B491" s="139" t="s">
        <v>1238</v>
      </c>
      <c r="C491" s="139" t="s">
        <v>127</v>
      </c>
      <c r="D491" s="139" t="s">
        <v>1239</v>
      </c>
    </row>
    <row r="492" spans="1:4" x14ac:dyDescent="0.25">
      <c r="A492" s="139" t="s">
        <v>1240</v>
      </c>
      <c r="B492" s="139" t="s">
        <v>1238</v>
      </c>
      <c r="C492" s="139" t="s">
        <v>127</v>
      </c>
      <c r="D492" s="139" t="s">
        <v>1241</v>
      </c>
    </row>
    <row r="493" spans="1:4" x14ac:dyDescent="0.25">
      <c r="A493" s="139" t="s">
        <v>1242</v>
      </c>
      <c r="B493" s="139" t="s">
        <v>1243</v>
      </c>
      <c r="C493" s="139" t="s">
        <v>127</v>
      </c>
      <c r="D493" s="139" t="s">
        <v>1244</v>
      </c>
    </row>
    <row r="494" spans="1:4" x14ac:dyDescent="0.25">
      <c r="A494" s="139" t="s">
        <v>1245</v>
      </c>
      <c r="B494" s="139" t="s">
        <v>1243</v>
      </c>
      <c r="C494" s="139" t="s">
        <v>127</v>
      </c>
      <c r="D494" s="139" t="s">
        <v>1246</v>
      </c>
    </row>
    <row r="495" spans="1:4" x14ac:dyDescent="0.25">
      <c r="A495" s="139" t="s">
        <v>1247</v>
      </c>
      <c r="B495" s="139" t="s">
        <v>1248</v>
      </c>
      <c r="C495" s="139" t="s">
        <v>658</v>
      </c>
      <c r="D495" s="139" t="s">
        <v>1249</v>
      </c>
    </row>
    <row r="496" spans="1:4" x14ac:dyDescent="0.25">
      <c r="A496" s="139" t="s">
        <v>1250</v>
      </c>
      <c r="B496" s="139" t="s">
        <v>1248</v>
      </c>
      <c r="C496" s="139" t="s">
        <v>658</v>
      </c>
      <c r="D496" s="139" t="s">
        <v>1251</v>
      </c>
    </row>
    <row r="497" spans="1:4" x14ac:dyDescent="0.25">
      <c r="A497" s="139" t="s">
        <v>1252</v>
      </c>
      <c r="B497" s="139" t="s">
        <v>357</v>
      </c>
      <c r="C497" s="139" t="s">
        <v>127</v>
      </c>
      <c r="D497" s="139" t="s">
        <v>1253</v>
      </c>
    </row>
    <row r="498" spans="1:4" x14ac:dyDescent="0.25">
      <c r="A498" s="139" t="s">
        <v>1254</v>
      </c>
      <c r="B498" s="139" t="s">
        <v>357</v>
      </c>
      <c r="C498" s="139" t="s">
        <v>127</v>
      </c>
      <c r="D498" s="139" t="s">
        <v>1255</v>
      </c>
    </row>
    <row r="499" spans="1:4" x14ac:dyDescent="0.25">
      <c r="A499" s="139" t="s">
        <v>1256</v>
      </c>
      <c r="B499" s="139" t="s">
        <v>349</v>
      </c>
      <c r="C499" s="139" t="s">
        <v>658</v>
      </c>
      <c r="D499" s="139" t="s">
        <v>1257</v>
      </c>
    </row>
    <row r="500" spans="1:4" x14ac:dyDescent="0.25">
      <c r="A500" s="139" t="s">
        <v>1258</v>
      </c>
      <c r="B500" s="139" t="s">
        <v>349</v>
      </c>
      <c r="C500" s="139" t="s">
        <v>658</v>
      </c>
      <c r="D500" s="139" t="s">
        <v>1259</v>
      </c>
    </row>
    <row r="501" spans="1:4" x14ac:dyDescent="0.25">
      <c r="A501" s="139" t="s">
        <v>1260</v>
      </c>
      <c r="B501" s="139" t="s">
        <v>1261</v>
      </c>
      <c r="C501" s="139" t="s">
        <v>658</v>
      </c>
      <c r="D501" s="139" t="s">
        <v>1262</v>
      </c>
    </row>
    <row r="502" spans="1:4" x14ac:dyDescent="0.25">
      <c r="A502" s="139" t="s">
        <v>1263</v>
      </c>
      <c r="B502" s="139" t="s">
        <v>1261</v>
      </c>
      <c r="C502" s="139" t="s">
        <v>658</v>
      </c>
      <c r="D502" s="139" t="s">
        <v>1264</v>
      </c>
    </row>
    <row r="503" spans="1:4" x14ac:dyDescent="0.25">
      <c r="A503" s="139" t="s">
        <v>1265</v>
      </c>
      <c r="B503" s="139" t="s">
        <v>1266</v>
      </c>
      <c r="C503" s="139" t="s">
        <v>123</v>
      </c>
      <c r="D503" s="139" t="s">
        <v>1267</v>
      </c>
    </row>
    <row r="504" spans="1:4" x14ac:dyDescent="0.25">
      <c r="A504" s="139" t="s">
        <v>1268</v>
      </c>
      <c r="B504" s="139" t="s">
        <v>1266</v>
      </c>
      <c r="C504" s="139" t="s">
        <v>123</v>
      </c>
      <c r="D504" s="139" t="s">
        <v>1269</v>
      </c>
    </row>
    <row r="505" spans="1:4" x14ac:dyDescent="0.25">
      <c r="A505" s="139" t="s">
        <v>1270</v>
      </c>
      <c r="B505" s="139" t="s">
        <v>1271</v>
      </c>
      <c r="C505" s="139" t="s">
        <v>123</v>
      </c>
      <c r="D505" s="139" t="s">
        <v>1272</v>
      </c>
    </row>
    <row r="506" spans="1:4" x14ac:dyDescent="0.25">
      <c r="A506" s="139" t="s">
        <v>1273</v>
      </c>
      <c r="B506" s="139" t="s">
        <v>1271</v>
      </c>
      <c r="C506" s="139" t="s">
        <v>123</v>
      </c>
      <c r="D506" s="139" t="s">
        <v>1274</v>
      </c>
    </row>
    <row r="507" spans="1:4" x14ac:dyDescent="0.25">
      <c r="A507" s="139" t="s">
        <v>1275</v>
      </c>
      <c r="B507" s="139" t="s">
        <v>1276</v>
      </c>
      <c r="C507" s="139" t="s">
        <v>123</v>
      </c>
      <c r="D507" s="139" t="s">
        <v>1277</v>
      </c>
    </row>
    <row r="508" spans="1:4" x14ac:dyDescent="0.25">
      <c r="A508" s="139" t="s">
        <v>1278</v>
      </c>
      <c r="B508" s="139" t="s">
        <v>1276</v>
      </c>
      <c r="C508" s="139" t="s">
        <v>123</v>
      </c>
      <c r="D508" s="139" t="s">
        <v>1279</v>
      </c>
    </row>
    <row r="509" spans="1:4" x14ac:dyDescent="0.25">
      <c r="A509" s="139" t="s">
        <v>1280</v>
      </c>
      <c r="B509" s="139" t="s">
        <v>1238</v>
      </c>
      <c r="C509" s="139" t="s">
        <v>123</v>
      </c>
      <c r="D509" s="139" t="s">
        <v>1281</v>
      </c>
    </row>
    <row r="510" spans="1:4" x14ac:dyDescent="0.25">
      <c r="A510" s="139" t="s">
        <v>1282</v>
      </c>
      <c r="B510" s="139" t="s">
        <v>1238</v>
      </c>
      <c r="C510" s="139" t="s">
        <v>123</v>
      </c>
      <c r="D510" s="139" t="s">
        <v>1283</v>
      </c>
    </row>
    <row r="511" spans="1:4" x14ac:dyDescent="0.25">
      <c r="A511" s="139" t="s">
        <v>1284</v>
      </c>
      <c r="B511" s="139" t="s">
        <v>1285</v>
      </c>
      <c r="C511" s="139" t="s">
        <v>123</v>
      </c>
      <c r="D511" s="139" t="s">
        <v>1286</v>
      </c>
    </row>
    <row r="512" spans="1:4" x14ac:dyDescent="0.25">
      <c r="A512" s="139" t="s">
        <v>1287</v>
      </c>
      <c r="B512" s="139" t="s">
        <v>1285</v>
      </c>
      <c r="C512" s="139" t="s">
        <v>123</v>
      </c>
      <c r="D512" s="139" t="s">
        <v>1288</v>
      </c>
    </row>
    <row r="513" spans="1:4" x14ac:dyDescent="0.25">
      <c r="A513" s="139" t="s">
        <v>1289</v>
      </c>
      <c r="B513" s="139" t="s">
        <v>1290</v>
      </c>
      <c r="C513" s="139" t="s">
        <v>123</v>
      </c>
      <c r="D513" s="139" t="s">
        <v>1291</v>
      </c>
    </row>
    <row r="514" spans="1:4" x14ac:dyDescent="0.25">
      <c r="A514" s="139" t="s">
        <v>1292</v>
      </c>
      <c r="B514" s="139" t="s">
        <v>1290</v>
      </c>
      <c r="C514" s="139" t="s">
        <v>123</v>
      </c>
      <c r="D514" s="139" t="s">
        <v>1293</v>
      </c>
    </row>
    <row r="515" spans="1:4" x14ac:dyDescent="0.25">
      <c r="A515" s="139" t="s">
        <v>1294</v>
      </c>
      <c r="B515" s="139" t="s">
        <v>1295</v>
      </c>
      <c r="C515" s="139" t="s">
        <v>123</v>
      </c>
      <c r="D515" s="139" t="s">
        <v>1296</v>
      </c>
    </row>
    <row r="516" spans="1:4" x14ac:dyDescent="0.25">
      <c r="A516" s="139" t="s">
        <v>1297</v>
      </c>
      <c r="B516" s="139" t="s">
        <v>1295</v>
      </c>
      <c r="C516" s="139" t="s">
        <v>123</v>
      </c>
      <c r="D516" s="139" t="s">
        <v>1298</v>
      </c>
    </row>
    <row r="517" spans="1:4" x14ac:dyDescent="0.25">
      <c r="A517" s="139" t="s">
        <v>1299</v>
      </c>
      <c r="B517" s="139" t="s">
        <v>1300</v>
      </c>
      <c r="C517" s="139" t="s">
        <v>123</v>
      </c>
      <c r="D517" s="139" t="s">
        <v>1301</v>
      </c>
    </row>
    <row r="518" spans="1:4" x14ac:dyDescent="0.25">
      <c r="A518" s="139" t="s">
        <v>1302</v>
      </c>
      <c r="B518" s="139" t="s">
        <v>1300</v>
      </c>
      <c r="C518" s="139" t="s">
        <v>123</v>
      </c>
      <c r="D518" s="139" t="s">
        <v>1303</v>
      </c>
    </row>
    <row r="519" spans="1:4" x14ac:dyDescent="0.25">
      <c r="A519" s="139" t="s">
        <v>1304</v>
      </c>
      <c r="B519" s="139" t="s">
        <v>1305</v>
      </c>
      <c r="C519" s="139" t="s">
        <v>65</v>
      </c>
      <c r="D519" s="139" t="s">
        <v>1306</v>
      </c>
    </row>
    <row r="520" spans="1:4" x14ac:dyDescent="0.25">
      <c r="A520" s="139" t="s">
        <v>1307</v>
      </c>
      <c r="B520" s="139" t="s">
        <v>1305</v>
      </c>
      <c r="C520" s="139" t="s">
        <v>65</v>
      </c>
      <c r="D520" s="139" t="s">
        <v>1308</v>
      </c>
    </row>
    <row r="521" spans="1:4" x14ac:dyDescent="0.25">
      <c r="A521" s="139" t="s">
        <v>1309</v>
      </c>
      <c r="B521" s="139" t="s">
        <v>1310</v>
      </c>
      <c r="C521" s="139" t="s">
        <v>65</v>
      </c>
      <c r="D521" s="139" t="s">
        <v>1311</v>
      </c>
    </row>
    <row r="522" spans="1:4" x14ac:dyDescent="0.25">
      <c r="A522" s="139" t="s">
        <v>1312</v>
      </c>
      <c r="B522" s="139" t="s">
        <v>1310</v>
      </c>
      <c r="C522" s="139" t="s">
        <v>65</v>
      </c>
      <c r="D522" s="139" t="s">
        <v>1313</v>
      </c>
    </row>
    <row r="523" spans="1:4" x14ac:dyDescent="0.25">
      <c r="A523" s="139" t="s">
        <v>1314</v>
      </c>
      <c r="B523" s="139" t="s">
        <v>1315</v>
      </c>
      <c r="C523" s="139" t="s">
        <v>65</v>
      </c>
      <c r="D523" s="139" t="s">
        <v>1316</v>
      </c>
    </row>
    <row r="524" spans="1:4" x14ac:dyDescent="0.25">
      <c r="A524" s="139" t="s">
        <v>1317</v>
      </c>
      <c r="B524" s="139" t="s">
        <v>1315</v>
      </c>
      <c r="C524" s="139" t="s">
        <v>65</v>
      </c>
      <c r="D524" s="139" t="s">
        <v>1318</v>
      </c>
    </row>
    <row r="525" spans="1:4" x14ac:dyDescent="0.25">
      <c r="A525" s="139" t="s">
        <v>1319</v>
      </c>
      <c r="B525" s="139" t="s">
        <v>1320</v>
      </c>
      <c r="C525" s="139" t="s">
        <v>65</v>
      </c>
      <c r="D525" s="139" t="s">
        <v>1321</v>
      </c>
    </row>
    <row r="526" spans="1:4" x14ac:dyDescent="0.25">
      <c r="A526" s="139" t="s">
        <v>1322</v>
      </c>
      <c r="B526" s="139" t="s">
        <v>1320</v>
      </c>
      <c r="C526" s="139" t="s">
        <v>65</v>
      </c>
      <c r="D526" s="139" t="s">
        <v>1323</v>
      </c>
    </row>
    <row r="527" spans="1:4" x14ac:dyDescent="0.25">
      <c r="A527" s="139" t="s">
        <v>1324</v>
      </c>
      <c r="B527" s="139" t="s">
        <v>1325</v>
      </c>
      <c r="C527" s="139" t="s">
        <v>65</v>
      </c>
      <c r="D527" s="139" t="s">
        <v>1326</v>
      </c>
    </row>
    <row r="528" spans="1:4" x14ac:dyDescent="0.25">
      <c r="A528" s="139" t="s">
        <v>1327</v>
      </c>
      <c r="B528" s="139" t="s">
        <v>1325</v>
      </c>
      <c r="C528" s="139" t="s">
        <v>65</v>
      </c>
      <c r="D528" s="139" t="s">
        <v>1328</v>
      </c>
    </row>
    <row r="529" spans="1:4" x14ac:dyDescent="0.25">
      <c r="A529" s="139" t="s">
        <v>1329</v>
      </c>
      <c r="B529" s="139" t="s">
        <v>1330</v>
      </c>
      <c r="C529" s="139" t="s">
        <v>65</v>
      </c>
      <c r="D529" s="139" t="s">
        <v>1331</v>
      </c>
    </row>
    <row r="530" spans="1:4" x14ac:dyDescent="0.25">
      <c r="A530" s="139" t="s">
        <v>1332</v>
      </c>
      <c r="B530" s="139" t="s">
        <v>1330</v>
      </c>
      <c r="C530" s="139" t="s">
        <v>65</v>
      </c>
      <c r="D530" s="139" t="s">
        <v>1333</v>
      </c>
    </row>
    <row r="531" spans="1:4" x14ac:dyDescent="0.25">
      <c r="A531" s="139" t="s">
        <v>1334</v>
      </c>
      <c r="B531" s="139" t="s">
        <v>1335</v>
      </c>
      <c r="C531" s="139" t="s">
        <v>65</v>
      </c>
      <c r="D531" s="139" t="s">
        <v>1336</v>
      </c>
    </row>
    <row r="532" spans="1:4" x14ac:dyDescent="0.25">
      <c r="A532" s="139" t="s">
        <v>1337</v>
      </c>
      <c r="B532" s="139" t="s">
        <v>1335</v>
      </c>
      <c r="C532" s="139" t="s">
        <v>65</v>
      </c>
      <c r="D532" s="139" t="s">
        <v>1338</v>
      </c>
    </row>
    <row r="533" spans="1:4" x14ac:dyDescent="0.25">
      <c r="A533" s="139" t="s">
        <v>1339</v>
      </c>
      <c r="B533" s="139" t="s">
        <v>1340</v>
      </c>
      <c r="C533" s="139" t="s">
        <v>65</v>
      </c>
      <c r="D533" s="139" t="s">
        <v>1341</v>
      </c>
    </row>
    <row r="534" spans="1:4" x14ac:dyDescent="0.25">
      <c r="A534" s="139" t="s">
        <v>1342</v>
      </c>
      <c r="B534" s="139" t="s">
        <v>1340</v>
      </c>
      <c r="C534" s="139" t="s">
        <v>65</v>
      </c>
      <c r="D534" s="139" t="s">
        <v>1343</v>
      </c>
    </row>
    <row r="535" spans="1:4" x14ac:dyDescent="0.25">
      <c r="A535" s="139" t="s">
        <v>1344</v>
      </c>
      <c r="B535" s="139" t="s">
        <v>1345</v>
      </c>
      <c r="C535" s="139" t="s">
        <v>65</v>
      </c>
      <c r="D535" s="139" t="s">
        <v>1346</v>
      </c>
    </row>
    <row r="536" spans="1:4" x14ac:dyDescent="0.25">
      <c r="A536" s="139" t="s">
        <v>1347</v>
      </c>
      <c r="B536" s="139" t="s">
        <v>1345</v>
      </c>
      <c r="C536" s="139" t="s">
        <v>65</v>
      </c>
      <c r="D536" s="139" t="s">
        <v>1348</v>
      </c>
    </row>
    <row r="537" spans="1:4" x14ac:dyDescent="0.25">
      <c r="A537" s="139" t="s">
        <v>1349</v>
      </c>
      <c r="B537" s="139" t="s">
        <v>1350</v>
      </c>
      <c r="C537" s="139" t="s">
        <v>65</v>
      </c>
      <c r="D537" s="139" t="s">
        <v>1351</v>
      </c>
    </row>
    <row r="538" spans="1:4" x14ac:dyDescent="0.25">
      <c r="A538" s="139" t="s">
        <v>1352</v>
      </c>
      <c r="B538" s="139" t="s">
        <v>1350</v>
      </c>
      <c r="C538" s="139" t="s">
        <v>65</v>
      </c>
      <c r="D538" s="139" t="s">
        <v>1353</v>
      </c>
    </row>
    <row r="539" spans="1:4" x14ac:dyDescent="0.25">
      <c r="A539" s="139" t="s">
        <v>1354</v>
      </c>
      <c r="B539" s="139" t="s">
        <v>1355</v>
      </c>
      <c r="C539" s="139" t="s">
        <v>65</v>
      </c>
      <c r="D539" s="139" t="s">
        <v>1356</v>
      </c>
    </row>
    <row r="540" spans="1:4" x14ac:dyDescent="0.25">
      <c r="A540" s="139" t="s">
        <v>1357</v>
      </c>
      <c r="B540" s="139" t="s">
        <v>1355</v>
      </c>
      <c r="C540" s="139" t="s">
        <v>65</v>
      </c>
      <c r="D540" s="139" t="s">
        <v>1358</v>
      </c>
    </row>
    <row r="541" spans="1:4" x14ac:dyDescent="0.25">
      <c r="A541" s="139" t="s">
        <v>1359</v>
      </c>
      <c r="B541" s="139" t="s">
        <v>1360</v>
      </c>
      <c r="C541" s="139" t="s">
        <v>65</v>
      </c>
      <c r="D541" s="139" t="s">
        <v>1361</v>
      </c>
    </row>
    <row r="542" spans="1:4" x14ac:dyDescent="0.25">
      <c r="A542" s="139" t="s">
        <v>1362</v>
      </c>
      <c r="B542" s="139" t="s">
        <v>1360</v>
      </c>
      <c r="C542" s="139" t="s">
        <v>65</v>
      </c>
      <c r="D542" s="139" t="s">
        <v>1363</v>
      </c>
    </row>
    <row r="543" spans="1:4" x14ac:dyDescent="0.25">
      <c r="A543" s="139" t="s">
        <v>1364</v>
      </c>
      <c r="B543" s="139" t="s">
        <v>1365</v>
      </c>
      <c r="C543" s="139" t="s">
        <v>65</v>
      </c>
      <c r="D543" s="139" t="s">
        <v>1366</v>
      </c>
    </row>
    <row r="544" spans="1:4" x14ac:dyDescent="0.25">
      <c r="A544" s="139" t="s">
        <v>1367</v>
      </c>
      <c r="B544" s="139" t="s">
        <v>1365</v>
      </c>
      <c r="C544" s="139" t="s">
        <v>65</v>
      </c>
      <c r="D544" s="139" t="s">
        <v>1368</v>
      </c>
    </row>
    <row r="545" spans="1:4" x14ac:dyDescent="0.25">
      <c r="A545" s="139" t="s">
        <v>1369</v>
      </c>
      <c r="B545" s="139" t="s">
        <v>1370</v>
      </c>
      <c r="C545" s="139" t="s">
        <v>65</v>
      </c>
      <c r="D545" s="139" t="s">
        <v>1371</v>
      </c>
    </row>
    <row r="546" spans="1:4" x14ac:dyDescent="0.25">
      <c r="A546" s="139" t="s">
        <v>1372</v>
      </c>
      <c r="B546" s="139" t="s">
        <v>1370</v>
      </c>
      <c r="C546" s="139" t="s">
        <v>65</v>
      </c>
      <c r="D546" s="139" t="s">
        <v>1373</v>
      </c>
    </row>
    <row r="547" spans="1:4" x14ac:dyDescent="0.25">
      <c r="A547" s="139" t="s">
        <v>1374</v>
      </c>
      <c r="B547" s="139" t="s">
        <v>1375</v>
      </c>
      <c r="C547" s="139" t="s">
        <v>65</v>
      </c>
      <c r="D547" s="139" t="s">
        <v>1376</v>
      </c>
    </row>
    <row r="548" spans="1:4" x14ac:dyDescent="0.25">
      <c r="A548" s="139" t="s">
        <v>1377</v>
      </c>
      <c r="B548" s="139" t="s">
        <v>1375</v>
      </c>
      <c r="C548" s="139" t="s">
        <v>65</v>
      </c>
      <c r="D548" s="139" t="s">
        <v>1378</v>
      </c>
    </row>
    <row r="549" spans="1:4" x14ac:dyDescent="0.25">
      <c r="A549" s="139" t="s">
        <v>1379</v>
      </c>
      <c r="B549" s="139" t="s">
        <v>1380</v>
      </c>
      <c r="C549" s="139" t="s">
        <v>33</v>
      </c>
      <c r="D549" s="139" t="s">
        <v>1381</v>
      </c>
    </row>
    <row r="550" spans="1:4" x14ac:dyDescent="0.25">
      <c r="A550" s="139" t="s">
        <v>1382</v>
      </c>
      <c r="B550" s="139" t="s">
        <v>1380</v>
      </c>
      <c r="C550" s="139" t="s">
        <v>33</v>
      </c>
      <c r="D550" s="139" t="s">
        <v>1383</v>
      </c>
    </row>
    <row r="551" spans="1:4" x14ac:dyDescent="0.25">
      <c r="A551" s="139" t="s">
        <v>1384</v>
      </c>
      <c r="B551" s="139" t="s">
        <v>1350</v>
      </c>
      <c r="C551" s="139" t="s">
        <v>123</v>
      </c>
      <c r="D551" s="139" t="s">
        <v>1385</v>
      </c>
    </row>
    <row r="552" spans="1:4" x14ac:dyDescent="0.25">
      <c r="A552" s="139" t="s">
        <v>1386</v>
      </c>
      <c r="B552" s="139" t="s">
        <v>1350</v>
      </c>
      <c r="C552" s="139" t="s">
        <v>123</v>
      </c>
      <c r="D552" s="139" t="s">
        <v>1387</v>
      </c>
    </row>
    <row r="553" spans="1:4" x14ac:dyDescent="0.25">
      <c r="A553" s="139" t="s">
        <v>1388</v>
      </c>
      <c r="B553" s="139" t="s">
        <v>1389</v>
      </c>
      <c r="C553" s="139" t="s">
        <v>123</v>
      </c>
      <c r="D553" s="139" t="s">
        <v>1390</v>
      </c>
    </row>
    <row r="554" spans="1:4" x14ac:dyDescent="0.25">
      <c r="A554" s="139" t="s">
        <v>1391</v>
      </c>
      <c r="B554" s="139" t="s">
        <v>1389</v>
      </c>
      <c r="C554" s="139" t="s">
        <v>123</v>
      </c>
      <c r="D554" s="139" t="s">
        <v>1392</v>
      </c>
    </row>
    <row r="555" spans="1:4" x14ac:dyDescent="0.25">
      <c r="A555" s="139" t="s">
        <v>1393</v>
      </c>
      <c r="B555" s="139" t="s">
        <v>1394</v>
      </c>
      <c r="C555" s="139" t="s">
        <v>123</v>
      </c>
      <c r="D555" s="139" t="s">
        <v>1395</v>
      </c>
    </row>
    <row r="556" spans="1:4" x14ac:dyDescent="0.25">
      <c r="A556" s="139" t="s">
        <v>1396</v>
      </c>
      <c r="B556" s="139" t="s">
        <v>1394</v>
      </c>
      <c r="C556" s="139" t="s">
        <v>123</v>
      </c>
      <c r="D556" s="139" t="s">
        <v>1397</v>
      </c>
    </row>
    <row r="557" spans="1:4" x14ac:dyDescent="0.25">
      <c r="A557" s="139" t="s">
        <v>1398</v>
      </c>
      <c r="B557" s="139" t="s">
        <v>1399</v>
      </c>
      <c r="C557" s="139" t="s">
        <v>112</v>
      </c>
      <c r="D557" s="139" t="s">
        <v>1400</v>
      </c>
    </row>
    <row r="558" spans="1:4" x14ac:dyDescent="0.25">
      <c r="A558" s="139" t="s">
        <v>1401</v>
      </c>
      <c r="B558" s="139" t="s">
        <v>1399</v>
      </c>
      <c r="C558" s="139" t="s">
        <v>112</v>
      </c>
      <c r="D558" s="139" t="s">
        <v>1402</v>
      </c>
    </row>
    <row r="559" spans="1:4" x14ac:dyDescent="0.25">
      <c r="A559" s="139" t="s">
        <v>1403</v>
      </c>
      <c r="B559" s="139" t="s">
        <v>1404</v>
      </c>
      <c r="C559" s="139" t="s">
        <v>112</v>
      </c>
      <c r="D559" s="139" t="s">
        <v>1405</v>
      </c>
    </row>
    <row r="560" spans="1:4" x14ac:dyDescent="0.25">
      <c r="A560" s="139" t="s">
        <v>1406</v>
      </c>
      <c r="B560" s="139" t="s">
        <v>1404</v>
      </c>
      <c r="C560" s="139" t="s">
        <v>112</v>
      </c>
      <c r="D560" s="139" t="s">
        <v>1407</v>
      </c>
    </row>
    <row r="561" spans="1:4" x14ac:dyDescent="0.25">
      <c r="A561" s="139" t="s">
        <v>1408</v>
      </c>
      <c r="B561" s="139" t="s">
        <v>1409</v>
      </c>
      <c r="C561" s="139" t="s">
        <v>112</v>
      </c>
      <c r="D561" s="139" t="s">
        <v>1410</v>
      </c>
    </row>
    <row r="562" spans="1:4" x14ac:dyDescent="0.25">
      <c r="A562" s="139" t="s">
        <v>1411</v>
      </c>
      <c r="B562" s="139" t="s">
        <v>1409</v>
      </c>
      <c r="C562" s="139" t="s">
        <v>112</v>
      </c>
      <c r="D562" s="139" t="s">
        <v>1412</v>
      </c>
    </row>
    <row r="563" spans="1:4" x14ac:dyDescent="0.25">
      <c r="A563" s="139" t="s">
        <v>1413</v>
      </c>
      <c r="B563" s="139" t="s">
        <v>1414</v>
      </c>
      <c r="C563" s="139" t="s">
        <v>112</v>
      </c>
      <c r="D563" s="139" t="s">
        <v>1415</v>
      </c>
    </row>
    <row r="564" spans="1:4" x14ac:dyDescent="0.25">
      <c r="A564" s="139" t="s">
        <v>1416</v>
      </c>
      <c r="B564" s="139" t="s">
        <v>1414</v>
      </c>
      <c r="C564" s="139" t="s">
        <v>112</v>
      </c>
      <c r="D564" s="139" t="s">
        <v>1417</v>
      </c>
    </row>
    <row r="565" spans="1:4" x14ac:dyDescent="0.25">
      <c r="A565" s="139" t="s">
        <v>1418</v>
      </c>
      <c r="B565" s="139" t="s">
        <v>374</v>
      </c>
      <c r="C565" s="139" t="s">
        <v>123</v>
      </c>
      <c r="D565" s="139" t="s">
        <v>1419</v>
      </c>
    </row>
    <row r="566" spans="1:4" x14ac:dyDescent="0.25">
      <c r="A566" s="139" t="s">
        <v>1420</v>
      </c>
      <c r="B566" s="139" t="s">
        <v>374</v>
      </c>
      <c r="C566" s="139" t="s">
        <v>123</v>
      </c>
      <c r="D566" s="139" t="s">
        <v>1421</v>
      </c>
    </row>
    <row r="567" spans="1:4" x14ac:dyDescent="0.25">
      <c r="A567" s="139" t="s">
        <v>1422</v>
      </c>
      <c r="B567" s="139" t="s">
        <v>1271</v>
      </c>
      <c r="C567" s="139" t="s">
        <v>123</v>
      </c>
      <c r="D567" s="139" t="s">
        <v>1423</v>
      </c>
    </row>
    <row r="568" spans="1:4" x14ac:dyDescent="0.25">
      <c r="A568" s="139" t="s">
        <v>1424</v>
      </c>
      <c r="B568" s="139" t="s">
        <v>1271</v>
      </c>
      <c r="C568" s="139" t="s">
        <v>123</v>
      </c>
      <c r="D568" s="139" t="s">
        <v>1425</v>
      </c>
    </row>
    <row r="569" spans="1:4" x14ac:dyDescent="0.25">
      <c r="A569" s="139" t="s">
        <v>1426</v>
      </c>
      <c r="B569" s="139" t="s">
        <v>541</v>
      </c>
      <c r="C569" s="139" t="s">
        <v>33</v>
      </c>
      <c r="D569" s="139" t="s">
        <v>1427</v>
      </c>
    </row>
    <row r="570" spans="1:4" x14ac:dyDescent="0.25">
      <c r="A570" s="139" t="s">
        <v>1428</v>
      </c>
      <c r="B570" s="139" t="s">
        <v>541</v>
      </c>
      <c r="C570" s="139" t="s">
        <v>33</v>
      </c>
      <c r="D570" s="139" t="s">
        <v>1429</v>
      </c>
    </row>
    <row r="571" spans="1:4" x14ac:dyDescent="0.25">
      <c r="A571" s="139" t="s">
        <v>1430</v>
      </c>
      <c r="B571" s="139" t="s">
        <v>1431</v>
      </c>
      <c r="C571" s="139" t="s">
        <v>33</v>
      </c>
      <c r="D571" s="139" t="s">
        <v>1432</v>
      </c>
    </row>
    <row r="572" spans="1:4" x14ac:dyDescent="0.25">
      <c r="A572" s="139" t="s">
        <v>1433</v>
      </c>
      <c r="B572" s="139" t="s">
        <v>1431</v>
      </c>
      <c r="C572" s="139" t="s">
        <v>33</v>
      </c>
      <c r="D572" s="139" t="s">
        <v>1434</v>
      </c>
    </row>
    <row r="573" spans="1:4" x14ac:dyDescent="0.25">
      <c r="A573" s="139" t="s">
        <v>1435</v>
      </c>
      <c r="B573" s="139" t="s">
        <v>547</v>
      </c>
      <c r="C573" s="139" t="s">
        <v>33</v>
      </c>
      <c r="D573" s="139" t="s">
        <v>1436</v>
      </c>
    </row>
    <row r="574" spans="1:4" x14ac:dyDescent="0.25">
      <c r="A574" s="139" t="s">
        <v>1437</v>
      </c>
      <c r="B574" s="139" t="s">
        <v>547</v>
      </c>
      <c r="C574" s="139" t="s">
        <v>33</v>
      </c>
      <c r="D574" s="139" t="s">
        <v>1438</v>
      </c>
    </row>
    <row r="575" spans="1:4" x14ac:dyDescent="0.25">
      <c r="A575" s="139" t="s">
        <v>1439</v>
      </c>
      <c r="B575" s="139" t="s">
        <v>534</v>
      </c>
      <c r="C575" s="139" t="s">
        <v>33</v>
      </c>
      <c r="D575" s="139" t="s">
        <v>1440</v>
      </c>
    </row>
    <row r="576" spans="1:4" x14ac:dyDescent="0.25">
      <c r="A576" s="139" t="s">
        <v>1441</v>
      </c>
      <c r="B576" s="139" t="s">
        <v>534</v>
      </c>
      <c r="C576" s="139" t="s">
        <v>33</v>
      </c>
      <c r="D576" s="139" t="s">
        <v>1442</v>
      </c>
    </row>
    <row r="577" spans="1:4" x14ac:dyDescent="0.25">
      <c r="A577" s="139" t="s">
        <v>1443</v>
      </c>
      <c r="B577" s="139" t="s">
        <v>1444</v>
      </c>
      <c r="C577" s="139" t="s">
        <v>33</v>
      </c>
      <c r="D577" s="139" t="s">
        <v>1445</v>
      </c>
    </row>
    <row r="578" spans="1:4" x14ac:dyDescent="0.25">
      <c r="A578" s="139" t="s">
        <v>1446</v>
      </c>
      <c r="B578" s="139" t="s">
        <v>1444</v>
      </c>
      <c r="C578" s="139" t="s">
        <v>33</v>
      </c>
      <c r="D578" s="139" t="s">
        <v>1447</v>
      </c>
    </row>
    <row r="579" spans="1:4" x14ac:dyDescent="0.25">
      <c r="A579" s="139" t="s">
        <v>1448</v>
      </c>
      <c r="B579" s="139" t="s">
        <v>1449</v>
      </c>
      <c r="C579" s="139" t="s">
        <v>33</v>
      </c>
      <c r="D579" s="139" t="s">
        <v>1450</v>
      </c>
    </row>
    <row r="580" spans="1:4" x14ac:dyDescent="0.25">
      <c r="A580" s="139" t="s">
        <v>1451</v>
      </c>
      <c r="B580" s="139" t="s">
        <v>1449</v>
      </c>
      <c r="C580" s="139" t="s">
        <v>33</v>
      </c>
      <c r="D580" s="139" t="s">
        <v>1452</v>
      </c>
    </row>
    <row r="581" spans="1:4" x14ac:dyDescent="0.25">
      <c r="A581" s="139" t="s">
        <v>1453</v>
      </c>
      <c r="B581" s="139" t="s">
        <v>1454</v>
      </c>
      <c r="C581" s="139" t="s">
        <v>33</v>
      </c>
      <c r="D581" s="139" t="s">
        <v>1455</v>
      </c>
    </row>
    <row r="582" spans="1:4" x14ac:dyDescent="0.25">
      <c r="A582" s="139" t="s">
        <v>1456</v>
      </c>
      <c r="B582" s="139" t="s">
        <v>1454</v>
      </c>
      <c r="C582" s="139" t="s">
        <v>33</v>
      </c>
      <c r="D582" s="139" t="s">
        <v>1457</v>
      </c>
    </row>
    <row r="583" spans="1:4" x14ac:dyDescent="0.25">
      <c r="A583" s="139" t="s">
        <v>1458</v>
      </c>
      <c r="B583" s="139" t="s">
        <v>1459</v>
      </c>
      <c r="C583" s="139" t="s">
        <v>33</v>
      </c>
      <c r="D583" s="139" t="s">
        <v>1460</v>
      </c>
    </row>
    <row r="584" spans="1:4" x14ac:dyDescent="0.25">
      <c r="A584" s="139" t="s">
        <v>1461</v>
      </c>
      <c r="B584" s="139" t="s">
        <v>1459</v>
      </c>
      <c r="C584" s="139" t="s">
        <v>33</v>
      </c>
      <c r="D584" s="139" t="s">
        <v>1462</v>
      </c>
    </row>
    <row r="585" spans="1:4" x14ac:dyDescent="0.25">
      <c r="A585" s="139" t="s">
        <v>1463</v>
      </c>
      <c r="B585" s="139" t="s">
        <v>1464</v>
      </c>
      <c r="C585" s="139" t="s">
        <v>33</v>
      </c>
      <c r="D585" s="139" t="s">
        <v>1465</v>
      </c>
    </row>
    <row r="586" spans="1:4" x14ac:dyDescent="0.25">
      <c r="A586" s="139" t="s">
        <v>1466</v>
      </c>
      <c r="B586" s="139" t="s">
        <v>1464</v>
      </c>
      <c r="C586" s="139" t="s">
        <v>33</v>
      </c>
      <c r="D586" s="139" t="s">
        <v>1467</v>
      </c>
    </row>
    <row r="587" spans="1:4" x14ac:dyDescent="0.25">
      <c r="A587" s="139" t="s">
        <v>1468</v>
      </c>
      <c r="B587" s="139" t="s">
        <v>1469</v>
      </c>
      <c r="C587" s="139" t="s">
        <v>658</v>
      </c>
      <c r="D587" s="139" t="s">
        <v>1470</v>
      </c>
    </row>
    <row r="588" spans="1:4" x14ac:dyDescent="0.25">
      <c r="A588" s="139" t="s">
        <v>1471</v>
      </c>
      <c r="B588" s="139" t="s">
        <v>1469</v>
      </c>
      <c r="C588" s="139" t="s">
        <v>658</v>
      </c>
      <c r="D588" s="139" t="s">
        <v>1472</v>
      </c>
    </row>
    <row r="589" spans="1:4" x14ac:dyDescent="0.25">
      <c r="A589" s="139" t="s">
        <v>1473</v>
      </c>
      <c r="B589" s="139" t="s">
        <v>1474</v>
      </c>
      <c r="C589" s="139" t="s">
        <v>127</v>
      </c>
      <c r="D589" s="139" t="s">
        <v>1475</v>
      </c>
    </row>
    <row r="590" spans="1:4" x14ac:dyDescent="0.25">
      <c r="A590" s="139" t="s">
        <v>1476</v>
      </c>
      <c r="B590" s="139" t="s">
        <v>1474</v>
      </c>
      <c r="C590" s="139" t="s">
        <v>127</v>
      </c>
      <c r="D590" s="139" t="s">
        <v>1477</v>
      </c>
    </row>
    <row r="591" spans="1:4" x14ac:dyDescent="0.25">
      <c r="A591" s="139" t="s">
        <v>1478</v>
      </c>
      <c r="B591" s="139" t="s">
        <v>1479</v>
      </c>
      <c r="C591" s="139" t="s">
        <v>127</v>
      </c>
      <c r="D591" s="139" t="s">
        <v>1480</v>
      </c>
    </row>
    <row r="592" spans="1:4" x14ac:dyDescent="0.25">
      <c r="A592" s="139" t="s">
        <v>1481</v>
      </c>
      <c r="B592" s="139" t="s">
        <v>1479</v>
      </c>
      <c r="C592" s="139" t="s">
        <v>127</v>
      </c>
      <c r="D592" s="139" t="s">
        <v>1482</v>
      </c>
    </row>
    <row r="593" spans="1:4" x14ac:dyDescent="0.25">
      <c r="A593" s="139" t="s">
        <v>1483</v>
      </c>
      <c r="B593" s="139" t="s">
        <v>1484</v>
      </c>
      <c r="C593" s="139" t="s">
        <v>65</v>
      </c>
      <c r="D593" s="139" t="s">
        <v>1485</v>
      </c>
    </row>
    <row r="594" spans="1:4" x14ac:dyDescent="0.25">
      <c r="A594" s="139" t="s">
        <v>1486</v>
      </c>
      <c r="B594" s="139" t="s">
        <v>1484</v>
      </c>
      <c r="C594" s="139" t="s">
        <v>65</v>
      </c>
      <c r="D594" s="139" t="s">
        <v>1487</v>
      </c>
    </row>
    <row r="595" spans="1:4" x14ac:dyDescent="0.25">
      <c r="A595" s="139" t="s">
        <v>1488</v>
      </c>
      <c r="B595" s="139" t="s">
        <v>1489</v>
      </c>
      <c r="C595" s="139" t="s">
        <v>65</v>
      </c>
      <c r="D595" s="139" t="s">
        <v>1490</v>
      </c>
    </row>
    <row r="596" spans="1:4" x14ac:dyDescent="0.25">
      <c r="A596" s="139" t="s">
        <v>1491</v>
      </c>
      <c r="B596" s="139" t="s">
        <v>1489</v>
      </c>
      <c r="C596" s="139" t="s">
        <v>65</v>
      </c>
      <c r="D596" s="139" t="s">
        <v>1492</v>
      </c>
    </row>
    <row r="597" spans="1:4" x14ac:dyDescent="0.25">
      <c r="A597" s="139" t="s">
        <v>1493</v>
      </c>
      <c r="B597" s="139" t="s">
        <v>1494</v>
      </c>
      <c r="C597" s="139" t="s">
        <v>65</v>
      </c>
      <c r="D597" s="139" t="s">
        <v>1495</v>
      </c>
    </row>
    <row r="598" spans="1:4" x14ac:dyDescent="0.25">
      <c r="A598" s="139" t="s">
        <v>1496</v>
      </c>
      <c r="B598" s="139" t="s">
        <v>1494</v>
      </c>
      <c r="C598" s="139" t="s">
        <v>65</v>
      </c>
      <c r="D598" s="139" t="s">
        <v>1497</v>
      </c>
    </row>
    <row r="599" spans="1:4" x14ac:dyDescent="0.25">
      <c r="A599" s="139" t="s">
        <v>1498</v>
      </c>
      <c r="B599" s="139" t="s">
        <v>1499</v>
      </c>
      <c r="C599" s="139" t="s">
        <v>65</v>
      </c>
      <c r="D599" s="139" t="s">
        <v>1500</v>
      </c>
    </row>
    <row r="600" spans="1:4" x14ac:dyDescent="0.25">
      <c r="A600" s="139" t="s">
        <v>1501</v>
      </c>
      <c r="B600" s="139" t="s">
        <v>1499</v>
      </c>
      <c r="C600" s="139" t="s">
        <v>65</v>
      </c>
      <c r="D600" s="139" t="s">
        <v>1502</v>
      </c>
    </row>
    <row r="601" spans="1:4" x14ac:dyDescent="0.25">
      <c r="A601" s="139" t="s">
        <v>1503</v>
      </c>
      <c r="B601" s="139" t="s">
        <v>1504</v>
      </c>
      <c r="C601" s="139" t="s">
        <v>65</v>
      </c>
      <c r="D601" s="139" t="s">
        <v>1505</v>
      </c>
    </row>
    <row r="602" spans="1:4" x14ac:dyDescent="0.25">
      <c r="A602" s="139" t="s">
        <v>1506</v>
      </c>
      <c r="B602" s="139" t="s">
        <v>1504</v>
      </c>
      <c r="C602" s="139" t="s">
        <v>65</v>
      </c>
      <c r="D602" s="139" t="s">
        <v>1507</v>
      </c>
    </row>
    <row r="603" spans="1:4" x14ac:dyDescent="0.25">
      <c r="A603" s="139" t="s">
        <v>1508</v>
      </c>
      <c r="B603" s="139" t="s">
        <v>1509</v>
      </c>
      <c r="C603" s="139" t="s">
        <v>65</v>
      </c>
      <c r="D603" s="139" t="s">
        <v>1510</v>
      </c>
    </row>
    <row r="604" spans="1:4" x14ac:dyDescent="0.25">
      <c r="A604" s="139" t="s">
        <v>1511</v>
      </c>
      <c r="B604" s="139" t="s">
        <v>1509</v>
      </c>
      <c r="C604" s="139" t="s">
        <v>65</v>
      </c>
      <c r="D604" s="139" t="s">
        <v>1512</v>
      </c>
    </row>
    <row r="605" spans="1:4" x14ac:dyDescent="0.25">
      <c r="A605" s="139" t="s">
        <v>1513</v>
      </c>
      <c r="B605" s="139" t="s">
        <v>1514</v>
      </c>
      <c r="C605" s="139" t="s">
        <v>65</v>
      </c>
      <c r="D605" s="139" t="s">
        <v>1515</v>
      </c>
    </row>
    <row r="606" spans="1:4" x14ac:dyDescent="0.25">
      <c r="A606" s="139" t="s">
        <v>1516</v>
      </c>
      <c r="B606" s="139" t="s">
        <v>1514</v>
      </c>
      <c r="C606" s="139" t="s">
        <v>65</v>
      </c>
      <c r="D606" s="139" t="s">
        <v>1517</v>
      </c>
    </row>
    <row r="607" spans="1:4" x14ac:dyDescent="0.25">
      <c r="A607" s="139" t="s">
        <v>1518</v>
      </c>
      <c r="B607" s="139" t="s">
        <v>1519</v>
      </c>
      <c r="C607" s="139" t="s">
        <v>65</v>
      </c>
      <c r="D607" s="139" t="s">
        <v>1520</v>
      </c>
    </row>
    <row r="608" spans="1:4" x14ac:dyDescent="0.25">
      <c r="A608" s="139" t="s">
        <v>1521</v>
      </c>
      <c r="B608" s="139" t="s">
        <v>1519</v>
      </c>
      <c r="C608" s="139" t="s">
        <v>65</v>
      </c>
      <c r="D608" s="139" t="s">
        <v>1522</v>
      </c>
    </row>
    <row r="609" spans="1:4" x14ac:dyDescent="0.25">
      <c r="A609" s="139" t="s">
        <v>1523</v>
      </c>
      <c r="B609" s="139" t="s">
        <v>1524</v>
      </c>
      <c r="C609" s="139" t="s">
        <v>65</v>
      </c>
      <c r="D609" s="139" t="s">
        <v>1525</v>
      </c>
    </row>
    <row r="610" spans="1:4" x14ac:dyDescent="0.25">
      <c r="A610" s="139" t="s">
        <v>1526</v>
      </c>
      <c r="B610" s="139" t="s">
        <v>1524</v>
      </c>
      <c r="C610" s="139" t="s">
        <v>65</v>
      </c>
      <c r="D610" s="139" t="s">
        <v>1527</v>
      </c>
    </row>
    <row r="611" spans="1:4" x14ac:dyDescent="0.25">
      <c r="A611" s="139" t="s">
        <v>1528</v>
      </c>
      <c r="B611" s="139" t="s">
        <v>1529</v>
      </c>
      <c r="C611" s="139" t="s">
        <v>65</v>
      </c>
      <c r="D611" s="139" t="s">
        <v>1530</v>
      </c>
    </row>
    <row r="612" spans="1:4" x14ac:dyDescent="0.25">
      <c r="A612" s="139" t="s">
        <v>1531</v>
      </c>
      <c r="B612" s="139" t="s">
        <v>1529</v>
      </c>
      <c r="C612" s="139" t="s">
        <v>65</v>
      </c>
      <c r="D612" s="139" t="s">
        <v>1532</v>
      </c>
    </row>
    <row r="613" spans="1:4" x14ac:dyDescent="0.25">
      <c r="A613" s="139" t="s">
        <v>1533</v>
      </c>
      <c r="B613" s="139" t="s">
        <v>1534</v>
      </c>
      <c r="C613" s="139" t="s">
        <v>65</v>
      </c>
      <c r="D613" s="139" t="s">
        <v>1535</v>
      </c>
    </row>
    <row r="614" spans="1:4" x14ac:dyDescent="0.25">
      <c r="A614" s="139" t="s">
        <v>1536</v>
      </c>
      <c r="B614" s="139" t="s">
        <v>1534</v>
      </c>
      <c r="C614" s="139" t="s">
        <v>65</v>
      </c>
      <c r="D614" s="139" t="s">
        <v>1537</v>
      </c>
    </row>
    <row r="615" spans="1:4" x14ac:dyDescent="0.25">
      <c r="A615" s="139" t="s">
        <v>1538</v>
      </c>
      <c r="B615" s="139" t="s">
        <v>1539</v>
      </c>
      <c r="C615" s="139" t="s">
        <v>65</v>
      </c>
      <c r="D615" s="139" t="s">
        <v>1540</v>
      </c>
    </row>
    <row r="616" spans="1:4" x14ac:dyDescent="0.25">
      <c r="A616" s="139" t="s">
        <v>1541</v>
      </c>
      <c r="B616" s="139" t="s">
        <v>1539</v>
      </c>
      <c r="C616" s="139" t="s">
        <v>65</v>
      </c>
      <c r="D616" s="139" t="s">
        <v>1542</v>
      </c>
    </row>
    <row r="617" spans="1:4" x14ac:dyDescent="0.25">
      <c r="A617" s="139" t="s">
        <v>1543</v>
      </c>
      <c r="B617" s="139" t="s">
        <v>1544</v>
      </c>
      <c r="C617" s="139" t="s">
        <v>33</v>
      </c>
      <c r="D617" s="139" t="s">
        <v>1545</v>
      </c>
    </row>
    <row r="618" spans="1:4" x14ac:dyDescent="0.25">
      <c r="A618" s="139" t="s">
        <v>1546</v>
      </c>
      <c r="B618" s="139" t="s">
        <v>1544</v>
      </c>
      <c r="C618" s="139" t="s">
        <v>33</v>
      </c>
      <c r="D618" s="139" t="s">
        <v>1547</v>
      </c>
    </row>
    <row r="619" spans="1:4" x14ac:dyDescent="0.25">
      <c r="A619" s="139" t="s">
        <v>1548</v>
      </c>
      <c r="B619" s="139" t="s">
        <v>1549</v>
      </c>
      <c r="C619" s="139" t="s">
        <v>65</v>
      </c>
      <c r="D619" s="139" t="s">
        <v>1550</v>
      </c>
    </row>
    <row r="620" spans="1:4" x14ac:dyDescent="0.25">
      <c r="A620" s="139" t="s">
        <v>1551</v>
      </c>
      <c r="B620" s="139" t="s">
        <v>1549</v>
      </c>
      <c r="C620" s="139" t="s">
        <v>65</v>
      </c>
      <c r="D620" s="139" t="s">
        <v>1552</v>
      </c>
    </row>
    <row r="621" spans="1:4" x14ac:dyDescent="0.25">
      <c r="A621" s="139" t="s">
        <v>1553</v>
      </c>
      <c r="B621" s="139" t="s">
        <v>1554</v>
      </c>
      <c r="C621" s="139" t="s">
        <v>65</v>
      </c>
      <c r="D621" s="139" t="s">
        <v>1555</v>
      </c>
    </row>
    <row r="622" spans="1:4" x14ac:dyDescent="0.25">
      <c r="A622" s="139" t="s">
        <v>1556</v>
      </c>
      <c r="B622" s="139" t="s">
        <v>1554</v>
      </c>
      <c r="C622" s="139" t="s">
        <v>65</v>
      </c>
      <c r="D622" s="139" t="s">
        <v>1557</v>
      </c>
    </row>
    <row r="623" spans="1:4" x14ac:dyDescent="0.25">
      <c r="A623" s="139" t="s">
        <v>1558</v>
      </c>
      <c r="B623" s="139" t="s">
        <v>1559</v>
      </c>
      <c r="C623" s="139" t="s">
        <v>65</v>
      </c>
      <c r="D623" s="139" t="s">
        <v>1560</v>
      </c>
    </row>
    <row r="624" spans="1:4" x14ac:dyDescent="0.25">
      <c r="A624" s="139" t="s">
        <v>1561</v>
      </c>
      <c r="B624" s="139" t="s">
        <v>1559</v>
      </c>
      <c r="C624" s="139" t="s">
        <v>65</v>
      </c>
      <c r="D624" s="139" t="s">
        <v>1562</v>
      </c>
    </row>
    <row r="625" spans="1:4" x14ac:dyDescent="0.25">
      <c r="A625" s="139" t="s">
        <v>1563</v>
      </c>
      <c r="B625" s="139" t="s">
        <v>1564</v>
      </c>
      <c r="C625" s="139" t="s">
        <v>65</v>
      </c>
      <c r="D625" s="139" t="s">
        <v>1565</v>
      </c>
    </row>
    <row r="626" spans="1:4" x14ac:dyDescent="0.25">
      <c r="A626" s="139" t="s">
        <v>1566</v>
      </c>
      <c r="B626" s="139" t="s">
        <v>1564</v>
      </c>
      <c r="C626" s="139" t="s">
        <v>65</v>
      </c>
      <c r="D626" s="139" t="s">
        <v>1567</v>
      </c>
    </row>
    <row r="627" spans="1:4" x14ac:dyDescent="0.25">
      <c r="A627" s="139" t="s">
        <v>1568</v>
      </c>
      <c r="B627" s="139" t="s">
        <v>1569</v>
      </c>
      <c r="C627" s="139" t="s">
        <v>65</v>
      </c>
      <c r="D627" s="139" t="s">
        <v>1570</v>
      </c>
    </row>
    <row r="628" spans="1:4" x14ac:dyDescent="0.25">
      <c r="A628" s="139" t="s">
        <v>1571</v>
      </c>
      <c r="B628" s="139" t="s">
        <v>1569</v>
      </c>
      <c r="C628" s="139" t="s">
        <v>65</v>
      </c>
      <c r="D628" s="139" t="s">
        <v>1572</v>
      </c>
    </row>
    <row r="629" spans="1:4" x14ac:dyDescent="0.25">
      <c r="A629" s="139" t="s">
        <v>1573</v>
      </c>
      <c r="B629" s="139" t="s">
        <v>1574</v>
      </c>
      <c r="C629" s="139" t="s">
        <v>44</v>
      </c>
      <c r="D629" s="139" t="s">
        <v>1575</v>
      </c>
    </row>
    <row r="630" spans="1:4" x14ac:dyDescent="0.25">
      <c r="A630" s="139" t="s">
        <v>1576</v>
      </c>
      <c r="B630" s="139" t="s">
        <v>1574</v>
      </c>
      <c r="C630" s="139" t="s">
        <v>44</v>
      </c>
      <c r="D630" s="139" t="s">
        <v>1577</v>
      </c>
    </row>
    <row r="631" spans="1:4" x14ac:dyDescent="0.25">
      <c r="A631" s="139" t="s">
        <v>1578</v>
      </c>
      <c r="B631" s="139" t="s">
        <v>1579</v>
      </c>
      <c r="C631" s="139" t="s">
        <v>44</v>
      </c>
      <c r="D631" s="139" t="s">
        <v>1580</v>
      </c>
    </row>
    <row r="632" spans="1:4" x14ac:dyDescent="0.25">
      <c r="A632" s="139" t="s">
        <v>1581</v>
      </c>
      <c r="B632" s="139" t="s">
        <v>1579</v>
      </c>
      <c r="C632" s="139" t="s">
        <v>44</v>
      </c>
      <c r="D632" s="139" t="s">
        <v>1582</v>
      </c>
    </row>
    <row r="633" spans="1:4" x14ac:dyDescent="0.25">
      <c r="A633" s="139" t="s">
        <v>1583</v>
      </c>
      <c r="B633" s="139" t="s">
        <v>1039</v>
      </c>
      <c r="C633" s="139" t="s">
        <v>44</v>
      </c>
      <c r="D633" s="139" t="s">
        <v>1584</v>
      </c>
    </row>
    <row r="634" spans="1:4" x14ac:dyDescent="0.25">
      <c r="A634" s="139" t="s">
        <v>1585</v>
      </c>
      <c r="B634" s="139" t="s">
        <v>1039</v>
      </c>
      <c r="C634" s="139" t="s">
        <v>44</v>
      </c>
      <c r="D634" s="139" t="s">
        <v>1586</v>
      </c>
    </row>
    <row r="635" spans="1:4" x14ac:dyDescent="0.25">
      <c r="A635" s="139" t="s">
        <v>1587</v>
      </c>
      <c r="B635" s="139" t="s">
        <v>1588</v>
      </c>
      <c r="C635" s="139" t="s">
        <v>44</v>
      </c>
      <c r="D635" s="139" t="s">
        <v>1589</v>
      </c>
    </row>
    <row r="636" spans="1:4" x14ac:dyDescent="0.25">
      <c r="A636" s="139" t="s">
        <v>1590</v>
      </c>
      <c r="B636" s="139" t="s">
        <v>1588</v>
      </c>
      <c r="C636" s="139" t="s">
        <v>44</v>
      </c>
      <c r="D636" s="139" t="s">
        <v>1591</v>
      </c>
    </row>
    <row r="637" spans="1:4" x14ac:dyDescent="0.25">
      <c r="A637" s="139" t="s">
        <v>1592</v>
      </c>
      <c r="B637" s="139" t="s">
        <v>1593</v>
      </c>
      <c r="C637" s="139" t="s">
        <v>44</v>
      </c>
      <c r="D637" s="139" t="s">
        <v>1594</v>
      </c>
    </row>
    <row r="638" spans="1:4" x14ac:dyDescent="0.25">
      <c r="A638" s="139" t="s">
        <v>1595</v>
      </c>
      <c r="B638" s="139" t="s">
        <v>1593</v>
      </c>
      <c r="C638" s="139" t="s">
        <v>44</v>
      </c>
      <c r="D638" s="139" t="s">
        <v>1596</v>
      </c>
    </row>
    <row r="639" spans="1:4" x14ac:dyDescent="0.25">
      <c r="A639" s="139" t="s">
        <v>1597</v>
      </c>
      <c r="B639" s="139" t="s">
        <v>1598</v>
      </c>
      <c r="C639" s="139" t="s">
        <v>44</v>
      </c>
      <c r="D639" s="139" t="s">
        <v>1599</v>
      </c>
    </row>
    <row r="640" spans="1:4" x14ac:dyDescent="0.25">
      <c r="A640" s="139" t="s">
        <v>1600</v>
      </c>
      <c r="B640" s="139" t="s">
        <v>1598</v>
      </c>
      <c r="C640" s="139" t="s">
        <v>44</v>
      </c>
      <c r="D640" s="139" t="s">
        <v>1601</v>
      </c>
    </row>
    <row r="641" spans="1:4" x14ac:dyDescent="0.25">
      <c r="A641" s="139" t="s">
        <v>1602</v>
      </c>
      <c r="B641" s="139" t="s">
        <v>1603</v>
      </c>
      <c r="C641" s="139" t="s">
        <v>1604</v>
      </c>
      <c r="D641" s="139" t="s">
        <v>1605</v>
      </c>
    </row>
    <row r="642" spans="1:4" x14ac:dyDescent="0.25">
      <c r="A642" s="139" t="s">
        <v>1606</v>
      </c>
      <c r="B642" s="139" t="s">
        <v>1603</v>
      </c>
      <c r="C642" s="139" t="s">
        <v>1604</v>
      </c>
      <c r="D642" s="139" t="s">
        <v>1607</v>
      </c>
    </row>
    <row r="643" spans="1:4" x14ac:dyDescent="0.25">
      <c r="A643" s="139" t="s">
        <v>1608</v>
      </c>
      <c r="B643" s="139" t="s">
        <v>1609</v>
      </c>
      <c r="C643" s="139" t="s">
        <v>1604</v>
      </c>
      <c r="D643" s="139" t="s">
        <v>1610</v>
      </c>
    </row>
    <row r="644" spans="1:4" x14ac:dyDescent="0.25">
      <c r="A644" s="139" t="s">
        <v>1611</v>
      </c>
      <c r="B644" s="139" t="s">
        <v>1609</v>
      </c>
      <c r="C644" s="139" t="s">
        <v>1604</v>
      </c>
      <c r="D644" s="139" t="s">
        <v>1612</v>
      </c>
    </row>
    <row r="645" spans="1:4" x14ac:dyDescent="0.25">
      <c r="A645" s="139" t="s">
        <v>1613</v>
      </c>
      <c r="B645" s="139" t="s">
        <v>1614</v>
      </c>
      <c r="C645" s="139" t="s">
        <v>1604</v>
      </c>
      <c r="D645" s="139" t="s">
        <v>1615</v>
      </c>
    </row>
    <row r="646" spans="1:4" x14ac:dyDescent="0.25">
      <c r="A646" s="139" t="s">
        <v>1616</v>
      </c>
      <c r="B646" s="139" t="s">
        <v>1614</v>
      </c>
      <c r="C646" s="139" t="s">
        <v>1604</v>
      </c>
      <c r="D646" s="139" t="s">
        <v>1617</v>
      </c>
    </row>
    <row r="647" spans="1:4" x14ac:dyDescent="0.25">
      <c r="A647" s="139" t="s">
        <v>1618</v>
      </c>
      <c r="B647" s="139" t="s">
        <v>1619</v>
      </c>
      <c r="C647" s="139" t="s">
        <v>1604</v>
      </c>
      <c r="D647" s="139" t="s">
        <v>1620</v>
      </c>
    </row>
    <row r="648" spans="1:4" x14ac:dyDescent="0.25">
      <c r="A648" s="139" t="s">
        <v>1621</v>
      </c>
      <c r="B648" s="139" t="s">
        <v>1619</v>
      </c>
      <c r="C648" s="139" t="s">
        <v>1604</v>
      </c>
      <c r="D648" s="139" t="s">
        <v>1622</v>
      </c>
    </row>
    <row r="649" spans="1:4" x14ac:dyDescent="0.25">
      <c r="A649" s="139" t="s">
        <v>1623</v>
      </c>
      <c r="B649" s="139" t="s">
        <v>1624</v>
      </c>
      <c r="C649" s="139" t="s">
        <v>1604</v>
      </c>
      <c r="D649" s="139" t="s">
        <v>1625</v>
      </c>
    </row>
    <row r="650" spans="1:4" x14ac:dyDescent="0.25">
      <c r="A650" s="139" t="s">
        <v>1626</v>
      </c>
      <c r="B650" s="139" t="s">
        <v>1624</v>
      </c>
      <c r="C650" s="139" t="s">
        <v>1604</v>
      </c>
      <c r="D650" s="139" t="s">
        <v>1627</v>
      </c>
    </row>
    <row r="651" spans="1:4" x14ac:dyDescent="0.25">
      <c r="A651" s="139" t="s">
        <v>1628</v>
      </c>
      <c r="B651" s="139" t="s">
        <v>1629</v>
      </c>
      <c r="C651" s="139" t="s">
        <v>1604</v>
      </c>
      <c r="D651" s="139" t="s">
        <v>1630</v>
      </c>
    </row>
    <row r="652" spans="1:4" x14ac:dyDescent="0.25">
      <c r="A652" s="139" t="s">
        <v>1631</v>
      </c>
      <c r="B652" s="139" t="s">
        <v>1629</v>
      </c>
      <c r="C652" s="139" t="s">
        <v>1604</v>
      </c>
      <c r="D652" s="139" t="s">
        <v>1632</v>
      </c>
    </row>
    <row r="653" spans="1:4" x14ac:dyDescent="0.25">
      <c r="A653" s="139" t="s">
        <v>1633</v>
      </c>
      <c r="B653" s="139" t="s">
        <v>32</v>
      </c>
      <c r="C653" s="139" t="s">
        <v>65</v>
      </c>
      <c r="D653" s="139" t="s">
        <v>1634</v>
      </c>
    </row>
    <row r="654" spans="1:4" x14ac:dyDescent="0.25">
      <c r="A654" s="139" t="s">
        <v>1635</v>
      </c>
      <c r="B654" s="139" t="s">
        <v>32</v>
      </c>
      <c r="C654" s="139" t="s">
        <v>65</v>
      </c>
      <c r="D654" s="139" t="s">
        <v>1636</v>
      </c>
    </row>
    <row r="655" spans="1:4" x14ac:dyDescent="0.25">
      <c r="A655" s="139" t="s">
        <v>1637</v>
      </c>
      <c r="B655" s="139" t="s">
        <v>1638</v>
      </c>
      <c r="C655" s="139" t="s">
        <v>65</v>
      </c>
      <c r="D655" s="139" t="s">
        <v>1639</v>
      </c>
    </row>
    <row r="656" spans="1:4" x14ac:dyDescent="0.25">
      <c r="A656" s="139" t="s">
        <v>1640</v>
      </c>
      <c r="B656" s="139" t="s">
        <v>1638</v>
      </c>
      <c r="C656" s="139" t="s">
        <v>65</v>
      </c>
      <c r="D656" s="139" t="s">
        <v>1641</v>
      </c>
    </row>
    <row r="657" spans="1:4" x14ac:dyDescent="0.25">
      <c r="A657" s="139" t="s">
        <v>1642</v>
      </c>
      <c r="B657" s="139" t="s">
        <v>1569</v>
      </c>
      <c r="C657" s="139" t="s">
        <v>65</v>
      </c>
      <c r="D657" s="139" t="s">
        <v>1643</v>
      </c>
    </row>
    <row r="658" spans="1:4" x14ac:dyDescent="0.25">
      <c r="A658" s="139" t="s">
        <v>1644</v>
      </c>
      <c r="B658" s="139" t="s">
        <v>1569</v>
      </c>
      <c r="C658" s="139" t="s">
        <v>65</v>
      </c>
      <c r="D658" s="139" t="s">
        <v>1645</v>
      </c>
    </row>
    <row r="659" spans="1:4" x14ac:dyDescent="0.25">
      <c r="A659" s="139" t="s">
        <v>1646</v>
      </c>
      <c r="B659" s="139" t="s">
        <v>1647</v>
      </c>
      <c r="C659" s="139" t="s">
        <v>33</v>
      </c>
      <c r="D659" s="139" t="s">
        <v>1648</v>
      </c>
    </row>
    <row r="660" spans="1:4" x14ac:dyDescent="0.25">
      <c r="A660" s="139" t="s">
        <v>1649</v>
      </c>
      <c r="B660" s="139" t="s">
        <v>1647</v>
      </c>
      <c r="C660" s="139" t="s">
        <v>33</v>
      </c>
      <c r="D660" s="139" t="s">
        <v>1650</v>
      </c>
    </row>
    <row r="661" spans="1:4" x14ac:dyDescent="0.25">
      <c r="A661" s="139" t="s">
        <v>1651</v>
      </c>
      <c r="B661" s="139" t="s">
        <v>1652</v>
      </c>
      <c r="C661" s="139" t="s">
        <v>65</v>
      </c>
      <c r="D661" s="139" t="s">
        <v>1653</v>
      </c>
    </row>
    <row r="662" spans="1:4" x14ac:dyDescent="0.25">
      <c r="A662" s="139" t="s">
        <v>1654</v>
      </c>
      <c r="B662" s="139" t="s">
        <v>1652</v>
      </c>
      <c r="C662" s="139" t="s">
        <v>65</v>
      </c>
      <c r="D662" s="139" t="s">
        <v>1655</v>
      </c>
    </row>
    <row r="663" spans="1:4" x14ac:dyDescent="0.25">
      <c r="A663" s="139" t="s">
        <v>1656</v>
      </c>
      <c r="B663" s="139" t="s">
        <v>1657</v>
      </c>
      <c r="C663" s="139" t="s">
        <v>65</v>
      </c>
      <c r="D663" s="139" t="s">
        <v>1658</v>
      </c>
    </row>
    <row r="664" spans="1:4" x14ac:dyDescent="0.25">
      <c r="A664" s="139" t="s">
        <v>1659</v>
      </c>
      <c r="B664" s="139" t="s">
        <v>1657</v>
      </c>
      <c r="C664" s="139" t="s">
        <v>65</v>
      </c>
      <c r="D664" s="139" t="s">
        <v>1660</v>
      </c>
    </row>
    <row r="665" spans="1:4" x14ac:dyDescent="0.25">
      <c r="A665" s="139" t="s">
        <v>1661</v>
      </c>
      <c r="B665" s="139" t="s">
        <v>1662</v>
      </c>
      <c r="C665" s="139" t="s">
        <v>65</v>
      </c>
      <c r="D665" s="139" t="s">
        <v>1663</v>
      </c>
    </row>
    <row r="666" spans="1:4" x14ac:dyDescent="0.25">
      <c r="A666" s="139" t="s">
        <v>1664</v>
      </c>
      <c r="B666" s="139" t="s">
        <v>1662</v>
      </c>
      <c r="C666" s="139" t="s">
        <v>65</v>
      </c>
      <c r="D666" s="139" t="s">
        <v>1665</v>
      </c>
    </row>
    <row r="667" spans="1:4" x14ac:dyDescent="0.25">
      <c r="A667" s="139" t="s">
        <v>1666</v>
      </c>
      <c r="B667" s="139" t="s">
        <v>1667</v>
      </c>
      <c r="C667" s="139" t="s">
        <v>65</v>
      </c>
      <c r="D667" s="139" t="s">
        <v>1668</v>
      </c>
    </row>
    <row r="668" spans="1:4" x14ac:dyDescent="0.25">
      <c r="A668" s="139" t="s">
        <v>1669</v>
      </c>
      <c r="B668" s="139" t="s">
        <v>1667</v>
      </c>
      <c r="C668" s="139" t="s">
        <v>65</v>
      </c>
      <c r="D668" s="139" t="s">
        <v>1670</v>
      </c>
    </row>
    <row r="669" spans="1:4" x14ac:dyDescent="0.25">
      <c r="A669" s="139" t="s">
        <v>1671</v>
      </c>
      <c r="B669" s="139" t="s">
        <v>1672</v>
      </c>
      <c r="C669" s="139" t="s">
        <v>127</v>
      </c>
      <c r="D669" s="139" t="s">
        <v>1673</v>
      </c>
    </row>
    <row r="670" spans="1:4" x14ac:dyDescent="0.25">
      <c r="A670" s="139" t="s">
        <v>1674</v>
      </c>
      <c r="B670" s="139" t="s">
        <v>1672</v>
      </c>
      <c r="C670" s="139" t="s">
        <v>127</v>
      </c>
      <c r="D670" s="139" t="s">
        <v>1675</v>
      </c>
    </row>
    <row r="671" spans="1:4" x14ac:dyDescent="0.25">
      <c r="A671" s="139" t="s">
        <v>1676</v>
      </c>
      <c r="B671" s="139" t="s">
        <v>1677</v>
      </c>
      <c r="C671" s="139" t="s">
        <v>127</v>
      </c>
      <c r="D671" s="139" t="s">
        <v>1678</v>
      </c>
    </row>
    <row r="672" spans="1:4" x14ac:dyDescent="0.25">
      <c r="A672" s="139" t="s">
        <v>1679</v>
      </c>
      <c r="B672" s="139" t="s">
        <v>1677</v>
      </c>
      <c r="C672" s="139" t="s">
        <v>127</v>
      </c>
      <c r="D672" s="139" t="s">
        <v>1680</v>
      </c>
    </row>
    <row r="673" spans="1:4" x14ac:dyDescent="0.25">
      <c r="A673" s="139" t="s">
        <v>1681</v>
      </c>
      <c r="B673" s="139" t="s">
        <v>1682</v>
      </c>
      <c r="C673" s="139" t="s">
        <v>1683</v>
      </c>
      <c r="D673" s="139" t="s">
        <v>1684</v>
      </c>
    </row>
    <row r="674" spans="1:4" x14ac:dyDescent="0.25">
      <c r="A674" s="139" t="s">
        <v>1685</v>
      </c>
      <c r="B674" s="139" t="s">
        <v>1682</v>
      </c>
      <c r="C674" s="139" t="s">
        <v>1683</v>
      </c>
      <c r="D674" s="139" t="s">
        <v>1686</v>
      </c>
    </row>
    <row r="675" spans="1:4" x14ac:dyDescent="0.25">
      <c r="A675" s="139" t="s">
        <v>1687</v>
      </c>
      <c r="B675" s="139" t="s">
        <v>1688</v>
      </c>
      <c r="C675" s="139" t="s">
        <v>65</v>
      </c>
      <c r="D675" s="139" t="s">
        <v>1689</v>
      </c>
    </row>
    <row r="676" spans="1:4" x14ac:dyDescent="0.25">
      <c r="A676" s="139" t="s">
        <v>1690</v>
      </c>
      <c r="B676" s="139" t="s">
        <v>1688</v>
      </c>
      <c r="C676" s="139" t="s">
        <v>65</v>
      </c>
      <c r="D676" s="139" t="s">
        <v>1691</v>
      </c>
    </row>
    <row r="677" spans="1:4" x14ac:dyDescent="0.25">
      <c r="A677" s="139" t="s">
        <v>1692</v>
      </c>
      <c r="B677" s="139" t="s">
        <v>1693</v>
      </c>
      <c r="C677" s="139" t="s">
        <v>65</v>
      </c>
      <c r="D677" s="139" t="s">
        <v>1694</v>
      </c>
    </row>
    <row r="678" spans="1:4" x14ac:dyDescent="0.25">
      <c r="A678" s="139" t="s">
        <v>1695</v>
      </c>
      <c r="B678" s="139" t="s">
        <v>1693</v>
      </c>
      <c r="C678" s="139" t="s">
        <v>65</v>
      </c>
      <c r="D678" s="139" t="s">
        <v>1696</v>
      </c>
    </row>
    <row r="679" spans="1:4" x14ac:dyDescent="0.25">
      <c r="A679" s="139" t="s">
        <v>1697</v>
      </c>
      <c r="B679" s="139" t="s">
        <v>1698</v>
      </c>
      <c r="C679" s="139" t="s">
        <v>65</v>
      </c>
      <c r="D679" s="139" t="s">
        <v>1699</v>
      </c>
    </row>
    <row r="680" spans="1:4" x14ac:dyDescent="0.25">
      <c r="A680" s="139" t="s">
        <v>1700</v>
      </c>
      <c r="B680" s="139" t="s">
        <v>1698</v>
      </c>
      <c r="C680" s="139" t="s">
        <v>65</v>
      </c>
      <c r="D680" s="139" t="s">
        <v>1701</v>
      </c>
    </row>
    <row r="681" spans="1:4" x14ac:dyDescent="0.25">
      <c r="A681" s="139" t="s">
        <v>1702</v>
      </c>
      <c r="B681" s="139" t="s">
        <v>1703</v>
      </c>
      <c r="C681" s="139" t="s">
        <v>65</v>
      </c>
      <c r="D681" s="139" t="s">
        <v>1704</v>
      </c>
    </row>
    <row r="682" spans="1:4" x14ac:dyDescent="0.25">
      <c r="A682" s="139" t="s">
        <v>1705</v>
      </c>
      <c r="B682" s="139" t="s">
        <v>1703</v>
      </c>
      <c r="C682" s="139" t="s">
        <v>65</v>
      </c>
      <c r="D682" s="139" t="s">
        <v>1706</v>
      </c>
    </row>
    <row r="683" spans="1:4" x14ac:dyDescent="0.25">
      <c r="A683" s="139" t="s">
        <v>1707</v>
      </c>
      <c r="B683" s="139" t="s">
        <v>1708</v>
      </c>
      <c r="C683" s="139" t="s">
        <v>65</v>
      </c>
      <c r="D683" s="139" t="s">
        <v>1709</v>
      </c>
    </row>
    <row r="684" spans="1:4" x14ac:dyDescent="0.25">
      <c r="A684" s="139" t="s">
        <v>1710</v>
      </c>
      <c r="B684" s="139" t="s">
        <v>1708</v>
      </c>
      <c r="C684" s="139" t="s">
        <v>65</v>
      </c>
      <c r="D684" s="139" t="s">
        <v>1711</v>
      </c>
    </row>
    <row r="685" spans="1:4" x14ac:dyDescent="0.25">
      <c r="A685" s="139" t="s">
        <v>1712</v>
      </c>
      <c r="B685" s="139" t="s">
        <v>1713</v>
      </c>
      <c r="C685" s="139" t="s">
        <v>65</v>
      </c>
      <c r="D685" s="139" t="s">
        <v>1714</v>
      </c>
    </row>
    <row r="686" spans="1:4" x14ac:dyDescent="0.25">
      <c r="A686" s="139" t="s">
        <v>1715</v>
      </c>
      <c r="B686" s="139" t="s">
        <v>1713</v>
      </c>
      <c r="C686" s="139" t="s">
        <v>65</v>
      </c>
      <c r="D686" s="139" t="s">
        <v>1716</v>
      </c>
    </row>
    <row r="687" spans="1:4" x14ac:dyDescent="0.25">
      <c r="A687" s="139" t="s">
        <v>1717</v>
      </c>
      <c r="B687" s="139" t="s">
        <v>1718</v>
      </c>
      <c r="C687" s="139" t="s">
        <v>65</v>
      </c>
      <c r="D687" s="139" t="s">
        <v>1719</v>
      </c>
    </row>
    <row r="688" spans="1:4" x14ac:dyDescent="0.25">
      <c r="A688" s="139" t="s">
        <v>1720</v>
      </c>
      <c r="B688" s="139" t="s">
        <v>1718</v>
      </c>
      <c r="C688" s="139" t="s">
        <v>65</v>
      </c>
      <c r="D688" s="139" t="s">
        <v>1721</v>
      </c>
    </row>
    <row r="689" spans="1:4" x14ac:dyDescent="0.25">
      <c r="A689" s="139" t="s">
        <v>1722</v>
      </c>
      <c r="B689" s="139" t="s">
        <v>1723</v>
      </c>
      <c r="C689" s="139" t="s">
        <v>33</v>
      </c>
      <c r="D689" s="139" t="s">
        <v>1724</v>
      </c>
    </row>
    <row r="690" spans="1:4" x14ac:dyDescent="0.25">
      <c r="A690" s="139" t="s">
        <v>1725</v>
      </c>
      <c r="B690" s="139" t="s">
        <v>1723</v>
      </c>
      <c r="C690" s="139" t="s">
        <v>33</v>
      </c>
      <c r="D690" s="139" t="s">
        <v>1726</v>
      </c>
    </row>
    <row r="691" spans="1:4" x14ac:dyDescent="0.25">
      <c r="A691" s="139" t="s">
        <v>1727</v>
      </c>
      <c r="B691" s="139" t="s">
        <v>1728</v>
      </c>
      <c r="C691" s="139" t="s">
        <v>33</v>
      </c>
      <c r="D691" s="139" t="s">
        <v>1729</v>
      </c>
    </row>
    <row r="692" spans="1:4" x14ac:dyDescent="0.25">
      <c r="A692" s="139" t="s">
        <v>1730</v>
      </c>
      <c r="B692" s="139" t="s">
        <v>1728</v>
      </c>
      <c r="C692" s="139" t="s">
        <v>33</v>
      </c>
      <c r="D692" s="139" t="s">
        <v>1731</v>
      </c>
    </row>
    <row r="693" spans="1:4" x14ac:dyDescent="0.25">
      <c r="A693" s="139" t="s">
        <v>1732</v>
      </c>
      <c r="B693" s="139" t="s">
        <v>1733</v>
      </c>
      <c r="C693" s="139" t="s">
        <v>33</v>
      </c>
      <c r="D693" s="139" t="s">
        <v>1734</v>
      </c>
    </row>
    <row r="694" spans="1:4" x14ac:dyDescent="0.25">
      <c r="A694" s="139" t="s">
        <v>1735</v>
      </c>
      <c r="B694" s="139" t="s">
        <v>1733</v>
      </c>
      <c r="C694" s="139" t="s">
        <v>33</v>
      </c>
      <c r="D694" s="139" t="s">
        <v>1736</v>
      </c>
    </row>
    <row r="695" spans="1:4" x14ac:dyDescent="0.25">
      <c r="A695" s="139" t="s">
        <v>1737</v>
      </c>
      <c r="B695" s="139" t="s">
        <v>1738</v>
      </c>
      <c r="C695" s="139" t="s">
        <v>33</v>
      </c>
      <c r="D695" s="139" t="s">
        <v>1739</v>
      </c>
    </row>
    <row r="696" spans="1:4" x14ac:dyDescent="0.25">
      <c r="A696" s="139" t="s">
        <v>1740</v>
      </c>
      <c r="B696" s="139" t="s">
        <v>1738</v>
      </c>
      <c r="C696" s="139" t="s">
        <v>33</v>
      </c>
      <c r="D696" s="139" t="s">
        <v>1741</v>
      </c>
    </row>
    <row r="697" spans="1:4" x14ac:dyDescent="0.25">
      <c r="A697" s="139" t="s">
        <v>1742</v>
      </c>
      <c r="B697" s="139" t="s">
        <v>1743</v>
      </c>
      <c r="C697" s="139" t="s">
        <v>33</v>
      </c>
      <c r="D697" s="139" t="s">
        <v>1744</v>
      </c>
    </row>
    <row r="698" spans="1:4" x14ac:dyDescent="0.25">
      <c r="A698" s="139" t="s">
        <v>1745</v>
      </c>
      <c r="B698" s="139" t="s">
        <v>1743</v>
      </c>
      <c r="C698" s="139" t="s">
        <v>33</v>
      </c>
      <c r="D698" s="139" t="s">
        <v>1746</v>
      </c>
    </row>
    <row r="699" spans="1:4" x14ac:dyDescent="0.25">
      <c r="A699" s="139" t="s">
        <v>1747</v>
      </c>
      <c r="B699" s="139" t="s">
        <v>1748</v>
      </c>
      <c r="C699" s="139" t="s">
        <v>33</v>
      </c>
      <c r="D699" s="139" t="s">
        <v>1749</v>
      </c>
    </row>
    <row r="700" spans="1:4" x14ac:dyDescent="0.25">
      <c r="A700" s="139" t="s">
        <v>1750</v>
      </c>
      <c r="B700" s="139" t="s">
        <v>1748</v>
      </c>
      <c r="C700" s="139" t="s">
        <v>33</v>
      </c>
      <c r="D700" s="139" t="s">
        <v>1751</v>
      </c>
    </row>
    <row r="701" spans="1:4" x14ac:dyDescent="0.25">
      <c r="A701" s="139" t="s">
        <v>1752</v>
      </c>
      <c r="B701" s="139" t="s">
        <v>1753</v>
      </c>
      <c r="C701" s="139" t="s">
        <v>33</v>
      </c>
      <c r="D701" s="139" t="s">
        <v>1754</v>
      </c>
    </row>
    <row r="702" spans="1:4" x14ac:dyDescent="0.25">
      <c r="A702" s="139" t="s">
        <v>1755</v>
      </c>
      <c r="B702" s="139" t="s">
        <v>1753</v>
      </c>
      <c r="C702" s="139" t="s">
        <v>33</v>
      </c>
      <c r="D702" s="139" t="s">
        <v>1756</v>
      </c>
    </row>
    <row r="703" spans="1:4" x14ac:dyDescent="0.25">
      <c r="A703" s="139" t="s">
        <v>1757</v>
      </c>
      <c r="B703" s="139" t="s">
        <v>1758</v>
      </c>
      <c r="C703" s="139" t="s">
        <v>33</v>
      </c>
      <c r="D703" s="139" t="s">
        <v>1759</v>
      </c>
    </row>
    <row r="704" spans="1:4" x14ac:dyDescent="0.25">
      <c r="A704" s="139" t="s">
        <v>1760</v>
      </c>
      <c r="B704" s="139" t="s">
        <v>1758</v>
      </c>
      <c r="C704" s="139" t="s">
        <v>33</v>
      </c>
      <c r="D704" s="139" t="s">
        <v>1761</v>
      </c>
    </row>
    <row r="705" spans="1:4" x14ac:dyDescent="0.25">
      <c r="A705" s="139" t="s">
        <v>1762</v>
      </c>
      <c r="B705" s="139" t="s">
        <v>1763</v>
      </c>
      <c r="C705" s="139" t="s">
        <v>33</v>
      </c>
      <c r="D705" s="139" t="s">
        <v>1764</v>
      </c>
    </row>
    <row r="706" spans="1:4" x14ac:dyDescent="0.25">
      <c r="A706" s="139" t="s">
        <v>1765</v>
      </c>
      <c r="B706" s="139" t="s">
        <v>1763</v>
      </c>
      <c r="C706" s="139" t="s">
        <v>33</v>
      </c>
      <c r="D706" s="139" t="s">
        <v>1766</v>
      </c>
    </row>
    <row r="707" spans="1:4" x14ac:dyDescent="0.25">
      <c r="A707" s="139" t="s">
        <v>1767</v>
      </c>
      <c r="B707" s="139" t="s">
        <v>1768</v>
      </c>
      <c r="C707" s="139" t="s">
        <v>33</v>
      </c>
      <c r="D707" s="139" t="s">
        <v>1769</v>
      </c>
    </row>
    <row r="708" spans="1:4" x14ac:dyDescent="0.25">
      <c r="A708" s="139" t="s">
        <v>1770</v>
      </c>
      <c r="B708" s="139" t="s">
        <v>1768</v>
      </c>
      <c r="C708" s="139" t="s">
        <v>33</v>
      </c>
      <c r="D708" s="139" t="s">
        <v>1771</v>
      </c>
    </row>
    <row r="709" spans="1:4" x14ac:dyDescent="0.25">
      <c r="A709" s="139" t="s">
        <v>1772</v>
      </c>
      <c r="B709" s="139" t="s">
        <v>1773</v>
      </c>
      <c r="C709" s="139" t="s">
        <v>33</v>
      </c>
      <c r="D709" s="139" t="s">
        <v>1774</v>
      </c>
    </row>
    <row r="710" spans="1:4" x14ac:dyDescent="0.25">
      <c r="A710" s="139" t="s">
        <v>1775</v>
      </c>
      <c r="B710" s="139" t="s">
        <v>1773</v>
      </c>
      <c r="C710" s="139" t="s">
        <v>33</v>
      </c>
      <c r="D710" s="139" t="s">
        <v>1776</v>
      </c>
    </row>
    <row r="711" spans="1:4" x14ac:dyDescent="0.25">
      <c r="A711" s="139" t="s">
        <v>1777</v>
      </c>
      <c r="B711" s="139" t="s">
        <v>1509</v>
      </c>
      <c r="C711" s="139" t="s">
        <v>33</v>
      </c>
      <c r="D711" s="139" t="s">
        <v>1778</v>
      </c>
    </row>
    <row r="712" spans="1:4" x14ac:dyDescent="0.25">
      <c r="A712" s="139" t="s">
        <v>1779</v>
      </c>
      <c r="B712" s="139" t="s">
        <v>1509</v>
      </c>
      <c r="C712" s="139" t="s">
        <v>33</v>
      </c>
      <c r="D712" s="139" t="s">
        <v>1780</v>
      </c>
    </row>
    <row r="713" spans="1:4" x14ac:dyDescent="0.25">
      <c r="A713" s="139" t="s">
        <v>1781</v>
      </c>
      <c r="B713" s="139" t="s">
        <v>1782</v>
      </c>
      <c r="C713" s="139" t="s">
        <v>33</v>
      </c>
      <c r="D713" s="139" t="s">
        <v>1783</v>
      </c>
    </row>
    <row r="714" spans="1:4" x14ac:dyDescent="0.25">
      <c r="A714" s="139" t="s">
        <v>1784</v>
      </c>
      <c r="B714" s="139" t="s">
        <v>1782</v>
      </c>
      <c r="C714" s="139" t="s">
        <v>33</v>
      </c>
      <c r="D714" s="139" t="s">
        <v>1785</v>
      </c>
    </row>
    <row r="715" spans="1:4" x14ac:dyDescent="0.25">
      <c r="A715" s="139" t="s">
        <v>1786</v>
      </c>
      <c r="B715" s="139" t="s">
        <v>1787</v>
      </c>
      <c r="C715" s="139" t="s">
        <v>33</v>
      </c>
      <c r="D715" s="139" t="s">
        <v>1788</v>
      </c>
    </row>
    <row r="716" spans="1:4" x14ac:dyDescent="0.25">
      <c r="A716" s="139" t="s">
        <v>1789</v>
      </c>
      <c r="B716" s="139" t="s">
        <v>1787</v>
      </c>
      <c r="C716" s="139" t="s">
        <v>33</v>
      </c>
      <c r="D716" s="139" t="s">
        <v>1790</v>
      </c>
    </row>
    <row r="717" spans="1:4" x14ac:dyDescent="0.25">
      <c r="A717" s="139" t="s">
        <v>1791</v>
      </c>
      <c r="B717" s="139" t="s">
        <v>1792</v>
      </c>
      <c r="C717" s="139" t="s">
        <v>33</v>
      </c>
      <c r="D717" s="139" t="s">
        <v>1793</v>
      </c>
    </row>
    <row r="718" spans="1:4" x14ac:dyDescent="0.25">
      <c r="A718" s="139" t="s">
        <v>1794</v>
      </c>
      <c r="B718" s="139" t="s">
        <v>1792</v>
      </c>
      <c r="C718" s="139" t="s">
        <v>33</v>
      </c>
      <c r="D718" s="139" t="s">
        <v>1795</v>
      </c>
    </row>
    <row r="719" spans="1:4" x14ac:dyDescent="0.25">
      <c r="A719" s="139" t="s">
        <v>1796</v>
      </c>
      <c r="B719" s="139" t="s">
        <v>1797</v>
      </c>
      <c r="C719" s="139" t="s">
        <v>33</v>
      </c>
      <c r="D719" s="139" t="s">
        <v>1798</v>
      </c>
    </row>
    <row r="720" spans="1:4" x14ac:dyDescent="0.25">
      <c r="A720" s="139" t="s">
        <v>1799</v>
      </c>
      <c r="B720" s="139" t="s">
        <v>1797</v>
      </c>
      <c r="C720" s="139" t="s">
        <v>33</v>
      </c>
      <c r="D720" s="139" t="s">
        <v>1800</v>
      </c>
    </row>
    <row r="721" spans="1:4" x14ac:dyDescent="0.25">
      <c r="A721" s="139" t="s">
        <v>1801</v>
      </c>
      <c r="B721" s="139" t="s">
        <v>1802</v>
      </c>
      <c r="C721" s="139" t="s">
        <v>33</v>
      </c>
      <c r="D721" s="139" t="s">
        <v>1803</v>
      </c>
    </row>
    <row r="722" spans="1:4" x14ac:dyDescent="0.25">
      <c r="A722" s="139" t="s">
        <v>1804</v>
      </c>
      <c r="B722" s="139" t="s">
        <v>1802</v>
      </c>
      <c r="C722" s="139" t="s">
        <v>33</v>
      </c>
      <c r="D722" s="139" t="s">
        <v>1805</v>
      </c>
    </row>
    <row r="723" spans="1:4" x14ac:dyDescent="0.25">
      <c r="A723" s="139" t="s">
        <v>1806</v>
      </c>
      <c r="B723" s="139" t="s">
        <v>1807</v>
      </c>
      <c r="C723" s="139" t="s">
        <v>33</v>
      </c>
      <c r="D723" s="139" t="s">
        <v>1808</v>
      </c>
    </row>
    <row r="724" spans="1:4" x14ac:dyDescent="0.25">
      <c r="A724" s="139" t="s">
        <v>1809</v>
      </c>
      <c r="B724" s="139" t="s">
        <v>1807</v>
      </c>
      <c r="C724" s="139" t="s">
        <v>33</v>
      </c>
      <c r="D724" s="139" t="s">
        <v>1810</v>
      </c>
    </row>
    <row r="725" spans="1:4" x14ac:dyDescent="0.25">
      <c r="A725" s="139" t="s">
        <v>1811</v>
      </c>
      <c r="B725" s="139" t="s">
        <v>1812</v>
      </c>
      <c r="C725" s="139" t="s">
        <v>33</v>
      </c>
      <c r="D725" s="139" t="s">
        <v>1813</v>
      </c>
    </row>
    <row r="726" spans="1:4" x14ac:dyDescent="0.25">
      <c r="A726" s="139" t="s">
        <v>1814</v>
      </c>
      <c r="B726" s="139" t="s">
        <v>1812</v>
      </c>
      <c r="C726" s="139" t="s">
        <v>33</v>
      </c>
      <c r="D726" s="139" t="s">
        <v>1815</v>
      </c>
    </row>
    <row r="727" spans="1:4" x14ac:dyDescent="0.25">
      <c r="A727" s="139" t="s">
        <v>1816</v>
      </c>
      <c r="B727" s="139" t="s">
        <v>1817</v>
      </c>
      <c r="C727" s="139" t="s">
        <v>112</v>
      </c>
      <c r="D727" s="139" t="s">
        <v>1818</v>
      </c>
    </row>
    <row r="728" spans="1:4" x14ac:dyDescent="0.25">
      <c r="A728" s="139" t="s">
        <v>1819</v>
      </c>
      <c r="B728" s="139" t="s">
        <v>1817</v>
      </c>
      <c r="C728" s="139" t="s">
        <v>1820</v>
      </c>
      <c r="D728" s="139" t="s">
        <v>1821</v>
      </c>
    </row>
    <row r="729" spans="1:4" x14ac:dyDescent="0.25">
      <c r="A729" s="139" t="s">
        <v>1822</v>
      </c>
      <c r="B729" s="139" t="s">
        <v>1823</v>
      </c>
      <c r="C729" s="139" t="s">
        <v>127</v>
      </c>
      <c r="D729" s="139" t="s">
        <v>1824</v>
      </c>
    </row>
    <row r="730" spans="1:4" x14ac:dyDescent="0.25">
      <c r="A730" s="139" t="s">
        <v>1825</v>
      </c>
      <c r="B730" s="139" t="s">
        <v>1823</v>
      </c>
      <c r="C730" s="139" t="s">
        <v>127</v>
      </c>
      <c r="D730" s="139" t="s">
        <v>1826</v>
      </c>
    </row>
    <row r="731" spans="1:4" x14ac:dyDescent="0.25">
      <c r="A731" s="139" t="s">
        <v>1827</v>
      </c>
      <c r="B731" s="139" t="s">
        <v>1828</v>
      </c>
      <c r="C731" s="139" t="s">
        <v>1820</v>
      </c>
      <c r="D731" s="139" t="s">
        <v>1829</v>
      </c>
    </row>
    <row r="732" spans="1:4" x14ac:dyDescent="0.25">
      <c r="A732" s="139" t="s">
        <v>1830</v>
      </c>
      <c r="B732" s="139" t="s">
        <v>1828</v>
      </c>
      <c r="C732" s="139" t="s">
        <v>1820</v>
      </c>
      <c r="D732" s="139" t="s">
        <v>1831</v>
      </c>
    </row>
    <row r="733" spans="1:4" x14ac:dyDescent="0.25">
      <c r="A733" s="139" t="s">
        <v>1832</v>
      </c>
      <c r="B733" s="139" t="s">
        <v>1833</v>
      </c>
      <c r="C733" s="139" t="s">
        <v>65</v>
      </c>
      <c r="D733" s="139" t="s">
        <v>1834</v>
      </c>
    </row>
    <row r="734" spans="1:4" x14ac:dyDescent="0.25">
      <c r="A734" s="139" t="s">
        <v>1835</v>
      </c>
      <c r="B734" s="139" t="s">
        <v>1833</v>
      </c>
      <c r="C734" s="139" t="s">
        <v>65</v>
      </c>
      <c r="D734" s="139" t="s">
        <v>1836</v>
      </c>
    </row>
    <row r="735" spans="1:4" x14ac:dyDescent="0.25">
      <c r="A735" s="139" t="s">
        <v>1837</v>
      </c>
      <c r="B735" s="139" t="s">
        <v>1159</v>
      </c>
      <c r="C735" s="139" t="s">
        <v>65</v>
      </c>
      <c r="D735" s="139" t="s">
        <v>1838</v>
      </c>
    </row>
    <row r="736" spans="1:4" x14ac:dyDescent="0.25">
      <c r="A736" s="139" t="s">
        <v>1839</v>
      </c>
      <c r="B736" s="139" t="s">
        <v>1159</v>
      </c>
      <c r="C736" s="139" t="s">
        <v>65</v>
      </c>
      <c r="D736" s="139" t="s">
        <v>1840</v>
      </c>
    </row>
    <row r="737" spans="1:4" x14ac:dyDescent="0.25">
      <c r="A737" s="139" t="s">
        <v>1841</v>
      </c>
      <c r="B737" s="139" t="s">
        <v>1842</v>
      </c>
      <c r="C737" s="139" t="s">
        <v>65</v>
      </c>
      <c r="D737" s="139" t="s">
        <v>1843</v>
      </c>
    </row>
    <row r="738" spans="1:4" x14ac:dyDescent="0.25">
      <c r="A738" s="139" t="s">
        <v>1844</v>
      </c>
      <c r="B738" s="139" t="s">
        <v>1842</v>
      </c>
      <c r="C738" s="139" t="s">
        <v>65</v>
      </c>
      <c r="D738" s="139" t="s">
        <v>1845</v>
      </c>
    </row>
    <row r="739" spans="1:4" x14ac:dyDescent="0.25">
      <c r="A739" s="139" t="s">
        <v>1846</v>
      </c>
      <c r="B739" s="139" t="s">
        <v>1847</v>
      </c>
      <c r="C739" s="139" t="s">
        <v>65</v>
      </c>
      <c r="D739" s="139" t="s">
        <v>1848</v>
      </c>
    </row>
    <row r="740" spans="1:4" x14ac:dyDescent="0.25">
      <c r="A740" s="139" t="s">
        <v>1849</v>
      </c>
      <c r="B740" s="139" t="s">
        <v>1847</v>
      </c>
      <c r="C740" s="139" t="s">
        <v>65</v>
      </c>
      <c r="D740" s="139" t="s">
        <v>1850</v>
      </c>
    </row>
    <row r="741" spans="1:4" x14ac:dyDescent="0.25">
      <c r="A741" s="139" t="s">
        <v>1851</v>
      </c>
      <c r="B741" s="139" t="s">
        <v>1852</v>
      </c>
      <c r="C741" s="139" t="s">
        <v>65</v>
      </c>
      <c r="D741" s="139" t="s">
        <v>1853</v>
      </c>
    </row>
    <row r="742" spans="1:4" x14ac:dyDescent="0.25">
      <c r="A742" s="139" t="s">
        <v>1854</v>
      </c>
      <c r="B742" s="139" t="s">
        <v>1852</v>
      </c>
      <c r="C742" s="139" t="s">
        <v>65</v>
      </c>
      <c r="D742" s="139" t="s">
        <v>1855</v>
      </c>
    </row>
    <row r="743" spans="1:4" x14ac:dyDescent="0.25">
      <c r="A743" s="139" t="s">
        <v>1856</v>
      </c>
      <c r="B743" s="139" t="s">
        <v>1857</v>
      </c>
      <c r="C743" s="139" t="s">
        <v>65</v>
      </c>
      <c r="D743" s="139" t="s">
        <v>1858</v>
      </c>
    </row>
    <row r="744" spans="1:4" x14ac:dyDescent="0.25">
      <c r="A744" s="139" t="s">
        <v>1859</v>
      </c>
      <c r="B744" s="139" t="s">
        <v>1857</v>
      </c>
      <c r="C744" s="139" t="s">
        <v>65</v>
      </c>
      <c r="D744" s="139" t="s">
        <v>1860</v>
      </c>
    </row>
    <row r="745" spans="1:4" x14ac:dyDescent="0.25">
      <c r="A745" s="139" t="s">
        <v>1861</v>
      </c>
      <c r="B745" s="139" t="s">
        <v>1862</v>
      </c>
      <c r="C745" s="139" t="s">
        <v>65</v>
      </c>
      <c r="D745" s="139" t="s">
        <v>1863</v>
      </c>
    </row>
    <row r="746" spans="1:4" x14ac:dyDescent="0.25">
      <c r="A746" s="139" t="s">
        <v>1864</v>
      </c>
      <c r="B746" s="139" t="s">
        <v>1862</v>
      </c>
      <c r="C746" s="139" t="s">
        <v>65</v>
      </c>
      <c r="D746" s="139" t="s">
        <v>1865</v>
      </c>
    </row>
    <row r="747" spans="1:4" x14ac:dyDescent="0.25">
      <c r="A747" s="139" t="s">
        <v>1866</v>
      </c>
      <c r="B747" s="139" t="s">
        <v>1867</v>
      </c>
      <c r="C747" s="139" t="s">
        <v>65</v>
      </c>
      <c r="D747" s="139" t="s">
        <v>1868</v>
      </c>
    </row>
    <row r="748" spans="1:4" x14ac:dyDescent="0.25">
      <c r="A748" s="139" t="s">
        <v>1869</v>
      </c>
      <c r="B748" s="139" t="s">
        <v>1867</v>
      </c>
      <c r="C748" s="139" t="s">
        <v>65</v>
      </c>
      <c r="D748" s="139" t="s">
        <v>1870</v>
      </c>
    </row>
    <row r="749" spans="1:4" x14ac:dyDescent="0.25">
      <c r="A749" s="139" t="s">
        <v>1871</v>
      </c>
      <c r="B749" s="139" t="s">
        <v>1872</v>
      </c>
      <c r="C749" s="139" t="s">
        <v>65</v>
      </c>
      <c r="D749" s="139" t="s">
        <v>1873</v>
      </c>
    </row>
    <row r="750" spans="1:4" x14ac:dyDescent="0.25">
      <c r="A750" s="139" t="s">
        <v>1874</v>
      </c>
      <c r="B750" s="139" t="s">
        <v>1872</v>
      </c>
      <c r="C750" s="139" t="s">
        <v>65</v>
      </c>
      <c r="D750" s="139" t="s">
        <v>1875</v>
      </c>
    </row>
    <row r="751" spans="1:4" x14ac:dyDescent="0.25">
      <c r="A751" s="139" t="s">
        <v>1876</v>
      </c>
      <c r="B751" s="139" t="s">
        <v>1877</v>
      </c>
      <c r="C751" s="139" t="s">
        <v>65</v>
      </c>
      <c r="D751" s="139" t="s">
        <v>1878</v>
      </c>
    </row>
    <row r="752" spans="1:4" x14ac:dyDescent="0.25">
      <c r="A752" s="139" t="s">
        <v>1879</v>
      </c>
      <c r="B752" s="139" t="s">
        <v>1877</v>
      </c>
      <c r="C752" s="139" t="s">
        <v>65</v>
      </c>
      <c r="D752" s="139" t="s">
        <v>1880</v>
      </c>
    </row>
    <row r="753" spans="1:4" x14ac:dyDescent="0.25">
      <c r="A753" s="139" t="s">
        <v>1881</v>
      </c>
      <c r="B753" s="139" t="s">
        <v>1882</v>
      </c>
      <c r="C753" s="139" t="s">
        <v>65</v>
      </c>
      <c r="D753" s="139" t="s">
        <v>1883</v>
      </c>
    </row>
    <row r="754" spans="1:4" x14ac:dyDescent="0.25">
      <c r="A754" s="139" t="s">
        <v>1884</v>
      </c>
      <c r="B754" s="139" t="s">
        <v>1882</v>
      </c>
      <c r="C754" s="139" t="s">
        <v>65</v>
      </c>
      <c r="D754" s="139" t="s">
        <v>1885</v>
      </c>
    </row>
    <row r="755" spans="1:4" x14ac:dyDescent="0.25">
      <c r="A755" s="139" t="s">
        <v>1886</v>
      </c>
      <c r="B755" s="139" t="s">
        <v>1887</v>
      </c>
      <c r="C755" s="139" t="s">
        <v>65</v>
      </c>
      <c r="D755" s="139" t="s">
        <v>1888</v>
      </c>
    </row>
    <row r="756" spans="1:4" x14ac:dyDescent="0.25">
      <c r="A756" s="139" t="s">
        <v>1889</v>
      </c>
      <c r="B756" s="139" t="s">
        <v>1887</v>
      </c>
      <c r="C756" s="139" t="s">
        <v>65</v>
      </c>
      <c r="D756" s="139" t="s">
        <v>1890</v>
      </c>
    </row>
    <row r="757" spans="1:4" x14ac:dyDescent="0.25">
      <c r="A757" s="139" t="s">
        <v>1891</v>
      </c>
      <c r="B757" s="139" t="s">
        <v>1892</v>
      </c>
      <c r="C757" s="139" t="s">
        <v>1820</v>
      </c>
      <c r="D757" s="139" t="s">
        <v>1893</v>
      </c>
    </row>
    <row r="758" spans="1:4" x14ac:dyDescent="0.25">
      <c r="A758" s="139" t="s">
        <v>1894</v>
      </c>
      <c r="B758" s="139" t="s">
        <v>1892</v>
      </c>
      <c r="C758" s="139" t="s">
        <v>1820</v>
      </c>
      <c r="D758" s="139" t="s">
        <v>1895</v>
      </c>
    </row>
    <row r="759" spans="1:4" x14ac:dyDescent="0.25">
      <c r="A759" s="139" t="s">
        <v>1896</v>
      </c>
      <c r="B759" s="139" t="s">
        <v>1897</v>
      </c>
      <c r="C759" s="139" t="s">
        <v>1820</v>
      </c>
      <c r="D759" s="139" t="s">
        <v>1898</v>
      </c>
    </row>
    <row r="760" spans="1:4" x14ac:dyDescent="0.25">
      <c r="A760" s="139" t="s">
        <v>1899</v>
      </c>
      <c r="B760" s="139" t="s">
        <v>1897</v>
      </c>
      <c r="C760" s="139" t="s">
        <v>1820</v>
      </c>
      <c r="D760" s="139" t="s">
        <v>1900</v>
      </c>
    </row>
    <row r="761" spans="1:4" x14ac:dyDescent="0.25">
      <c r="A761" s="139" t="s">
        <v>1901</v>
      </c>
      <c r="B761" s="139" t="s">
        <v>1902</v>
      </c>
      <c r="C761" s="139" t="s">
        <v>1820</v>
      </c>
      <c r="D761" s="139" t="s">
        <v>1903</v>
      </c>
    </row>
    <row r="762" spans="1:4" x14ac:dyDescent="0.25">
      <c r="A762" s="139" t="s">
        <v>1904</v>
      </c>
      <c r="B762" s="139" t="s">
        <v>1902</v>
      </c>
      <c r="C762" s="139" t="s">
        <v>1820</v>
      </c>
      <c r="D762" s="139" t="s">
        <v>1905</v>
      </c>
    </row>
    <row r="763" spans="1:4" x14ac:dyDescent="0.25">
      <c r="A763" s="139" t="s">
        <v>1906</v>
      </c>
      <c r="B763" s="139" t="s">
        <v>1907</v>
      </c>
      <c r="C763" s="139" t="s">
        <v>1820</v>
      </c>
      <c r="D763" s="139" t="s">
        <v>1908</v>
      </c>
    </row>
    <row r="764" spans="1:4" x14ac:dyDescent="0.25">
      <c r="A764" s="139" t="s">
        <v>1909</v>
      </c>
      <c r="B764" s="139" t="s">
        <v>1907</v>
      </c>
      <c r="C764" s="139" t="s">
        <v>1820</v>
      </c>
      <c r="D764" s="139" t="s">
        <v>1910</v>
      </c>
    </row>
    <row r="765" spans="1:4" x14ac:dyDescent="0.25">
      <c r="A765" s="139" t="s">
        <v>1911</v>
      </c>
      <c r="B765" s="139" t="s">
        <v>1912</v>
      </c>
      <c r="C765" s="139" t="s">
        <v>65</v>
      </c>
      <c r="D765" s="139" t="s">
        <v>1913</v>
      </c>
    </row>
    <row r="766" spans="1:4" x14ac:dyDescent="0.25">
      <c r="A766" s="139" t="s">
        <v>1914</v>
      </c>
      <c r="B766" s="139" t="s">
        <v>1912</v>
      </c>
      <c r="C766" s="139" t="s">
        <v>65</v>
      </c>
      <c r="D766" s="139" t="s">
        <v>1915</v>
      </c>
    </row>
    <row r="767" spans="1:4" x14ac:dyDescent="0.25">
      <c r="A767" s="139" t="s">
        <v>1916</v>
      </c>
      <c r="B767" s="139" t="s">
        <v>1917</v>
      </c>
      <c r="C767" s="139" t="s">
        <v>65</v>
      </c>
      <c r="D767" s="139" t="s">
        <v>1918</v>
      </c>
    </row>
    <row r="768" spans="1:4" x14ac:dyDescent="0.25">
      <c r="A768" s="139" t="s">
        <v>1919</v>
      </c>
      <c r="B768" s="139" t="s">
        <v>1917</v>
      </c>
      <c r="C768" s="139" t="s">
        <v>65</v>
      </c>
      <c r="D768" s="139" t="s">
        <v>1920</v>
      </c>
    </row>
    <row r="769" spans="1:4" x14ac:dyDescent="0.25">
      <c r="A769" s="139" t="s">
        <v>1921</v>
      </c>
      <c r="B769" s="139" t="s">
        <v>1922</v>
      </c>
      <c r="C769" s="139" t="s">
        <v>65</v>
      </c>
      <c r="D769" s="139" t="s">
        <v>1923</v>
      </c>
    </row>
    <row r="770" spans="1:4" x14ac:dyDescent="0.25">
      <c r="A770" s="139" t="s">
        <v>1924</v>
      </c>
      <c r="B770" s="139" t="s">
        <v>1922</v>
      </c>
      <c r="C770" s="139" t="s">
        <v>65</v>
      </c>
      <c r="D770" s="139" t="s">
        <v>1925</v>
      </c>
    </row>
    <row r="771" spans="1:4" x14ac:dyDescent="0.25">
      <c r="A771" s="139" t="s">
        <v>1926</v>
      </c>
      <c r="B771" s="139" t="s">
        <v>1927</v>
      </c>
      <c r="C771" s="139" t="s">
        <v>33</v>
      </c>
      <c r="D771" s="139" t="s">
        <v>1928</v>
      </c>
    </row>
    <row r="772" spans="1:4" x14ac:dyDescent="0.25">
      <c r="A772" s="139" t="s">
        <v>1929</v>
      </c>
      <c r="B772" s="139" t="s">
        <v>1927</v>
      </c>
      <c r="C772" s="139" t="s">
        <v>33</v>
      </c>
      <c r="D772" s="139" t="s">
        <v>1930</v>
      </c>
    </row>
    <row r="773" spans="1:4" x14ac:dyDescent="0.25">
      <c r="A773" s="139" t="s">
        <v>1931</v>
      </c>
      <c r="B773" s="139" t="s">
        <v>1932</v>
      </c>
      <c r="C773" s="139" t="s">
        <v>33</v>
      </c>
      <c r="D773" s="139" t="s">
        <v>1933</v>
      </c>
    </row>
    <row r="774" spans="1:4" x14ac:dyDescent="0.25">
      <c r="A774" s="139" t="s">
        <v>1934</v>
      </c>
      <c r="B774" s="139" t="s">
        <v>1932</v>
      </c>
      <c r="C774" s="139" t="s">
        <v>33</v>
      </c>
      <c r="D774" s="139" t="s">
        <v>1935</v>
      </c>
    </row>
    <row r="775" spans="1:4" x14ac:dyDescent="0.25">
      <c r="A775" s="139" t="s">
        <v>1936</v>
      </c>
      <c r="B775" s="139" t="s">
        <v>1937</v>
      </c>
      <c r="C775" s="139" t="s">
        <v>1938</v>
      </c>
      <c r="D775" s="139" t="s">
        <v>1939</v>
      </c>
    </row>
    <row r="776" spans="1:4" x14ac:dyDescent="0.25">
      <c r="A776" s="139" t="s">
        <v>1940</v>
      </c>
      <c r="B776" s="139" t="s">
        <v>1937</v>
      </c>
      <c r="C776" s="139" t="s">
        <v>1938</v>
      </c>
      <c r="D776" s="139" t="s">
        <v>1941</v>
      </c>
    </row>
    <row r="777" spans="1:4" x14ac:dyDescent="0.25">
      <c r="A777" s="139" t="s">
        <v>1942</v>
      </c>
      <c r="B777" s="139" t="s">
        <v>1943</v>
      </c>
      <c r="C777" s="139" t="s">
        <v>1938</v>
      </c>
      <c r="D777" s="139" t="s">
        <v>1944</v>
      </c>
    </row>
    <row r="778" spans="1:4" x14ac:dyDescent="0.25">
      <c r="A778" s="139" t="s">
        <v>1945</v>
      </c>
      <c r="B778" s="139" t="s">
        <v>1943</v>
      </c>
      <c r="C778" s="139" t="s">
        <v>1938</v>
      </c>
      <c r="D778" s="139" t="s">
        <v>1946</v>
      </c>
    </row>
    <row r="779" spans="1:4" x14ac:dyDescent="0.25">
      <c r="A779" s="139" t="s">
        <v>1947</v>
      </c>
      <c r="B779" s="139" t="s">
        <v>1948</v>
      </c>
      <c r="C779" s="139" t="s">
        <v>1938</v>
      </c>
      <c r="D779" s="139" t="s">
        <v>1949</v>
      </c>
    </row>
    <row r="780" spans="1:4" x14ac:dyDescent="0.25">
      <c r="A780" s="139" t="s">
        <v>1950</v>
      </c>
      <c r="B780" s="139" t="s">
        <v>1948</v>
      </c>
      <c r="C780" s="139" t="s">
        <v>1938</v>
      </c>
      <c r="D780" s="139" t="s">
        <v>1951</v>
      </c>
    </row>
    <row r="781" spans="1:4" x14ac:dyDescent="0.25">
      <c r="A781" s="139" t="s">
        <v>1952</v>
      </c>
      <c r="B781" s="139" t="s">
        <v>1953</v>
      </c>
      <c r="C781" s="139" t="s">
        <v>1938</v>
      </c>
      <c r="D781" s="139" t="s">
        <v>1954</v>
      </c>
    </row>
    <row r="782" spans="1:4" x14ac:dyDescent="0.25">
      <c r="A782" s="139" t="s">
        <v>1955</v>
      </c>
      <c r="B782" s="139" t="s">
        <v>1953</v>
      </c>
      <c r="C782" s="139" t="s">
        <v>1938</v>
      </c>
      <c r="D782" s="139" t="s">
        <v>1956</v>
      </c>
    </row>
    <row r="783" spans="1:4" x14ac:dyDescent="0.25">
      <c r="A783" s="139" t="s">
        <v>1957</v>
      </c>
      <c r="B783" s="139" t="s">
        <v>1958</v>
      </c>
      <c r="C783" s="139" t="s">
        <v>1938</v>
      </c>
      <c r="D783" s="139" t="s">
        <v>1959</v>
      </c>
    </row>
    <row r="784" spans="1:4" x14ac:dyDescent="0.25">
      <c r="A784" s="139" t="s">
        <v>1960</v>
      </c>
      <c r="B784" s="139" t="s">
        <v>1958</v>
      </c>
      <c r="C784" s="139" t="s">
        <v>1938</v>
      </c>
      <c r="D784" s="139" t="s">
        <v>1961</v>
      </c>
    </row>
    <row r="785" spans="1:4" x14ac:dyDescent="0.25">
      <c r="A785" s="139" t="s">
        <v>1962</v>
      </c>
      <c r="B785" s="139" t="s">
        <v>1963</v>
      </c>
      <c r="C785" s="139" t="s">
        <v>1938</v>
      </c>
      <c r="D785" s="139" t="s">
        <v>1964</v>
      </c>
    </row>
    <row r="786" spans="1:4" x14ac:dyDescent="0.25">
      <c r="A786" s="139" t="s">
        <v>1965</v>
      </c>
      <c r="B786" s="139" t="s">
        <v>1963</v>
      </c>
      <c r="C786" s="139" t="s">
        <v>1938</v>
      </c>
      <c r="D786" s="139" t="s">
        <v>1966</v>
      </c>
    </row>
    <row r="787" spans="1:4" x14ac:dyDescent="0.25">
      <c r="A787" s="139" t="s">
        <v>1967</v>
      </c>
      <c r="B787" s="139" t="s">
        <v>1968</v>
      </c>
      <c r="C787" s="139" t="s">
        <v>1938</v>
      </c>
      <c r="D787" s="139" t="s">
        <v>1969</v>
      </c>
    </row>
    <row r="788" spans="1:4" x14ac:dyDescent="0.25">
      <c r="A788" s="139" t="s">
        <v>1970</v>
      </c>
      <c r="B788" s="139" t="s">
        <v>1968</v>
      </c>
      <c r="C788" s="139" t="s">
        <v>1938</v>
      </c>
      <c r="D788" s="139" t="s">
        <v>1971</v>
      </c>
    </row>
    <row r="789" spans="1:4" x14ac:dyDescent="0.25">
      <c r="A789" s="139" t="s">
        <v>1972</v>
      </c>
      <c r="B789" s="139" t="s">
        <v>1973</v>
      </c>
      <c r="C789" s="139" t="s">
        <v>112</v>
      </c>
      <c r="D789" s="139" t="s">
        <v>1974</v>
      </c>
    </row>
    <row r="790" spans="1:4" x14ac:dyDescent="0.25">
      <c r="A790" s="139" t="s">
        <v>1975</v>
      </c>
      <c r="B790" s="139" t="s">
        <v>1973</v>
      </c>
      <c r="C790" s="139" t="s">
        <v>112</v>
      </c>
      <c r="D790" s="139" t="s">
        <v>1976</v>
      </c>
    </row>
    <row r="791" spans="1:4" x14ac:dyDescent="0.25">
      <c r="A791" s="139" t="s">
        <v>1977</v>
      </c>
      <c r="B791" s="139" t="s">
        <v>1978</v>
      </c>
      <c r="C791" s="139" t="s">
        <v>1938</v>
      </c>
      <c r="D791" s="139" t="s">
        <v>1979</v>
      </c>
    </row>
    <row r="792" spans="1:4" x14ac:dyDescent="0.25">
      <c r="A792" s="139" t="s">
        <v>1980</v>
      </c>
      <c r="B792" s="139" t="s">
        <v>1978</v>
      </c>
      <c r="C792" s="139" t="s">
        <v>1938</v>
      </c>
      <c r="D792" s="139" t="s">
        <v>1981</v>
      </c>
    </row>
    <row r="793" spans="1:4" x14ac:dyDescent="0.25">
      <c r="A793" s="139" t="s">
        <v>1982</v>
      </c>
      <c r="B793" s="139" t="s">
        <v>1983</v>
      </c>
      <c r="C793" s="139" t="s">
        <v>1938</v>
      </c>
      <c r="D793" s="139" t="s">
        <v>1984</v>
      </c>
    </row>
    <row r="794" spans="1:4" x14ac:dyDescent="0.25">
      <c r="A794" s="139" t="s">
        <v>1985</v>
      </c>
      <c r="B794" s="139" t="s">
        <v>1983</v>
      </c>
      <c r="C794" s="139" t="s">
        <v>1938</v>
      </c>
      <c r="D794" s="139" t="s">
        <v>1986</v>
      </c>
    </row>
    <row r="795" spans="1:4" x14ac:dyDescent="0.25">
      <c r="A795" s="139" t="s">
        <v>1987</v>
      </c>
      <c r="B795" s="139" t="s">
        <v>1988</v>
      </c>
      <c r="C795" s="139" t="s">
        <v>1938</v>
      </c>
      <c r="D795" s="139" t="s">
        <v>1989</v>
      </c>
    </row>
    <row r="796" spans="1:4" x14ac:dyDescent="0.25">
      <c r="A796" s="139" t="s">
        <v>1990</v>
      </c>
      <c r="B796" s="139" t="s">
        <v>1988</v>
      </c>
      <c r="C796" s="139" t="s">
        <v>1938</v>
      </c>
      <c r="D796" s="139" t="s">
        <v>1991</v>
      </c>
    </row>
    <row r="797" spans="1:4" x14ac:dyDescent="0.25">
      <c r="A797" s="139" t="s">
        <v>1992</v>
      </c>
      <c r="B797" s="139" t="s">
        <v>1993</v>
      </c>
      <c r="C797" s="139" t="s">
        <v>1938</v>
      </c>
      <c r="D797" s="139" t="s">
        <v>1994</v>
      </c>
    </row>
    <row r="798" spans="1:4" x14ac:dyDescent="0.25">
      <c r="A798" s="139" t="s">
        <v>1995</v>
      </c>
      <c r="B798" s="139" t="s">
        <v>1993</v>
      </c>
      <c r="C798" s="139" t="s">
        <v>1938</v>
      </c>
      <c r="D798" s="139" t="s">
        <v>1996</v>
      </c>
    </row>
    <row r="799" spans="1:4" x14ac:dyDescent="0.25">
      <c r="A799" s="139" t="s">
        <v>1997</v>
      </c>
      <c r="B799" s="139" t="s">
        <v>1998</v>
      </c>
      <c r="C799" s="139" t="s">
        <v>1938</v>
      </c>
      <c r="D799" s="139" t="s">
        <v>1999</v>
      </c>
    </row>
    <row r="800" spans="1:4" x14ac:dyDescent="0.25">
      <c r="A800" s="139" t="s">
        <v>2000</v>
      </c>
      <c r="B800" s="139" t="s">
        <v>1998</v>
      </c>
      <c r="C800" s="139" t="s">
        <v>1938</v>
      </c>
      <c r="D800" s="139" t="s">
        <v>2001</v>
      </c>
    </row>
    <row r="801" spans="1:4" x14ac:dyDescent="0.25">
      <c r="A801" s="139" t="s">
        <v>2002</v>
      </c>
      <c r="B801" s="139" t="s">
        <v>2003</v>
      </c>
      <c r="C801" s="139" t="s">
        <v>1938</v>
      </c>
      <c r="D801" s="139" t="s">
        <v>2004</v>
      </c>
    </row>
    <row r="802" spans="1:4" x14ac:dyDescent="0.25">
      <c r="A802" s="139" t="s">
        <v>2005</v>
      </c>
      <c r="B802" s="139" t="s">
        <v>2003</v>
      </c>
      <c r="C802" s="139" t="s">
        <v>1938</v>
      </c>
      <c r="D802" s="139" t="s">
        <v>2006</v>
      </c>
    </row>
    <row r="803" spans="1:4" x14ac:dyDescent="0.25">
      <c r="A803" s="139" t="s">
        <v>2007</v>
      </c>
      <c r="B803" s="139" t="s">
        <v>2008</v>
      </c>
      <c r="C803" s="139" t="s">
        <v>1938</v>
      </c>
      <c r="D803" s="139" t="s">
        <v>2009</v>
      </c>
    </row>
    <row r="804" spans="1:4" x14ac:dyDescent="0.25">
      <c r="A804" s="139" t="s">
        <v>2010</v>
      </c>
      <c r="B804" s="139" t="s">
        <v>2008</v>
      </c>
      <c r="C804" s="139" t="s">
        <v>1938</v>
      </c>
      <c r="D804" s="139" t="s">
        <v>2011</v>
      </c>
    </row>
    <row r="805" spans="1:4" x14ac:dyDescent="0.25">
      <c r="A805" s="139" t="s">
        <v>2012</v>
      </c>
      <c r="B805" s="139" t="s">
        <v>2013</v>
      </c>
      <c r="C805" s="139" t="s">
        <v>1938</v>
      </c>
      <c r="D805" s="139" t="s">
        <v>2014</v>
      </c>
    </row>
    <row r="806" spans="1:4" x14ac:dyDescent="0.25">
      <c r="A806" s="139" t="s">
        <v>2015</v>
      </c>
      <c r="B806" s="139" t="s">
        <v>2013</v>
      </c>
      <c r="C806" s="139" t="s">
        <v>1938</v>
      </c>
      <c r="D806" s="139" t="s">
        <v>2016</v>
      </c>
    </row>
    <row r="807" spans="1:4" x14ac:dyDescent="0.25">
      <c r="A807" s="139" t="s">
        <v>2017</v>
      </c>
      <c r="B807" s="139" t="s">
        <v>2018</v>
      </c>
      <c r="C807" s="139" t="s">
        <v>375</v>
      </c>
      <c r="D807" s="139" t="s">
        <v>2019</v>
      </c>
    </row>
    <row r="808" spans="1:4" x14ac:dyDescent="0.25">
      <c r="A808" s="139" t="s">
        <v>2020</v>
      </c>
      <c r="B808" s="139" t="s">
        <v>2018</v>
      </c>
      <c r="C808" s="139" t="s">
        <v>375</v>
      </c>
      <c r="D808" s="139" t="s">
        <v>2021</v>
      </c>
    </row>
    <row r="809" spans="1:4" x14ac:dyDescent="0.25">
      <c r="A809" s="139" t="s">
        <v>2022</v>
      </c>
      <c r="B809" s="139" t="s">
        <v>2023</v>
      </c>
      <c r="C809" s="139" t="s">
        <v>112</v>
      </c>
      <c r="D809" s="139" t="s">
        <v>2024</v>
      </c>
    </row>
    <row r="810" spans="1:4" x14ac:dyDescent="0.25">
      <c r="A810" s="139" t="s">
        <v>2025</v>
      </c>
      <c r="B810" s="139" t="s">
        <v>2023</v>
      </c>
      <c r="C810" s="139" t="s">
        <v>112</v>
      </c>
      <c r="D810" s="139" t="s">
        <v>2026</v>
      </c>
    </row>
    <row r="811" spans="1:4" x14ac:dyDescent="0.25">
      <c r="A811" s="139" t="s">
        <v>2027</v>
      </c>
      <c r="B811" s="139" t="s">
        <v>2028</v>
      </c>
      <c r="C811" s="139" t="s">
        <v>1938</v>
      </c>
      <c r="D811" s="139" t="s">
        <v>2029</v>
      </c>
    </row>
    <row r="812" spans="1:4" x14ac:dyDescent="0.25">
      <c r="A812" s="139" t="s">
        <v>2030</v>
      </c>
      <c r="B812" s="139" t="s">
        <v>2028</v>
      </c>
      <c r="C812" s="139" t="s">
        <v>1938</v>
      </c>
      <c r="D812" s="139" t="s">
        <v>2031</v>
      </c>
    </row>
    <row r="813" spans="1:4" x14ac:dyDescent="0.25">
      <c r="A813" s="139" t="s">
        <v>2032</v>
      </c>
      <c r="B813" s="139" t="s">
        <v>2033</v>
      </c>
      <c r="C813" s="139" t="s">
        <v>112</v>
      </c>
      <c r="D813" s="139" t="s">
        <v>2034</v>
      </c>
    </row>
    <row r="814" spans="1:4" x14ac:dyDescent="0.25">
      <c r="A814" s="139" t="s">
        <v>2035</v>
      </c>
      <c r="B814" s="139" t="s">
        <v>2033</v>
      </c>
      <c r="C814" s="139" t="s">
        <v>112</v>
      </c>
      <c r="D814" s="139" t="s">
        <v>2036</v>
      </c>
    </row>
    <row r="815" spans="1:4" x14ac:dyDescent="0.25">
      <c r="A815" s="139" t="s">
        <v>2037</v>
      </c>
      <c r="B815" s="139" t="s">
        <v>2038</v>
      </c>
      <c r="C815" s="139" t="s">
        <v>112</v>
      </c>
      <c r="D815" s="139" t="s">
        <v>2039</v>
      </c>
    </row>
    <row r="816" spans="1:4" x14ac:dyDescent="0.25">
      <c r="A816" s="139" t="s">
        <v>2040</v>
      </c>
      <c r="B816" s="139" t="s">
        <v>2038</v>
      </c>
      <c r="C816" s="139" t="s">
        <v>112</v>
      </c>
      <c r="D816" s="139" t="s">
        <v>2041</v>
      </c>
    </row>
    <row r="817" spans="1:4" x14ac:dyDescent="0.25">
      <c r="A817" s="139" t="s">
        <v>2042</v>
      </c>
      <c r="B817" s="139" t="s">
        <v>2043</v>
      </c>
      <c r="C817" s="139" t="s">
        <v>112</v>
      </c>
      <c r="D817" s="139" t="s">
        <v>2044</v>
      </c>
    </row>
    <row r="818" spans="1:4" x14ac:dyDescent="0.25">
      <c r="A818" s="139" t="s">
        <v>2045</v>
      </c>
      <c r="B818" s="139" t="s">
        <v>2043</v>
      </c>
      <c r="C818" s="139" t="s">
        <v>112</v>
      </c>
      <c r="D818" s="139" t="s">
        <v>2046</v>
      </c>
    </row>
    <row r="819" spans="1:4" x14ac:dyDescent="0.25">
      <c r="A819" s="139" t="s">
        <v>2047</v>
      </c>
      <c r="B819" s="139" t="s">
        <v>2048</v>
      </c>
      <c r="C819" s="139" t="s">
        <v>112</v>
      </c>
      <c r="D819" s="139" t="s">
        <v>2049</v>
      </c>
    </row>
    <row r="820" spans="1:4" x14ac:dyDescent="0.25">
      <c r="A820" s="139" t="s">
        <v>2050</v>
      </c>
      <c r="B820" s="139" t="s">
        <v>2048</v>
      </c>
      <c r="C820" s="139" t="s">
        <v>112</v>
      </c>
      <c r="D820" s="139" t="s">
        <v>2051</v>
      </c>
    </row>
    <row r="821" spans="1:4" x14ac:dyDescent="0.25">
      <c r="A821" s="139" t="s">
        <v>2052</v>
      </c>
      <c r="B821" s="139" t="s">
        <v>2053</v>
      </c>
      <c r="C821" s="139" t="s">
        <v>112</v>
      </c>
      <c r="D821" s="139" t="s">
        <v>2054</v>
      </c>
    </row>
    <row r="822" spans="1:4" x14ac:dyDescent="0.25">
      <c r="A822" s="139" t="s">
        <v>2055</v>
      </c>
      <c r="B822" s="139" t="s">
        <v>2053</v>
      </c>
      <c r="C822" s="139" t="s">
        <v>112</v>
      </c>
      <c r="D822" s="139" t="s">
        <v>2056</v>
      </c>
    </row>
    <row r="823" spans="1:4" x14ac:dyDescent="0.25">
      <c r="A823" s="139" t="s">
        <v>2057</v>
      </c>
      <c r="B823" s="139" t="s">
        <v>2058</v>
      </c>
      <c r="C823" s="139" t="s">
        <v>112</v>
      </c>
      <c r="D823" s="139" t="s">
        <v>2059</v>
      </c>
    </row>
    <row r="824" spans="1:4" x14ac:dyDescent="0.25">
      <c r="A824" s="139" t="s">
        <v>2060</v>
      </c>
      <c r="B824" s="139" t="s">
        <v>2058</v>
      </c>
      <c r="C824" s="139" t="s">
        <v>112</v>
      </c>
      <c r="D824" s="139" t="s">
        <v>2061</v>
      </c>
    </row>
    <row r="825" spans="1:4" x14ac:dyDescent="0.25">
      <c r="A825" s="139" t="s">
        <v>2062</v>
      </c>
      <c r="B825" s="139" t="s">
        <v>2063</v>
      </c>
      <c r="C825" s="139" t="s">
        <v>112</v>
      </c>
      <c r="D825" s="139" t="s">
        <v>2064</v>
      </c>
    </row>
    <row r="826" spans="1:4" x14ac:dyDescent="0.25">
      <c r="A826" s="139" t="s">
        <v>2065</v>
      </c>
      <c r="B826" s="139" t="s">
        <v>2063</v>
      </c>
      <c r="C826" s="139" t="s">
        <v>112</v>
      </c>
      <c r="D826" s="139" t="s">
        <v>2066</v>
      </c>
    </row>
    <row r="827" spans="1:4" x14ac:dyDescent="0.25">
      <c r="A827" s="139" t="s">
        <v>2067</v>
      </c>
      <c r="B827" s="139" t="s">
        <v>2068</v>
      </c>
      <c r="C827" s="139" t="s">
        <v>112</v>
      </c>
      <c r="D827" s="139" t="s">
        <v>2069</v>
      </c>
    </row>
    <row r="828" spans="1:4" x14ac:dyDescent="0.25">
      <c r="A828" s="139" t="s">
        <v>2070</v>
      </c>
      <c r="B828" s="139" t="s">
        <v>2068</v>
      </c>
      <c r="C828" s="139" t="s">
        <v>112</v>
      </c>
      <c r="D828" s="139" t="s">
        <v>2071</v>
      </c>
    </row>
    <row r="829" spans="1:4" x14ac:dyDescent="0.25">
      <c r="A829" s="139" t="s">
        <v>2072</v>
      </c>
      <c r="B829" s="139" t="s">
        <v>2073</v>
      </c>
      <c r="C829" s="139" t="s">
        <v>112</v>
      </c>
      <c r="D829" s="139" t="s">
        <v>2074</v>
      </c>
    </row>
    <row r="830" spans="1:4" x14ac:dyDescent="0.25">
      <c r="A830" s="139" t="s">
        <v>2075</v>
      </c>
      <c r="B830" s="139" t="s">
        <v>2073</v>
      </c>
      <c r="C830" s="139" t="s">
        <v>112</v>
      </c>
      <c r="D830" s="139" t="s">
        <v>2076</v>
      </c>
    </row>
    <row r="831" spans="1:4" x14ac:dyDescent="0.25">
      <c r="A831" s="139" t="s">
        <v>2077</v>
      </c>
      <c r="B831" s="139" t="s">
        <v>2078</v>
      </c>
      <c r="C831" s="139" t="s">
        <v>112</v>
      </c>
      <c r="D831" s="139" t="s">
        <v>2079</v>
      </c>
    </row>
    <row r="832" spans="1:4" x14ac:dyDescent="0.25">
      <c r="A832" s="139" t="s">
        <v>2080</v>
      </c>
      <c r="B832" s="139" t="s">
        <v>2078</v>
      </c>
      <c r="C832" s="139" t="s">
        <v>112</v>
      </c>
      <c r="D832" s="139" t="s">
        <v>2081</v>
      </c>
    </row>
    <row r="833" spans="1:4" x14ac:dyDescent="0.25">
      <c r="A833" s="139" t="s">
        <v>2082</v>
      </c>
      <c r="B833" s="139" t="s">
        <v>2083</v>
      </c>
      <c r="C833" s="139" t="s">
        <v>112</v>
      </c>
      <c r="D833" s="139" t="s">
        <v>2084</v>
      </c>
    </row>
    <row r="834" spans="1:4" x14ac:dyDescent="0.25">
      <c r="A834" s="139" t="s">
        <v>2085</v>
      </c>
      <c r="B834" s="139" t="s">
        <v>2083</v>
      </c>
      <c r="C834" s="139" t="s">
        <v>112</v>
      </c>
      <c r="D834" s="139" t="s">
        <v>2086</v>
      </c>
    </row>
    <row r="835" spans="1:4" x14ac:dyDescent="0.25">
      <c r="A835" s="139" t="s">
        <v>2087</v>
      </c>
      <c r="B835" s="139" t="s">
        <v>2088</v>
      </c>
      <c r="C835" s="139" t="s">
        <v>112</v>
      </c>
      <c r="D835" s="139" t="s">
        <v>2089</v>
      </c>
    </row>
    <row r="836" spans="1:4" x14ac:dyDescent="0.25">
      <c r="A836" s="139" t="s">
        <v>2090</v>
      </c>
      <c r="B836" s="139" t="s">
        <v>2088</v>
      </c>
      <c r="C836" s="139" t="s">
        <v>112</v>
      </c>
      <c r="D836" s="139" t="s">
        <v>2091</v>
      </c>
    </row>
    <row r="837" spans="1:4" x14ac:dyDescent="0.25">
      <c r="A837" s="139" t="s">
        <v>2092</v>
      </c>
      <c r="B837" s="139" t="s">
        <v>2093</v>
      </c>
      <c r="C837" s="139" t="s">
        <v>112</v>
      </c>
      <c r="D837" s="139" t="s">
        <v>2094</v>
      </c>
    </row>
    <row r="838" spans="1:4" x14ac:dyDescent="0.25">
      <c r="A838" s="139" t="s">
        <v>2095</v>
      </c>
      <c r="B838" s="139" t="s">
        <v>2093</v>
      </c>
      <c r="C838" s="139" t="s">
        <v>112</v>
      </c>
      <c r="D838" s="139" t="s">
        <v>2096</v>
      </c>
    </row>
    <row r="839" spans="1:4" x14ac:dyDescent="0.25">
      <c r="A839" s="139" t="s">
        <v>2097</v>
      </c>
      <c r="B839" s="139" t="s">
        <v>2098</v>
      </c>
      <c r="C839" s="139" t="s">
        <v>112</v>
      </c>
      <c r="D839" s="139" t="s">
        <v>2099</v>
      </c>
    </row>
    <row r="840" spans="1:4" x14ac:dyDescent="0.25">
      <c r="A840" s="139" t="s">
        <v>2100</v>
      </c>
      <c r="B840" s="139" t="s">
        <v>2098</v>
      </c>
      <c r="C840" s="139" t="s">
        <v>112</v>
      </c>
      <c r="D840" s="139" t="s">
        <v>2101</v>
      </c>
    </row>
    <row r="841" spans="1:4" x14ac:dyDescent="0.25">
      <c r="A841" s="139" t="s">
        <v>2102</v>
      </c>
      <c r="B841" s="139" t="s">
        <v>2103</v>
      </c>
      <c r="C841" s="139" t="s">
        <v>112</v>
      </c>
      <c r="D841" s="139" t="s">
        <v>2104</v>
      </c>
    </row>
    <row r="842" spans="1:4" x14ac:dyDescent="0.25">
      <c r="A842" s="139" t="s">
        <v>2105</v>
      </c>
      <c r="B842" s="139" t="s">
        <v>2103</v>
      </c>
      <c r="C842" s="139" t="s">
        <v>112</v>
      </c>
      <c r="D842" s="139" t="s">
        <v>2106</v>
      </c>
    </row>
    <row r="843" spans="1:4" x14ac:dyDescent="0.25">
      <c r="A843" s="139" t="s">
        <v>2107</v>
      </c>
      <c r="B843" s="139" t="s">
        <v>2108</v>
      </c>
      <c r="C843" s="139" t="s">
        <v>112</v>
      </c>
      <c r="D843" s="139" t="s">
        <v>2109</v>
      </c>
    </row>
    <row r="844" spans="1:4" x14ac:dyDescent="0.25">
      <c r="A844" s="139" t="s">
        <v>2110</v>
      </c>
      <c r="B844" s="139" t="s">
        <v>2108</v>
      </c>
      <c r="C844" s="139" t="s">
        <v>112</v>
      </c>
      <c r="D844" s="139" t="s">
        <v>2111</v>
      </c>
    </row>
    <row r="845" spans="1:4" x14ac:dyDescent="0.25">
      <c r="A845" s="139" t="s">
        <v>2112</v>
      </c>
      <c r="B845" s="139" t="s">
        <v>2113</v>
      </c>
      <c r="C845" s="139" t="s">
        <v>112</v>
      </c>
      <c r="D845" s="139" t="s">
        <v>2114</v>
      </c>
    </row>
    <row r="846" spans="1:4" x14ac:dyDescent="0.25">
      <c r="A846" s="139" t="s">
        <v>2115</v>
      </c>
      <c r="B846" s="139" t="s">
        <v>2113</v>
      </c>
      <c r="C846" s="139" t="s">
        <v>112</v>
      </c>
      <c r="D846" s="139" t="s">
        <v>2116</v>
      </c>
    </row>
    <row r="847" spans="1:4" x14ac:dyDescent="0.25">
      <c r="A847" s="139" t="s">
        <v>2117</v>
      </c>
      <c r="B847" s="139" t="s">
        <v>2118</v>
      </c>
      <c r="C847" s="139" t="s">
        <v>112</v>
      </c>
      <c r="D847" s="139" t="s">
        <v>2119</v>
      </c>
    </row>
    <row r="848" spans="1:4" x14ac:dyDescent="0.25">
      <c r="A848" s="139" t="s">
        <v>2120</v>
      </c>
      <c r="B848" s="139" t="s">
        <v>2118</v>
      </c>
      <c r="C848" s="139" t="s">
        <v>112</v>
      </c>
      <c r="D848" s="139" t="s">
        <v>2121</v>
      </c>
    </row>
    <row r="849" spans="1:4" x14ac:dyDescent="0.25">
      <c r="A849" s="139" t="s">
        <v>2122</v>
      </c>
      <c r="B849" s="139" t="s">
        <v>2123</v>
      </c>
      <c r="C849" s="139" t="s">
        <v>123</v>
      </c>
      <c r="D849" s="139" t="s">
        <v>2124</v>
      </c>
    </row>
    <row r="850" spans="1:4" x14ac:dyDescent="0.25">
      <c r="A850" s="139" t="s">
        <v>2125</v>
      </c>
      <c r="B850" s="139" t="s">
        <v>2123</v>
      </c>
      <c r="C850" s="139" t="s">
        <v>123</v>
      </c>
      <c r="D850" s="139" t="s">
        <v>2126</v>
      </c>
    </row>
    <row r="851" spans="1:4" x14ac:dyDescent="0.25">
      <c r="A851" s="139" t="s">
        <v>2127</v>
      </c>
      <c r="B851" s="139" t="s">
        <v>2128</v>
      </c>
      <c r="C851" s="139" t="s">
        <v>535</v>
      </c>
      <c r="D851" s="139" t="s">
        <v>2129</v>
      </c>
    </row>
    <row r="852" spans="1:4" x14ac:dyDescent="0.25">
      <c r="A852" s="139" t="s">
        <v>2130</v>
      </c>
      <c r="B852" s="139" t="s">
        <v>2128</v>
      </c>
      <c r="C852" s="139" t="s">
        <v>535</v>
      </c>
      <c r="D852" s="139" t="s">
        <v>2131</v>
      </c>
    </row>
    <row r="853" spans="1:4" x14ac:dyDescent="0.25">
      <c r="A853" s="139" t="s">
        <v>2132</v>
      </c>
      <c r="B853" s="139" t="s">
        <v>2133</v>
      </c>
      <c r="C853" s="139" t="s">
        <v>65</v>
      </c>
      <c r="D853" s="139" t="s">
        <v>2134</v>
      </c>
    </row>
    <row r="854" spans="1:4" x14ac:dyDescent="0.25">
      <c r="A854" s="139" t="s">
        <v>2135</v>
      </c>
      <c r="B854" s="139" t="s">
        <v>2133</v>
      </c>
      <c r="C854" s="139" t="s">
        <v>65</v>
      </c>
      <c r="D854" s="139" t="s">
        <v>2136</v>
      </c>
    </row>
    <row r="855" spans="1:4" x14ac:dyDescent="0.25">
      <c r="A855" s="139" t="s">
        <v>2137</v>
      </c>
      <c r="B855" s="139" t="s">
        <v>2138</v>
      </c>
      <c r="C855" s="139" t="s">
        <v>65</v>
      </c>
      <c r="D855" s="139" t="s">
        <v>2139</v>
      </c>
    </row>
    <row r="856" spans="1:4" x14ac:dyDescent="0.25">
      <c r="A856" s="139" t="s">
        <v>2140</v>
      </c>
      <c r="B856" s="139" t="s">
        <v>2138</v>
      </c>
      <c r="C856" s="139" t="s">
        <v>65</v>
      </c>
      <c r="D856" s="139" t="s">
        <v>2141</v>
      </c>
    </row>
    <row r="857" spans="1:4" x14ac:dyDescent="0.25">
      <c r="A857" s="139" t="s">
        <v>2142</v>
      </c>
      <c r="B857" s="139" t="s">
        <v>2143</v>
      </c>
      <c r="C857" s="139" t="s">
        <v>65</v>
      </c>
      <c r="D857" s="139" t="s">
        <v>2144</v>
      </c>
    </row>
    <row r="858" spans="1:4" x14ac:dyDescent="0.25">
      <c r="A858" s="139" t="s">
        <v>2145</v>
      </c>
      <c r="B858" s="139" t="s">
        <v>2143</v>
      </c>
      <c r="C858" s="139" t="s">
        <v>65</v>
      </c>
      <c r="D858" s="139" t="s">
        <v>2146</v>
      </c>
    </row>
    <row r="859" spans="1:4" x14ac:dyDescent="0.25">
      <c r="A859" s="139" t="s">
        <v>2147</v>
      </c>
      <c r="B859" s="139" t="s">
        <v>2148</v>
      </c>
      <c r="C859" s="139" t="s">
        <v>65</v>
      </c>
      <c r="D859" s="139" t="s">
        <v>2149</v>
      </c>
    </row>
    <row r="860" spans="1:4" x14ac:dyDescent="0.25">
      <c r="A860" s="139" t="s">
        <v>2150</v>
      </c>
      <c r="B860" s="139" t="s">
        <v>2148</v>
      </c>
      <c r="C860" s="139" t="s">
        <v>65</v>
      </c>
      <c r="D860" s="139" t="s">
        <v>2151</v>
      </c>
    </row>
    <row r="861" spans="1:4" x14ac:dyDescent="0.25">
      <c r="A861" s="139" t="s">
        <v>2152</v>
      </c>
      <c r="B861" s="139" t="s">
        <v>2153</v>
      </c>
      <c r="C861" s="139" t="s">
        <v>65</v>
      </c>
      <c r="D861" s="139" t="s">
        <v>2154</v>
      </c>
    </row>
    <row r="862" spans="1:4" x14ac:dyDescent="0.25">
      <c r="A862" s="139" t="s">
        <v>2155</v>
      </c>
      <c r="B862" s="139" t="s">
        <v>2153</v>
      </c>
      <c r="C862" s="139" t="s">
        <v>65</v>
      </c>
      <c r="D862" s="139" t="s">
        <v>2156</v>
      </c>
    </row>
    <row r="863" spans="1:4" x14ac:dyDescent="0.25">
      <c r="A863" s="139" t="s">
        <v>2157</v>
      </c>
      <c r="B863" s="139" t="s">
        <v>2158</v>
      </c>
      <c r="C863" s="139" t="s">
        <v>65</v>
      </c>
      <c r="D863" s="139" t="s">
        <v>2159</v>
      </c>
    </row>
    <row r="864" spans="1:4" x14ac:dyDescent="0.25">
      <c r="A864" s="139" t="s">
        <v>2160</v>
      </c>
      <c r="B864" s="139" t="s">
        <v>2158</v>
      </c>
      <c r="C864" s="139" t="s">
        <v>65</v>
      </c>
      <c r="D864" s="139" t="s">
        <v>2161</v>
      </c>
    </row>
    <row r="865" spans="1:4" x14ac:dyDescent="0.25">
      <c r="A865" s="139" t="s">
        <v>2162</v>
      </c>
      <c r="B865" s="139" t="s">
        <v>2163</v>
      </c>
      <c r="C865" s="139" t="s">
        <v>33</v>
      </c>
      <c r="D865" s="139" t="s">
        <v>2164</v>
      </c>
    </row>
    <row r="866" spans="1:4" x14ac:dyDescent="0.25">
      <c r="A866" s="139" t="s">
        <v>2165</v>
      </c>
      <c r="B866" s="139" t="s">
        <v>2163</v>
      </c>
      <c r="C866" s="139" t="s">
        <v>33</v>
      </c>
      <c r="D866" s="139" t="s">
        <v>2166</v>
      </c>
    </row>
    <row r="867" spans="1:4" x14ac:dyDescent="0.25">
      <c r="A867" s="139" t="s">
        <v>2167</v>
      </c>
      <c r="B867" s="139" t="s">
        <v>2168</v>
      </c>
      <c r="C867" s="139" t="s">
        <v>33</v>
      </c>
      <c r="D867" s="139" t="s">
        <v>2169</v>
      </c>
    </row>
    <row r="868" spans="1:4" x14ac:dyDescent="0.25">
      <c r="A868" s="139" t="s">
        <v>2170</v>
      </c>
      <c r="B868" s="139" t="s">
        <v>2168</v>
      </c>
      <c r="C868" s="139" t="s">
        <v>33</v>
      </c>
      <c r="D868" s="139" t="s">
        <v>2171</v>
      </c>
    </row>
    <row r="869" spans="1:4" x14ac:dyDescent="0.25">
      <c r="A869" s="139" t="s">
        <v>2172</v>
      </c>
      <c r="B869" s="139" t="s">
        <v>2173</v>
      </c>
      <c r="C869" s="139" t="s">
        <v>127</v>
      </c>
      <c r="D869" s="139" t="s">
        <v>2174</v>
      </c>
    </row>
    <row r="870" spans="1:4" x14ac:dyDescent="0.25">
      <c r="A870" s="139" t="s">
        <v>2175</v>
      </c>
      <c r="B870" s="139" t="s">
        <v>2173</v>
      </c>
      <c r="C870" s="139" t="s">
        <v>127</v>
      </c>
      <c r="D870" s="139" t="s">
        <v>2176</v>
      </c>
    </row>
    <row r="871" spans="1:4" x14ac:dyDescent="0.25">
      <c r="A871" s="139" t="s">
        <v>2177</v>
      </c>
      <c r="B871" s="139" t="s">
        <v>2178</v>
      </c>
      <c r="C871" s="139" t="s">
        <v>1820</v>
      </c>
      <c r="D871" s="139" t="s">
        <v>2179</v>
      </c>
    </row>
    <row r="872" spans="1:4" x14ac:dyDescent="0.25">
      <c r="A872" s="139" t="s">
        <v>2180</v>
      </c>
      <c r="B872" s="139" t="s">
        <v>2178</v>
      </c>
      <c r="C872" s="139" t="s">
        <v>1820</v>
      </c>
      <c r="D872" s="139" t="s">
        <v>2181</v>
      </c>
    </row>
    <row r="873" spans="1:4" x14ac:dyDescent="0.25">
      <c r="A873" s="139" t="s">
        <v>2182</v>
      </c>
      <c r="B873" s="139" t="s">
        <v>2183</v>
      </c>
      <c r="C873" s="139" t="s">
        <v>1820</v>
      </c>
      <c r="D873" s="139" t="s">
        <v>2184</v>
      </c>
    </row>
    <row r="874" spans="1:4" x14ac:dyDescent="0.25">
      <c r="A874" s="139" t="s">
        <v>2185</v>
      </c>
      <c r="B874" s="139" t="s">
        <v>2183</v>
      </c>
      <c r="C874" s="139" t="s">
        <v>1820</v>
      </c>
      <c r="D874" s="139" t="s">
        <v>2186</v>
      </c>
    </row>
    <row r="875" spans="1:4" x14ac:dyDescent="0.25">
      <c r="A875" s="139" t="s">
        <v>2187</v>
      </c>
      <c r="B875" s="139" t="s">
        <v>2188</v>
      </c>
      <c r="C875" s="139" t="s">
        <v>1820</v>
      </c>
      <c r="D875" s="139" t="s">
        <v>2189</v>
      </c>
    </row>
    <row r="876" spans="1:4" x14ac:dyDescent="0.25">
      <c r="A876" s="139" t="s">
        <v>2190</v>
      </c>
      <c r="B876" s="139" t="s">
        <v>2188</v>
      </c>
      <c r="C876" s="139" t="s">
        <v>1820</v>
      </c>
      <c r="D876" s="139" t="s">
        <v>2191</v>
      </c>
    </row>
    <row r="877" spans="1:4" x14ac:dyDescent="0.25">
      <c r="A877" s="139" t="s">
        <v>2192</v>
      </c>
      <c r="B877" s="139" t="s">
        <v>2193</v>
      </c>
      <c r="C877" s="139" t="s">
        <v>1820</v>
      </c>
      <c r="D877" s="139" t="s">
        <v>2194</v>
      </c>
    </row>
    <row r="878" spans="1:4" x14ac:dyDescent="0.25">
      <c r="A878" s="139" t="s">
        <v>2195</v>
      </c>
      <c r="B878" s="139" t="s">
        <v>2193</v>
      </c>
      <c r="C878" s="139" t="s">
        <v>1820</v>
      </c>
      <c r="D878" s="139" t="s">
        <v>2196</v>
      </c>
    </row>
    <row r="879" spans="1:4" x14ac:dyDescent="0.25">
      <c r="A879" s="139" t="s">
        <v>2197</v>
      </c>
      <c r="B879" s="139" t="s">
        <v>2198</v>
      </c>
      <c r="C879" s="139" t="s">
        <v>1820</v>
      </c>
      <c r="D879" s="139" t="s">
        <v>2199</v>
      </c>
    </row>
    <row r="880" spans="1:4" x14ac:dyDescent="0.25">
      <c r="A880" s="139" t="s">
        <v>2200</v>
      </c>
      <c r="B880" s="139" t="s">
        <v>2198</v>
      </c>
      <c r="C880" s="139" t="s">
        <v>1820</v>
      </c>
      <c r="D880" s="139" t="s">
        <v>2201</v>
      </c>
    </row>
    <row r="881" spans="1:4" x14ac:dyDescent="0.25">
      <c r="A881" s="139" t="s">
        <v>2202</v>
      </c>
      <c r="B881" s="139" t="s">
        <v>2203</v>
      </c>
      <c r="C881" s="139" t="s">
        <v>1820</v>
      </c>
      <c r="D881" s="139" t="s">
        <v>2204</v>
      </c>
    </row>
    <row r="882" spans="1:4" x14ac:dyDescent="0.25">
      <c r="A882" s="139" t="s">
        <v>2205</v>
      </c>
      <c r="B882" s="139" t="s">
        <v>2203</v>
      </c>
      <c r="C882" s="139" t="s">
        <v>1820</v>
      </c>
      <c r="D882" s="139" t="s">
        <v>2206</v>
      </c>
    </row>
    <row r="883" spans="1:4" x14ac:dyDescent="0.25">
      <c r="A883" s="139" t="s">
        <v>2207</v>
      </c>
      <c r="B883" s="139" t="s">
        <v>2208</v>
      </c>
      <c r="C883" s="139" t="s">
        <v>1820</v>
      </c>
      <c r="D883" s="139" t="s">
        <v>2209</v>
      </c>
    </row>
    <row r="884" spans="1:4" x14ac:dyDescent="0.25">
      <c r="A884" s="139" t="s">
        <v>2210</v>
      </c>
      <c r="B884" s="139" t="s">
        <v>2208</v>
      </c>
      <c r="C884" s="139" t="s">
        <v>1820</v>
      </c>
      <c r="D884" s="139" t="s">
        <v>2211</v>
      </c>
    </row>
    <row r="885" spans="1:4" x14ac:dyDescent="0.25">
      <c r="A885" s="139" t="s">
        <v>2212</v>
      </c>
      <c r="B885" s="139" t="s">
        <v>2213</v>
      </c>
      <c r="C885" s="139" t="s">
        <v>1820</v>
      </c>
      <c r="D885" s="139" t="s">
        <v>2214</v>
      </c>
    </row>
    <row r="886" spans="1:4" x14ac:dyDescent="0.25">
      <c r="A886" s="139" t="s">
        <v>2215</v>
      </c>
      <c r="B886" s="139" t="s">
        <v>2213</v>
      </c>
      <c r="C886" s="139" t="s">
        <v>1820</v>
      </c>
      <c r="D886" s="139" t="s">
        <v>2216</v>
      </c>
    </row>
    <row r="887" spans="1:4" x14ac:dyDescent="0.25">
      <c r="A887" s="139" t="s">
        <v>2217</v>
      </c>
      <c r="B887" s="139" t="s">
        <v>2218</v>
      </c>
      <c r="C887" s="139" t="s">
        <v>1820</v>
      </c>
      <c r="D887" s="139" t="s">
        <v>2219</v>
      </c>
    </row>
    <row r="888" spans="1:4" x14ac:dyDescent="0.25">
      <c r="A888" s="139" t="s">
        <v>2220</v>
      </c>
      <c r="B888" s="139" t="s">
        <v>2218</v>
      </c>
      <c r="C888" s="139" t="s">
        <v>1820</v>
      </c>
      <c r="D888" s="139" t="s">
        <v>2221</v>
      </c>
    </row>
    <row r="889" spans="1:4" x14ac:dyDescent="0.25">
      <c r="A889" s="139" t="s">
        <v>2222</v>
      </c>
      <c r="B889" s="139" t="s">
        <v>2223</v>
      </c>
      <c r="C889" s="139" t="s">
        <v>1820</v>
      </c>
      <c r="D889" s="139" t="s">
        <v>2224</v>
      </c>
    </row>
    <row r="890" spans="1:4" x14ac:dyDescent="0.25">
      <c r="A890" s="139" t="s">
        <v>2225</v>
      </c>
      <c r="B890" s="139" t="s">
        <v>2223</v>
      </c>
      <c r="C890" s="139" t="s">
        <v>1820</v>
      </c>
      <c r="D890" s="139" t="s">
        <v>2226</v>
      </c>
    </row>
    <row r="891" spans="1:4" x14ac:dyDescent="0.25">
      <c r="A891" s="139" t="s">
        <v>2227</v>
      </c>
      <c r="B891" s="139" t="s">
        <v>2228</v>
      </c>
      <c r="C891" s="139" t="s">
        <v>1820</v>
      </c>
      <c r="D891" s="139" t="s">
        <v>2229</v>
      </c>
    </row>
    <row r="892" spans="1:4" x14ac:dyDescent="0.25">
      <c r="A892" s="139" t="s">
        <v>2230</v>
      </c>
      <c r="B892" s="139" t="s">
        <v>2228</v>
      </c>
      <c r="C892" s="139" t="s">
        <v>1820</v>
      </c>
      <c r="D892" s="139" t="s">
        <v>2231</v>
      </c>
    </row>
    <row r="893" spans="1:4" x14ac:dyDescent="0.25">
      <c r="A893" s="139" t="s">
        <v>2232</v>
      </c>
      <c r="B893" s="139" t="s">
        <v>2233</v>
      </c>
      <c r="C893" s="139" t="s">
        <v>316</v>
      </c>
      <c r="D893" s="139" t="s">
        <v>2234</v>
      </c>
    </row>
    <row r="894" spans="1:4" x14ac:dyDescent="0.25">
      <c r="A894" s="139" t="s">
        <v>2235</v>
      </c>
      <c r="B894" s="139" t="s">
        <v>2233</v>
      </c>
      <c r="C894" s="139" t="s">
        <v>316</v>
      </c>
      <c r="D894" s="139" t="s">
        <v>2236</v>
      </c>
    </row>
    <row r="895" spans="1:4" x14ac:dyDescent="0.25">
      <c r="A895" s="139" t="s">
        <v>2237</v>
      </c>
      <c r="B895" s="139" t="s">
        <v>2238</v>
      </c>
      <c r="C895" s="139" t="s">
        <v>316</v>
      </c>
      <c r="D895" s="139" t="s">
        <v>2239</v>
      </c>
    </row>
    <row r="896" spans="1:4" x14ac:dyDescent="0.25">
      <c r="A896" s="139" t="s">
        <v>2240</v>
      </c>
      <c r="B896" s="139" t="s">
        <v>2238</v>
      </c>
      <c r="C896" s="139" t="s">
        <v>316</v>
      </c>
      <c r="D896" s="139" t="s">
        <v>2241</v>
      </c>
    </row>
    <row r="897" spans="1:4" x14ac:dyDescent="0.25">
      <c r="A897" s="139" t="s">
        <v>2242</v>
      </c>
      <c r="B897" s="139" t="s">
        <v>2213</v>
      </c>
      <c r="C897" s="139" t="s">
        <v>33</v>
      </c>
      <c r="D897" s="139" t="s">
        <v>2243</v>
      </c>
    </row>
    <row r="898" spans="1:4" x14ac:dyDescent="0.25">
      <c r="A898" s="139" t="s">
        <v>2244</v>
      </c>
      <c r="B898" s="139" t="s">
        <v>2213</v>
      </c>
      <c r="C898" s="139" t="s">
        <v>33</v>
      </c>
      <c r="D898" s="139" t="s">
        <v>2245</v>
      </c>
    </row>
    <row r="899" spans="1:4" x14ac:dyDescent="0.25">
      <c r="A899" s="139" t="s">
        <v>2246</v>
      </c>
      <c r="B899" s="139" t="s">
        <v>2247</v>
      </c>
      <c r="C899" s="139" t="s">
        <v>33</v>
      </c>
      <c r="D899" s="139" t="s">
        <v>2248</v>
      </c>
    </row>
    <row r="900" spans="1:4" x14ac:dyDescent="0.25">
      <c r="A900" s="139" t="s">
        <v>2249</v>
      </c>
      <c r="B900" s="139" t="s">
        <v>2247</v>
      </c>
      <c r="C900" s="139" t="s">
        <v>33</v>
      </c>
      <c r="D900" s="139" t="s">
        <v>2250</v>
      </c>
    </row>
    <row r="901" spans="1:4" x14ac:dyDescent="0.25">
      <c r="A901" s="139" t="s">
        <v>2251</v>
      </c>
      <c r="B901" s="139" t="s">
        <v>2252</v>
      </c>
      <c r="C901" s="139" t="s">
        <v>33</v>
      </c>
      <c r="D901" s="139" t="s">
        <v>2253</v>
      </c>
    </row>
    <row r="902" spans="1:4" x14ac:dyDescent="0.25">
      <c r="A902" s="139" t="s">
        <v>2254</v>
      </c>
      <c r="B902" s="139" t="s">
        <v>2252</v>
      </c>
      <c r="C902" s="139" t="s">
        <v>33</v>
      </c>
      <c r="D902" s="139" t="s">
        <v>2255</v>
      </c>
    </row>
    <row r="903" spans="1:4" x14ac:dyDescent="0.25">
      <c r="A903" s="139" t="s">
        <v>2256</v>
      </c>
      <c r="B903" s="139" t="s">
        <v>2257</v>
      </c>
      <c r="C903" s="139" t="s">
        <v>33</v>
      </c>
      <c r="D903" s="139" t="s">
        <v>2258</v>
      </c>
    </row>
    <row r="904" spans="1:4" x14ac:dyDescent="0.25">
      <c r="A904" s="139" t="s">
        <v>2259</v>
      </c>
      <c r="B904" s="139" t="s">
        <v>2257</v>
      </c>
      <c r="C904" s="139" t="s">
        <v>33</v>
      </c>
      <c r="D904" s="139" t="s">
        <v>2260</v>
      </c>
    </row>
    <row r="905" spans="1:4" x14ac:dyDescent="0.25">
      <c r="A905" s="139" t="s">
        <v>2261</v>
      </c>
      <c r="B905" s="139" t="s">
        <v>2262</v>
      </c>
      <c r="C905" s="139" t="s">
        <v>33</v>
      </c>
      <c r="D905" s="139" t="s">
        <v>2263</v>
      </c>
    </row>
    <row r="906" spans="1:4" x14ac:dyDescent="0.25">
      <c r="A906" s="139" t="s">
        <v>2264</v>
      </c>
      <c r="B906" s="139" t="s">
        <v>2262</v>
      </c>
      <c r="C906" s="139" t="s">
        <v>33</v>
      </c>
      <c r="D906" s="139" t="s">
        <v>2265</v>
      </c>
    </row>
    <row r="907" spans="1:4" x14ac:dyDescent="0.25">
      <c r="A907" s="139" t="s">
        <v>2266</v>
      </c>
      <c r="B907" s="139" t="s">
        <v>2267</v>
      </c>
      <c r="C907" s="139" t="s">
        <v>33</v>
      </c>
      <c r="D907" s="139" t="s">
        <v>2268</v>
      </c>
    </row>
    <row r="908" spans="1:4" x14ac:dyDescent="0.25">
      <c r="A908" s="139" t="s">
        <v>2269</v>
      </c>
      <c r="B908" s="139" t="s">
        <v>2267</v>
      </c>
      <c r="C908" s="139" t="s">
        <v>33</v>
      </c>
      <c r="D908" s="139" t="s">
        <v>2270</v>
      </c>
    </row>
    <row r="909" spans="1:4" x14ac:dyDescent="0.25">
      <c r="A909" s="139" t="s">
        <v>2271</v>
      </c>
      <c r="B909" s="139" t="s">
        <v>2272</v>
      </c>
      <c r="C909" s="139" t="s">
        <v>65</v>
      </c>
      <c r="D909" s="139" t="s">
        <v>2273</v>
      </c>
    </row>
    <row r="910" spans="1:4" x14ac:dyDescent="0.25">
      <c r="A910" s="139" t="s">
        <v>2274</v>
      </c>
      <c r="B910" s="139" t="s">
        <v>2272</v>
      </c>
      <c r="C910" s="139" t="s">
        <v>65</v>
      </c>
      <c r="D910" s="139" t="s">
        <v>2275</v>
      </c>
    </row>
    <row r="911" spans="1:4" x14ac:dyDescent="0.25">
      <c r="A911" s="139" t="s">
        <v>2276</v>
      </c>
      <c r="B911" s="139" t="s">
        <v>2277</v>
      </c>
      <c r="C911" s="139" t="s">
        <v>65</v>
      </c>
      <c r="D911" s="139" t="s">
        <v>2278</v>
      </c>
    </row>
    <row r="912" spans="1:4" x14ac:dyDescent="0.25">
      <c r="A912" s="139" t="s">
        <v>2279</v>
      </c>
      <c r="B912" s="139" t="s">
        <v>2277</v>
      </c>
      <c r="C912" s="139" t="s">
        <v>65</v>
      </c>
      <c r="D912" s="139" t="s">
        <v>2280</v>
      </c>
    </row>
    <row r="913" spans="1:4" x14ac:dyDescent="0.25">
      <c r="A913" s="139" t="s">
        <v>2281</v>
      </c>
      <c r="B913" s="139" t="s">
        <v>1469</v>
      </c>
      <c r="C913" s="139" t="s">
        <v>658</v>
      </c>
      <c r="D913" s="139" t="s">
        <v>2282</v>
      </c>
    </row>
    <row r="914" spans="1:4" x14ac:dyDescent="0.25">
      <c r="A914" s="139" t="s">
        <v>2283</v>
      </c>
      <c r="B914" s="139" t="s">
        <v>2284</v>
      </c>
      <c r="C914" s="139" t="s">
        <v>65</v>
      </c>
      <c r="D914" s="139" t="s">
        <v>2285</v>
      </c>
    </row>
    <row r="915" spans="1:4" x14ac:dyDescent="0.25">
      <c r="A915" s="139" t="s">
        <v>2286</v>
      </c>
      <c r="B915" s="139" t="s">
        <v>1662</v>
      </c>
      <c r="C915" s="139" t="s">
        <v>65</v>
      </c>
      <c r="D915" s="139" t="s">
        <v>2287</v>
      </c>
    </row>
    <row r="916" spans="1:4" x14ac:dyDescent="0.25">
      <c r="A916" s="139" t="s">
        <v>2288</v>
      </c>
      <c r="B916" s="139" t="s">
        <v>1588</v>
      </c>
      <c r="C916" s="139" t="s">
        <v>44</v>
      </c>
      <c r="D916" s="139" t="s">
        <v>2289</v>
      </c>
    </row>
    <row r="917" spans="1:4" x14ac:dyDescent="0.25">
      <c r="A917" s="139" t="s">
        <v>2290</v>
      </c>
      <c r="B917" s="139" t="s">
        <v>1039</v>
      </c>
      <c r="C917" s="139" t="s">
        <v>44</v>
      </c>
      <c r="D917" s="139" t="s">
        <v>2291</v>
      </c>
    </row>
    <row r="918" spans="1:4" x14ac:dyDescent="0.25">
      <c r="A918" s="139" t="s">
        <v>2292</v>
      </c>
      <c r="B918" s="139" t="s">
        <v>1579</v>
      </c>
      <c r="C918" s="139" t="s">
        <v>44</v>
      </c>
      <c r="D918" s="139" t="s">
        <v>2293</v>
      </c>
    </row>
    <row r="919" spans="1:4" x14ac:dyDescent="0.25">
      <c r="A919" s="139" t="s">
        <v>2294</v>
      </c>
      <c r="B919" s="139" t="s">
        <v>1574</v>
      </c>
      <c r="C919" s="139" t="s">
        <v>44</v>
      </c>
      <c r="D919" s="139" t="s">
        <v>2295</v>
      </c>
    </row>
    <row r="920" spans="1:4" x14ac:dyDescent="0.25">
      <c r="A920" s="139" t="s">
        <v>2296</v>
      </c>
      <c r="B920" s="139" t="s">
        <v>1598</v>
      </c>
      <c r="C920" s="139" t="s">
        <v>44</v>
      </c>
      <c r="D920" s="139" t="s">
        <v>2297</v>
      </c>
    </row>
    <row r="921" spans="1:4" x14ac:dyDescent="0.25">
      <c r="A921" s="139" t="s">
        <v>2298</v>
      </c>
      <c r="B921" s="139" t="s">
        <v>1593</v>
      </c>
      <c r="C921" s="139" t="s">
        <v>44</v>
      </c>
      <c r="D921" s="139" t="s">
        <v>2299</v>
      </c>
    </row>
    <row r="922" spans="1:4" x14ac:dyDescent="0.25">
      <c r="A922" s="139" t="s">
        <v>2300</v>
      </c>
      <c r="B922" s="139" t="s">
        <v>1414</v>
      </c>
      <c r="C922" s="139" t="s">
        <v>112</v>
      </c>
      <c r="D922" s="139" t="s">
        <v>2301</v>
      </c>
    </row>
    <row r="923" spans="1:4" x14ac:dyDescent="0.25">
      <c r="A923" s="139" t="s">
        <v>2302</v>
      </c>
      <c r="B923" s="139" t="s">
        <v>2303</v>
      </c>
      <c r="C923" s="139" t="s">
        <v>112</v>
      </c>
      <c r="D923" s="139" t="s">
        <v>2304</v>
      </c>
    </row>
    <row r="924" spans="1:4" x14ac:dyDescent="0.25">
      <c r="A924" s="139" t="s">
        <v>2305</v>
      </c>
      <c r="B924" s="139" t="s">
        <v>2306</v>
      </c>
      <c r="C924" s="139" t="s">
        <v>112</v>
      </c>
      <c r="D924" s="139" t="s">
        <v>2307</v>
      </c>
    </row>
    <row r="925" spans="1:4" x14ac:dyDescent="0.25">
      <c r="A925" s="139" t="s">
        <v>2308</v>
      </c>
      <c r="B925" s="139" t="s">
        <v>2309</v>
      </c>
      <c r="C925" s="139" t="s">
        <v>112</v>
      </c>
      <c r="D925" s="139" t="s">
        <v>2310</v>
      </c>
    </row>
    <row r="926" spans="1:4" x14ac:dyDescent="0.25">
      <c r="A926" s="139" t="s">
        <v>2311</v>
      </c>
      <c r="B926" s="139" t="s">
        <v>310</v>
      </c>
      <c r="C926" s="139" t="s">
        <v>112</v>
      </c>
      <c r="D926" s="139" t="s">
        <v>2312</v>
      </c>
    </row>
    <row r="927" spans="1:4" x14ac:dyDescent="0.25">
      <c r="A927" s="139" t="s">
        <v>2313</v>
      </c>
      <c r="B927" s="139" t="s">
        <v>1248</v>
      </c>
      <c r="C927" s="139" t="s">
        <v>112</v>
      </c>
      <c r="D927" s="139" t="s">
        <v>2314</v>
      </c>
    </row>
    <row r="928" spans="1:4" x14ac:dyDescent="0.25">
      <c r="A928" s="139" t="s">
        <v>2315</v>
      </c>
      <c r="B928" s="139" t="s">
        <v>2316</v>
      </c>
      <c r="C928" s="139" t="s">
        <v>112</v>
      </c>
      <c r="D928" s="139" t="s">
        <v>2317</v>
      </c>
    </row>
    <row r="929" spans="1:4" x14ac:dyDescent="0.25">
      <c r="A929" s="139" t="s">
        <v>2318</v>
      </c>
      <c r="B929" s="139" t="s">
        <v>1199</v>
      </c>
      <c r="C929" s="139" t="s">
        <v>65</v>
      </c>
      <c r="D929" s="139" t="s">
        <v>2319</v>
      </c>
    </row>
    <row r="930" spans="1:4" x14ac:dyDescent="0.25">
      <c r="A930" s="139" t="s">
        <v>2320</v>
      </c>
      <c r="B930" s="139" t="s">
        <v>2148</v>
      </c>
      <c r="C930" s="139" t="s">
        <v>65</v>
      </c>
      <c r="D930" s="139" t="s">
        <v>2321</v>
      </c>
    </row>
    <row r="931" spans="1:4" x14ac:dyDescent="0.25">
      <c r="A931" s="139" t="s">
        <v>2322</v>
      </c>
      <c r="B931" s="139" t="s">
        <v>1325</v>
      </c>
      <c r="C931" s="139" t="s">
        <v>65</v>
      </c>
      <c r="D931" s="139" t="s">
        <v>2323</v>
      </c>
    </row>
    <row r="932" spans="1:4" x14ac:dyDescent="0.25">
      <c r="A932" s="139" t="s">
        <v>2324</v>
      </c>
      <c r="B932" s="139" t="s">
        <v>2325</v>
      </c>
      <c r="C932" s="139" t="s">
        <v>44</v>
      </c>
      <c r="D932" s="139" t="s">
        <v>2326</v>
      </c>
    </row>
    <row r="933" spans="1:4" x14ac:dyDescent="0.25">
      <c r="A933" s="139" t="s">
        <v>2327</v>
      </c>
      <c r="B933" s="139" t="s">
        <v>2328</v>
      </c>
      <c r="C933" s="139" t="s">
        <v>44</v>
      </c>
      <c r="D933" s="139" t="s">
        <v>2329</v>
      </c>
    </row>
    <row r="934" spans="1:4" x14ac:dyDescent="0.25">
      <c r="A934" s="139" t="s">
        <v>2330</v>
      </c>
      <c r="B934" s="139" t="s">
        <v>2331</v>
      </c>
      <c r="C934" s="139" t="s">
        <v>112</v>
      </c>
      <c r="D934" s="139" t="s">
        <v>2332</v>
      </c>
    </row>
    <row r="935" spans="1:4" x14ac:dyDescent="0.25">
      <c r="A935" s="139" t="s">
        <v>2333</v>
      </c>
      <c r="B935" s="139" t="s">
        <v>1194</v>
      </c>
      <c r="C935" s="139" t="s">
        <v>112</v>
      </c>
      <c r="D935" s="139" t="s">
        <v>2334</v>
      </c>
    </row>
    <row r="936" spans="1:4" x14ac:dyDescent="0.25">
      <c r="A936" s="139" t="s">
        <v>2335</v>
      </c>
      <c r="B936" s="139" t="s">
        <v>1189</v>
      </c>
      <c r="C936" s="139" t="s">
        <v>112</v>
      </c>
      <c r="D936" s="139" t="s">
        <v>2336</v>
      </c>
    </row>
    <row r="937" spans="1:4" x14ac:dyDescent="0.25">
      <c r="A937" s="139" t="s">
        <v>2337</v>
      </c>
      <c r="B937" s="139" t="s">
        <v>2338</v>
      </c>
      <c r="C937" s="139" t="s">
        <v>112</v>
      </c>
      <c r="D937" s="139" t="s">
        <v>2339</v>
      </c>
    </row>
    <row r="938" spans="1:4" x14ac:dyDescent="0.25">
      <c r="A938" s="139" t="s">
        <v>2340</v>
      </c>
      <c r="B938" s="139" t="s">
        <v>1159</v>
      </c>
      <c r="C938" s="139" t="s">
        <v>112</v>
      </c>
      <c r="D938" s="139" t="s">
        <v>2341</v>
      </c>
    </row>
    <row r="939" spans="1:4" x14ac:dyDescent="0.25">
      <c r="A939" s="139" t="s">
        <v>2342</v>
      </c>
      <c r="B939" s="139" t="s">
        <v>1149</v>
      </c>
      <c r="C939" s="139" t="s">
        <v>112</v>
      </c>
      <c r="D939" s="139" t="s">
        <v>2343</v>
      </c>
    </row>
    <row r="940" spans="1:4" x14ac:dyDescent="0.25">
      <c r="A940" s="139" t="s">
        <v>2344</v>
      </c>
      <c r="B940" s="139" t="s">
        <v>2345</v>
      </c>
      <c r="C940" s="139" t="s">
        <v>112</v>
      </c>
      <c r="D940" s="139" t="s">
        <v>2346</v>
      </c>
    </row>
    <row r="941" spans="1:4" x14ac:dyDescent="0.25">
      <c r="A941" s="139" t="s">
        <v>2347</v>
      </c>
      <c r="B941" s="139" t="s">
        <v>1139</v>
      </c>
      <c r="C941" s="139" t="s">
        <v>112</v>
      </c>
      <c r="D941" s="139" t="s">
        <v>2348</v>
      </c>
    </row>
    <row r="942" spans="1:4" x14ac:dyDescent="0.25">
      <c r="A942" s="139" t="s">
        <v>2349</v>
      </c>
      <c r="B942" s="139" t="s">
        <v>1134</v>
      </c>
      <c r="C942" s="139" t="s">
        <v>112</v>
      </c>
      <c r="D942" s="139" t="s">
        <v>2350</v>
      </c>
    </row>
    <row r="943" spans="1:4" x14ac:dyDescent="0.25">
      <c r="A943" s="139" t="s">
        <v>2351</v>
      </c>
      <c r="B943" s="139" t="s">
        <v>2352</v>
      </c>
      <c r="C943" s="139" t="s">
        <v>112</v>
      </c>
      <c r="D943" s="139" t="s">
        <v>2353</v>
      </c>
    </row>
    <row r="944" spans="1:4" x14ac:dyDescent="0.25">
      <c r="A944" s="139" t="s">
        <v>2354</v>
      </c>
      <c r="B944" s="139" t="s">
        <v>2355</v>
      </c>
      <c r="C944" s="139" t="s">
        <v>112</v>
      </c>
      <c r="D944" s="139" t="s">
        <v>2356</v>
      </c>
    </row>
    <row r="945" spans="1:4" x14ac:dyDescent="0.25">
      <c r="A945" s="139" t="s">
        <v>2357</v>
      </c>
      <c r="B945" s="139" t="s">
        <v>1261</v>
      </c>
      <c r="C945" s="139" t="s">
        <v>658</v>
      </c>
      <c r="D945" s="139" t="s">
        <v>2358</v>
      </c>
    </row>
    <row r="946" spans="1:4" x14ac:dyDescent="0.25">
      <c r="A946" s="139" t="s">
        <v>2359</v>
      </c>
      <c r="B946" s="139" t="s">
        <v>349</v>
      </c>
      <c r="C946" s="139" t="s">
        <v>658</v>
      </c>
      <c r="D946" s="139" t="s">
        <v>2360</v>
      </c>
    </row>
    <row r="947" spans="1:4" x14ac:dyDescent="0.25">
      <c r="A947" s="139" t="s">
        <v>2361</v>
      </c>
      <c r="B947" s="139" t="s">
        <v>1243</v>
      </c>
      <c r="C947" s="139" t="s">
        <v>127</v>
      </c>
      <c r="D947" s="139" t="s">
        <v>2362</v>
      </c>
    </row>
    <row r="948" spans="1:4" x14ac:dyDescent="0.25">
      <c r="A948" s="139" t="s">
        <v>2363</v>
      </c>
      <c r="B948" s="139" t="s">
        <v>994</v>
      </c>
      <c r="C948" s="139" t="s">
        <v>127</v>
      </c>
      <c r="D948" s="139" t="s">
        <v>2364</v>
      </c>
    </row>
    <row r="949" spans="1:4" x14ac:dyDescent="0.25">
      <c r="A949" s="139" t="s">
        <v>2365</v>
      </c>
      <c r="B949" s="139" t="s">
        <v>989</v>
      </c>
      <c r="C949" s="139" t="s">
        <v>127</v>
      </c>
      <c r="D949" s="139" t="s">
        <v>2366</v>
      </c>
    </row>
    <row r="950" spans="1:4" x14ac:dyDescent="0.25">
      <c r="A950" s="139" t="s">
        <v>2367</v>
      </c>
      <c r="B950" s="139" t="s">
        <v>1199</v>
      </c>
      <c r="C950" s="139" t="s">
        <v>112</v>
      </c>
      <c r="D950" s="139" t="s">
        <v>2368</v>
      </c>
    </row>
    <row r="951" spans="1:4" x14ac:dyDescent="0.25">
      <c r="A951" s="139" t="s">
        <v>2369</v>
      </c>
      <c r="B951" s="139" t="s">
        <v>949</v>
      </c>
      <c r="C951" s="139" t="s">
        <v>112</v>
      </c>
      <c r="D951" s="139" t="s">
        <v>2370</v>
      </c>
    </row>
    <row r="952" spans="1:4" x14ac:dyDescent="0.25">
      <c r="A952" s="139" t="s">
        <v>2371</v>
      </c>
      <c r="B952" s="139" t="s">
        <v>954</v>
      </c>
      <c r="C952" s="139" t="s">
        <v>112</v>
      </c>
      <c r="D952" s="139" t="s">
        <v>2372</v>
      </c>
    </row>
    <row r="953" spans="1:4" x14ac:dyDescent="0.25">
      <c r="A953" s="139" t="s">
        <v>2373</v>
      </c>
      <c r="B953" s="139" t="s">
        <v>2374</v>
      </c>
      <c r="C953" s="139" t="s">
        <v>112</v>
      </c>
      <c r="D953" s="139" t="s">
        <v>2375</v>
      </c>
    </row>
    <row r="954" spans="1:4" x14ac:dyDescent="0.25">
      <c r="A954" s="139" t="s">
        <v>2376</v>
      </c>
      <c r="B954" s="139" t="s">
        <v>2377</v>
      </c>
      <c r="C954" s="139" t="s">
        <v>112</v>
      </c>
      <c r="D954" s="139" t="s">
        <v>2378</v>
      </c>
    </row>
    <row r="955" spans="1:4" x14ac:dyDescent="0.25">
      <c r="A955" s="139" t="s">
        <v>2379</v>
      </c>
      <c r="B955" s="139" t="s">
        <v>1154</v>
      </c>
      <c r="C955" s="139" t="s">
        <v>112</v>
      </c>
      <c r="D955" s="139" t="s">
        <v>2380</v>
      </c>
    </row>
    <row r="956" spans="1:4" x14ac:dyDescent="0.25">
      <c r="A956" s="139" t="s">
        <v>2381</v>
      </c>
      <c r="B956" s="139" t="s">
        <v>959</v>
      </c>
      <c r="C956" s="139" t="s">
        <v>112</v>
      </c>
      <c r="D956" s="139" t="s">
        <v>2382</v>
      </c>
    </row>
    <row r="957" spans="1:4" x14ac:dyDescent="0.25">
      <c r="A957" s="139" t="s">
        <v>2383</v>
      </c>
      <c r="B957" s="139" t="s">
        <v>2384</v>
      </c>
      <c r="C957" s="139" t="s">
        <v>112</v>
      </c>
      <c r="D957" s="139" t="s">
        <v>2385</v>
      </c>
    </row>
    <row r="958" spans="1:4" x14ac:dyDescent="0.25">
      <c r="A958" s="139" t="s">
        <v>2386</v>
      </c>
      <c r="B958" s="139" t="s">
        <v>969</v>
      </c>
      <c r="C958" s="139" t="s">
        <v>112</v>
      </c>
      <c r="D958" s="139" t="s">
        <v>2387</v>
      </c>
    </row>
    <row r="959" spans="1:4" x14ac:dyDescent="0.25">
      <c r="A959" s="139" t="s">
        <v>2388</v>
      </c>
      <c r="B959" s="139" t="s">
        <v>974</v>
      </c>
      <c r="C959" s="139" t="s">
        <v>112</v>
      </c>
      <c r="D959" s="139" t="s">
        <v>2389</v>
      </c>
    </row>
    <row r="960" spans="1:4" x14ac:dyDescent="0.25">
      <c r="A960" s="139" t="s">
        <v>2390</v>
      </c>
      <c r="B960" s="139" t="s">
        <v>979</v>
      </c>
      <c r="C960" s="139" t="s">
        <v>112</v>
      </c>
      <c r="D960" s="139" t="s">
        <v>2391</v>
      </c>
    </row>
    <row r="961" spans="1:4" x14ac:dyDescent="0.25">
      <c r="A961" s="139" t="s">
        <v>2392</v>
      </c>
      <c r="B961" s="139" t="s">
        <v>2393</v>
      </c>
      <c r="C961" s="139" t="s">
        <v>112</v>
      </c>
      <c r="D961" s="139" t="s">
        <v>2394</v>
      </c>
    </row>
    <row r="962" spans="1:4" x14ac:dyDescent="0.25">
      <c r="A962" s="139" t="s">
        <v>2395</v>
      </c>
      <c r="B962" s="139" t="s">
        <v>2396</v>
      </c>
      <c r="C962" s="139" t="s">
        <v>112</v>
      </c>
      <c r="D962" s="139" t="s">
        <v>2397</v>
      </c>
    </row>
    <row r="963" spans="1:4" x14ac:dyDescent="0.25">
      <c r="A963" s="139" t="s">
        <v>2398</v>
      </c>
      <c r="B963" s="139" t="s">
        <v>2399</v>
      </c>
      <c r="C963" s="139" t="s">
        <v>112</v>
      </c>
      <c r="D963" s="139" t="s">
        <v>2400</v>
      </c>
    </row>
    <row r="964" spans="1:4" x14ac:dyDescent="0.25">
      <c r="A964" s="139" t="s">
        <v>2401</v>
      </c>
      <c r="B964" s="139" t="s">
        <v>2402</v>
      </c>
      <c r="C964" s="139" t="s">
        <v>112</v>
      </c>
      <c r="D964" s="139" t="s">
        <v>2403</v>
      </c>
    </row>
    <row r="965" spans="1:4" x14ac:dyDescent="0.25">
      <c r="A965" s="139" t="s">
        <v>2404</v>
      </c>
      <c r="B965" s="139" t="s">
        <v>2405</v>
      </c>
      <c r="C965" s="139" t="s">
        <v>112</v>
      </c>
      <c r="D965" s="139" t="s">
        <v>2406</v>
      </c>
    </row>
    <row r="966" spans="1:4" x14ac:dyDescent="0.25">
      <c r="A966" s="139" t="s">
        <v>2407</v>
      </c>
      <c r="B966" s="139" t="s">
        <v>2408</v>
      </c>
      <c r="C966" s="139" t="s">
        <v>112</v>
      </c>
      <c r="D966" s="139" t="s">
        <v>2409</v>
      </c>
    </row>
    <row r="967" spans="1:4" x14ac:dyDescent="0.25">
      <c r="A967" s="139" t="s">
        <v>2410</v>
      </c>
      <c r="B967" s="139" t="s">
        <v>2411</v>
      </c>
      <c r="C967" s="139" t="s">
        <v>112</v>
      </c>
      <c r="D967" s="139" t="s">
        <v>2412</v>
      </c>
    </row>
    <row r="968" spans="1:4" x14ac:dyDescent="0.25">
      <c r="A968" s="139" t="s">
        <v>2413</v>
      </c>
      <c r="B968" s="139" t="s">
        <v>2414</v>
      </c>
      <c r="C968" s="139" t="s">
        <v>112</v>
      </c>
      <c r="D968" s="139" t="s">
        <v>2415</v>
      </c>
    </row>
    <row r="969" spans="1:4" x14ac:dyDescent="0.25">
      <c r="A969" s="139" t="s">
        <v>2416</v>
      </c>
      <c r="B969" s="139" t="s">
        <v>1034</v>
      </c>
      <c r="C969" s="139" t="s">
        <v>112</v>
      </c>
      <c r="D969" s="139" t="s">
        <v>2417</v>
      </c>
    </row>
    <row r="970" spans="1:4" x14ac:dyDescent="0.25">
      <c r="A970" s="139" t="s">
        <v>2418</v>
      </c>
      <c r="B970" s="139" t="s">
        <v>895</v>
      </c>
      <c r="C970" s="139" t="s">
        <v>112</v>
      </c>
      <c r="D970" s="139" t="s">
        <v>2419</v>
      </c>
    </row>
    <row r="971" spans="1:4" x14ac:dyDescent="0.25">
      <c r="A971" s="139" t="s">
        <v>2420</v>
      </c>
      <c r="B971" s="139" t="s">
        <v>1049</v>
      </c>
      <c r="C971" s="139" t="s">
        <v>112</v>
      </c>
      <c r="D971" s="139" t="s">
        <v>2421</v>
      </c>
    </row>
    <row r="972" spans="1:4" x14ac:dyDescent="0.25">
      <c r="A972" s="139" t="s">
        <v>2422</v>
      </c>
      <c r="B972" s="139" t="s">
        <v>875</v>
      </c>
      <c r="C972" s="139" t="s">
        <v>112</v>
      </c>
      <c r="D972" s="139" t="s">
        <v>2423</v>
      </c>
    </row>
    <row r="973" spans="1:4" x14ac:dyDescent="0.25">
      <c r="A973" s="139" t="s">
        <v>2424</v>
      </c>
      <c r="B973" s="139" t="s">
        <v>2425</v>
      </c>
      <c r="C973" s="139" t="s">
        <v>112</v>
      </c>
      <c r="D973" s="139" t="s">
        <v>2426</v>
      </c>
    </row>
    <row r="974" spans="1:4" x14ac:dyDescent="0.25">
      <c r="A974" s="139" t="s">
        <v>2427</v>
      </c>
      <c r="B974" s="139" t="s">
        <v>2428</v>
      </c>
      <c r="C974" s="139" t="s">
        <v>112</v>
      </c>
      <c r="D974" s="139" t="s">
        <v>2429</v>
      </c>
    </row>
    <row r="975" spans="1:4" x14ac:dyDescent="0.25">
      <c r="A975" s="139" t="s">
        <v>2430</v>
      </c>
      <c r="B975" s="139" t="s">
        <v>1399</v>
      </c>
      <c r="C975" s="139" t="s">
        <v>112</v>
      </c>
      <c r="D975" s="139" t="s">
        <v>2431</v>
      </c>
    </row>
    <row r="976" spans="1:4" x14ac:dyDescent="0.25">
      <c r="A976" s="139" t="s">
        <v>2432</v>
      </c>
      <c r="B976" s="139" t="s">
        <v>2433</v>
      </c>
      <c r="C976" s="139" t="s">
        <v>112</v>
      </c>
      <c r="D976" s="139" t="s">
        <v>2434</v>
      </c>
    </row>
    <row r="977" spans="1:4" x14ac:dyDescent="0.25">
      <c r="A977" s="139" t="s">
        <v>2435</v>
      </c>
      <c r="B977" s="139" t="s">
        <v>909</v>
      </c>
      <c r="C977" s="139" t="s">
        <v>112</v>
      </c>
      <c r="D977" s="139" t="s">
        <v>2436</v>
      </c>
    </row>
    <row r="978" spans="1:4" x14ac:dyDescent="0.25">
      <c r="A978" s="139" t="s">
        <v>2437</v>
      </c>
      <c r="B978" s="139" t="s">
        <v>2438</v>
      </c>
      <c r="C978" s="139" t="s">
        <v>112</v>
      </c>
      <c r="D978" s="139" t="s">
        <v>2439</v>
      </c>
    </row>
    <row r="979" spans="1:4" x14ac:dyDescent="0.25">
      <c r="A979" s="139" t="s">
        <v>2440</v>
      </c>
      <c r="B979" s="139" t="s">
        <v>914</v>
      </c>
      <c r="C979" s="139" t="s">
        <v>112</v>
      </c>
      <c r="D979" s="139" t="s">
        <v>2441</v>
      </c>
    </row>
    <row r="980" spans="1:4" x14ac:dyDescent="0.25">
      <c r="A980" s="139" t="s">
        <v>2442</v>
      </c>
      <c r="B980" s="139" t="s">
        <v>984</v>
      </c>
      <c r="C980" s="139" t="s">
        <v>112</v>
      </c>
      <c r="D980" s="139" t="s">
        <v>2443</v>
      </c>
    </row>
    <row r="981" spans="1:4" x14ac:dyDescent="0.25">
      <c r="A981" s="139" t="s">
        <v>2444</v>
      </c>
      <c r="B981" s="139" t="s">
        <v>2445</v>
      </c>
      <c r="C981" s="139" t="s">
        <v>112</v>
      </c>
      <c r="D981" s="139" t="s">
        <v>2446</v>
      </c>
    </row>
    <row r="982" spans="1:4" x14ac:dyDescent="0.25">
      <c r="A982" s="139" t="s">
        <v>2447</v>
      </c>
      <c r="B982" s="139" t="s">
        <v>924</v>
      </c>
      <c r="C982" s="139" t="s">
        <v>112</v>
      </c>
      <c r="D982" s="139" t="s">
        <v>2448</v>
      </c>
    </row>
    <row r="983" spans="1:4" x14ac:dyDescent="0.25">
      <c r="A983" s="139" t="s">
        <v>2449</v>
      </c>
      <c r="B983" s="139" t="s">
        <v>929</v>
      </c>
      <c r="C983" s="139" t="s">
        <v>112</v>
      </c>
      <c r="D983" s="139" t="s">
        <v>2450</v>
      </c>
    </row>
    <row r="984" spans="1:4" x14ac:dyDescent="0.25">
      <c r="A984" s="139" t="s">
        <v>2451</v>
      </c>
      <c r="B984" s="139" t="s">
        <v>2452</v>
      </c>
      <c r="C984" s="139" t="s">
        <v>112</v>
      </c>
      <c r="D984" s="139" t="s">
        <v>2453</v>
      </c>
    </row>
    <row r="985" spans="1:4" x14ac:dyDescent="0.25">
      <c r="A985" s="139" t="s">
        <v>2454</v>
      </c>
      <c r="B985" s="139" t="s">
        <v>2455</v>
      </c>
      <c r="C985" s="139" t="s">
        <v>112</v>
      </c>
      <c r="D985" s="139" t="s">
        <v>2456</v>
      </c>
    </row>
    <row r="986" spans="1:4" x14ac:dyDescent="0.25">
      <c r="A986" s="139" t="s">
        <v>2457</v>
      </c>
      <c r="B986" s="139" t="s">
        <v>2458</v>
      </c>
      <c r="C986" s="139" t="s">
        <v>112</v>
      </c>
      <c r="D986" s="139" t="s">
        <v>2459</v>
      </c>
    </row>
    <row r="987" spans="1:4" x14ac:dyDescent="0.25">
      <c r="A987" s="139" t="s">
        <v>2460</v>
      </c>
      <c r="B987" s="139" t="s">
        <v>2461</v>
      </c>
      <c r="C987" s="139" t="s">
        <v>112</v>
      </c>
      <c r="D987" s="139" t="s">
        <v>2462</v>
      </c>
    </row>
    <row r="988" spans="1:4" x14ac:dyDescent="0.25">
      <c r="A988" s="139" t="s">
        <v>2463</v>
      </c>
      <c r="B988" s="139" t="s">
        <v>1305</v>
      </c>
      <c r="C988" s="139" t="s">
        <v>112</v>
      </c>
      <c r="D988" s="139" t="s">
        <v>2464</v>
      </c>
    </row>
    <row r="989" spans="1:4" x14ac:dyDescent="0.25">
      <c r="A989" s="139" t="s">
        <v>2465</v>
      </c>
      <c r="B989" s="139" t="s">
        <v>1039</v>
      </c>
      <c r="C989" s="139" t="s">
        <v>112</v>
      </c>
      <c r="D989" s="139" t="s">
        <v>2466</v>
      </c>
    </row>
    <row r="990" spans="1:4" x14ac:dyDescent="0.25">
      <c r="A990" s="139" t="s">
        <v>2467</v>
      </c>
      <c r="B990" s="139" t="s">
        <v>2468</v>
      </c>
      <c r="C990" s="139" t="s">
        <v>112</v>
      </c>
      <c r="D990" s="139" t="s">
        <v>2469</v>
      </c>
    </row>
    <row r="991" spans="1:4" x14ac:dyDescent="0.25">
      <c r="A991" s="139" t="s">
        <v>2470</v>
      </c>
      <c r="B991" s="139" t="s">
        <v>1054</v>
      </c>
      <c r="C991" s="139" t="s">
        <v>112</v>
      </c>
      <c r="D991" s="139" t="s">
        <v>2471</v>
      </c>
    </row>
    <row r="992" spans="1:4" x14ac:dyDescent="0.25">
      <c r="A992" s="139" t="s">
        <v>2472</v>
      </c>
      <c r="B992" s="139" t="s">
        <v>1059</v>
      </c>
      <c r="C992" s="139" t="s">
        <v>112</v>
      </c>
      <c r="D992" s="139" t="s">
        <v>2473</v>
      </c>
    </row>
    <row r="993" spans="1:4" x14ac:dyDescent="0.25">
      <c r="A993" s="139" t="s">
        <v>2474</v>
      </c>
      <c r="B993" s="139" t="s">
        <v>2475</v>
      </c>
      <c r="C993" s="139" t="s">
        <v>112</v>
      </c>
      <c r="D993" s="139" t="s">
        <v>2476</v>
      </c>
    </row>
    <row r="994" spans="1:4" x14ac:dyDescent="0.25">
      <c r="A994" s="139" t="s">
        <v>2477</v>
      </c>
      <c r="B994" s="139" t="s">
        <v>2478</v>
      </c>
      <c r="C994" s="139" t="s">
        <v>112</v>
      </c>
      <c r="D994" s="139" t="s">
        <v>2479</v>
      </c>
    </row>
    <row r="995" spans="1:4" x14ac:dyDescent="0.25">
      <c r="A995" s="139" t="s">
        <v>2480</v>
      </c>
      <c r="B995" s="139" t="s">
        <v>1069</v>
      </c>
      <c r="C995" s="139" t="s">
        <v>112</v>
      </c>
      <c r="D995" s="139" t="s">
        <v>2481</v>
      </c>
    </row>
    <row r="996" spans="1:4" x14ac:dyDescent="0.25">
      <c r="A996" s="139" t="s">
        <v>2482</v>
      </c>
      <c r="B996" s="139" t="s">
        <v>1074</v>
      </c>
      <c r="C996" s="139" t="s">
        <v>112</v>
      </c>
      <c r="D996" s="139" t="s">
        <v>2483</v>
      </c>
    </row>
    <row r="997" spans="1:4" x14ac:dyDescent="0.25">
      <c r="A997" s="139" t="s">
        <v>2484</v>
      </c>
      <c r="B997" s="139" t="s">
        <v>2485</v>
      </c>
      <c r="C997" s="139" t="s">
        <v>112</v>
      </c>
      <c r="D997" s="139" t="s">
        <v>2486</v>
      </c>
    </row>
    <row r="998" spans="1:4" x14ac:dyDescent="0.25">
      <c r="A998" s="139" t="s">
        <v>2487</v>
      </c>
      <c r="B998" s="139" t="s">
        <v>1079</v>
      </c>
      <c r="C998" s="139" t="s">
        <v>112</v>
      </c>
      <c r="D998" s="139" t="s">
        <v>2488</v>
      </c>
    </row>
    <row r="999" spans="1:4" x14ac:dyDescent="0.25">
      <c r="A999" s="139" t="s">
        <v>2489</v>
      </c>
      <c r="B999" s="139" t="s">
        <v>2490</v>
      </c>
      <c r="C999" s="139" t="s">
        <v>112</v>
      </c>
      <c r="D999" s="139" t="s">
        <v>2491</v>
      </c>
    </row>
    <row r="1000" spans="1:4" x14ac:dyDescent="0.25">
      <c r="A1000" s="139" t="s">
        <v>2492</v>
      </c>
      <c r="B1000" s="139" t="s">
        <v>2493</v>
      </c>
      <c r="C1000" s="139" t="s">
        <v>112</v>
      </c>
      <c r="D1000" s="139" t="s">
        <v>2494</v>
      </c>
    </row>
    <row r="1001" spans="1:4" x14ac:dyDescent="0.25">
      <c r="A1001" s="139" t="s">
        <v>2495</v>
      </c>
      <c r="B1001" s="139" t="s">
        <v>1084</v>
      </c>
      <c r="C1001" s="139" t="s">
        <v>112</v>
      </c>
      <c r="D1001" s="139" t="s">
        <v>2496</v>
      </c>
    </row>
    <row r="1002" spans="1:4" x14ac:dyDescent="0.25">
      <c r="A1002" s="139" t="s">
        <v>2497</v>
      </c>
      <c r="B1002" s="139" t="s">
        <v>1089</v>
      </c>
      <c r="C1002" s="139" t="s">
        <v>112</v>
      </c>
      <c r="D1002" s="139" t="s">
        <v>2498</v>
      </c>
    </row>
    <row r="1003" spans="1:4" x14ac:dyDescent="0.25">
      <c r="A1003" s="139" t="s">
        <v>2499</v>
      </c>
      <c r="B1003" s="139" t="s">
        <v>1094</v>
      </c>
      <c r="C1003" s="139" t="s">
        <v>112</v>
      </c>
      <c r="D1003" s="139" t="s">
        <v>2500</v>
      </c>
    </row>
    <row r="1004" spans="1:4" x14ac:dyDescent="0.25">
      <c r="A1004" s="139" t="s">
        <v>2501</v>
      </c>
      <c r="B1004" s="139" t="s">
        <v>1209</v>
      </c>
      <c r="C1004" s="139" t="s">
        <v>658</v>
      </c>
      <c r="D1004" s="139" t="s">
        <v>2502</v>
      </c>
    </row>
    <row r="1005" spans="1:4" x14ac:dyDescent="0.25">
      <c r="A1005" s="139" t="s">
        <v>2503</v>
      </c>
      <c r="B1005" s="139" t="s">
        <v>675</v>
      </c>
      <c r="C1005" s="139" t="s">
        <v>670</v>
      </c>
      <c r="D1005" s="139" t="s">
        <v>2504</v>
      </c>
    </row>
    <row r="1006" spans="1:4" x14ac:dyDescent="0.25">
      <c r="A1006" s="139" t="s">
        <v>2505</v>
      </c>
      <c r="B1006" s="139" t="s">
        <v>2506</v>
      </c>
      <c r="C1006" s="139" t="s">
        <v>670</v>
      </c>
      <c r="D1006" s="139" t="s">
        <v>2507</v>
      </c>
    </row>
    <row r="1007" spans="1:4" x14ac:dyDescent="0.25">
      <c r="A1007" s="139" t="s">
        <v>2508</v>
      </c>
      <c r="B1007" s="139" t="s">
        <v>437</v>
      </c>
      <c r="C1007" s="139" t="s">
        <v>658</v>
      </c>
      <c r="D1007" s="139" t="s">
        <v>2509</v>
      </c>
    </row>
    <row r="1008" spans="1:4" x14ac:dyDescent="0.25">
      <c r="A1008" s="139" t="s">
        <v>2510</v>
      </c>
      <c r="B1008" s="139" t="s">
        <v>206</v>
      </c>
      <c r="C1008" s="139" t="s">
        <v>33</v>
      </c>
      <c r="D1008" s="139" t="s">
        <v>2511</v>
      </c>
    </row>
    <row r="1009" spans="1:4" x14ac:dyDescent="0.25">
      <c r="A1009" s="139" t="s">
        <v>2512</v>
      </c>
      <c r="B1009" s="139" t="s">
        <v>2513</v>
      </c>
      <c r="C1009" s="139" t="s">
        <v>33</v>
      </c>
      <c r="D1009" s="139" t="s">
        <v>2514</v>
      </c>
    </row>
    <row r="1010" spans="1:4" x14ac:dyDescent="0.25">
      <c r="A1010" s="139" t="s">
        <v>2515</v>
      </c>
      <c r="B1010" s="139" t="s">
        <v>531</v>
      </c>
      <c r="C1010" s="139" t="s">
        <v>65</v>
      </c>
      <c r="D1010" s="139" t="s">
        <v>2516</v>
      </c>
    </row>
    <row r="1011" spans="1:4" x14ac:dyDescent="0.25">
      <c r="A1011" s="139" t="s">
        <v>2517</v>
      </c>
      <c r="B1011" s="139" t="s">
        <v>528</v>
      </c>
      <c r="C1011" s="139" t="s">
        <v>65</v>
      </c>
      <c r="D1011" s="139" t="s">
        <v>2518</v>
      </c>
    </row>
    <row r="1012" spans="1:4" x14ac:dyDescent="0.25">
      <c r="A1012" s="139" t="s">
        <v>2519</v>
      </c>
      <c r="B1012" s="139" t="s">
        <v>570</v>
      </c>
      <c r="C1012" s="139" t="s">
        <v>535</v>
      </c>
      <c r="D1012" s="139" t="s">
        <v>2520</v>
      </c>
    </row>
    <row r="1013" spans="1:4" x14ac:dyDescent="0.25">
      <c r="A1013" s="139" t="s">
        <v>2521</v>
      </c>
      <c r="B1013" s="139" t="s">
        <v>567</v>
      </c>
      <c r="C1013" s="139" t="s">
        <v>535</v>
      </c>
      <c r="D1013" s="139" t="s">
        <v>2522</v>
      </c>
    </row>
    <row r="1014" spans="1:4" x14ac:dyDescent="0.25">
      <c r="A1014" s="139" t="s">
        <v>2523</v>
      </c>
      <c r="B1014" s="139" t="s">
        <v>564</v>
      </c>
      <c r="C1014" s="139" t="s">
        <v>535</v>
      </c>
      <c r="D1014" s="139" t="s">
        <v>2524</v>
      </c>
    </row>
    <row r="1015" spans="1:4" x14ac:dyDescent="0.25">
      <c r="A1015" s="139" t="s">
        <v>2525</v>
      </c>
      <c r="B1015" s="139" t="s">
        <v>561</v>
      </c>
      <c r="C1015" s="139" t="s">
        <v>535</v>
      </c>
      <c r="D1015" s="139" t="s">
        <v>2526</v>
      </c>
    </row>
    <row r="1016" spans="1:4" x14ac:dyDescent="0.25">
      <c r="A1016" s="139" t="s">
        <v>2527</v>
      </c>
      <c r="B1016" s="139" t="s">
        <v>558</v>
      </c>
      <c r="C1016" s="139" t="s">
        <v>535</v>
      </c>
      <c r="D1016" s="139" t="s">
        <v>2528</v>
      </c>
    </row>
    <row r="1017" spans="1:4" x14ac:dyDescent="0.25">
      <c r="A1017" s="139" t="s">
        <v>2529</v>
      </c>
      <c r="B1017" s="139" t="s">
        <v>555</v>
      </c>
      <c r="C1017" s="139" t="s">
        <v>535</v>
      </c>
      <c r="D1017" s="139" t="s">
        <v>2530</v>
      </c>
    </row>
    <row r="1018" spans="1:4" x14ac:dyDescent="0.25">
      <c r="A1018" s="139" t="s">
        <v>2531</v>
      </c>
      <c r="B1018" s="139" t="s">
        <v>552</v>
      </c>
      <c r="C1018" s="139" t="s">
        <v>535</v>
      </c>
      <c r="D1018" s="139" t="s">
        <v>2532</v>
      </c>
    </row>
    <row r="1019" spans="1:4" x14ac:dyDescent="0.25">
      <c r="A1019" s="139" t="s">
        <v>2533</v>
      </c>
      <c r="B1019" s="139" t="s">
        <v>357</v>
      </c>
      <c r="C1019" s="139" t="s">
        <v>535</v>
      </c>
      <c r="D1019" s="139" t="s">
        <v>2534</v>
      </c>
    </row>
    <row r="1020" spans="1:4" x14ac:dyDescent="0.25">
      <c r="A1020" s="139" t="s">
        <v>2535</v>
      </c>
      <c r="B1020" s="139" t="s">
        <v>547</v>
      </c>
      <c r="C1020" s="139" t="s">
        <v>535</v>
      </c>
      <c r="D1020" s="139" t="s">
        <v>2536</v>
      </c>
    </row>
    <row r="1021" spans="1:4" x14ac:dyDescent="0.25">
      <c r="A1021" s="139" t="s">
        <v>2537</v>
      </c>
      <c r="B1021" s="139" t="s">
        <v>544</v>
      </c>
      <c r="C1021" s="139" t="s">
        <v>535</v>
      </c>
      <c r="D1021" s="139" t="s">
        <v>2538</v>
      </c>
    </row>
    <row r="1022" spans="1:4" x14ac:dyDescent="0.25">
      <c r="A1022" s="139" t="s">
        <v>2539</v>
      </c>
      <c r="B1022" s="139" t="s">
        <v>541</v>
      </c>
      <c r="C1022" s="139" t="s">
        <v>535</v>
      </c>
      <c r="D1022" s="139" t="s">
        <v>2540</v>
      </c>
    </row>
    <row r="1023" spans="1:4" x14ac:dyDescent="0.25">
      <c r="A1023" s="139" t="s">
        <v>2541</v>
      </c>
      <c r="B1023" s="139" t="s">
        <v>538</v>
      </c>
      <c r="C1023" s="139" t="s">
        <v>535</v>
      </c>
      <c r="D1023" s="139" t="s">
        <v>2542</v>
      </c>
    </row>
    <row r="1024" spans="1:4" x14ac:dyDescent="0.25">
      <c r="A1024" s="139" t="s">
        <v>2543</v>
      </c>
      <c r="B1024" s="139" t="s">
        <v>534</v>
      </c>
      <c r="C1024" s="139" t="s">
        <v>535</v>
      </c>
      <c r="D1024" s="139" t="s">
        <v>2544</v>
      </c>
    </row>
    <row r="1025" spans="1:4" x14ac:dyDescent="0.25">
      <c r="A1025" s="139" t="s">
        <v>2545</v>
      </c>
      <c r="B1025" s="139" t="s">
        <v>1199</v>
      </c>
      <c r="C1025" s="139" t="s">
        <v>65</v>
      </c>
      <c r="D1025" s="139" t="s">
        <v>2546</v>
      </c>
    </row>
    <row r="1026" spans="1:4" x14ac:dyDescent="0.25">
      <c r="A1026" s="139" t="s">
        <v>2547</v>
      </c>
      <c r="B1026" s="139" t="s">
        <v>2148</v>
      </c>
      <c r="C1026" s="139" t="s">
        <v>65</v>
      </c>
      <c r="D1026" s="139" t="s">
        <v>2548</v>
      </c>
    </row>
    <row r="1027" spans="1:4" x14ac:dyDescent="0.25">
      <c r="A1027" s="139" t="s">
        <v>2549</v>
      </c>
      <c r="B1027" s="139" t="s">
        <v>1325</v>
      </c>
      <c r="C1027" s="139" t="s">
        <v>65</v>
      </c>
      <c r="D1027" s="139" t="s">
        <v>2550</v>
      </c>
    </row>
    <row r="1028" spans="1:4" x14ac:dyDescent="0.25">
      <c r="A1028" s="139" t="s">
        <v>2551</v>
      </c>
      <c r="B1028" s="139" t="s">
        <v>2325</v>
      </c>
      <c r="C1028" s="139" t="s">
        <v>44</v>
      </c>
      <c r="D1028" s="139" t="s">
        <v>2552</v>
      </c>
    </row>
    <row r="1029" spans="1:4" x14ac:dyDescent="0.25">
      <c r="A1029" s="139" t="s">
        <v>2553</v>
      </c>
      <c r="B1029" s="139" t="s">
        <v>2328</v>
      </c>
      <c r="C1029" s="139" t="s">
        <v>44</v>
      </c>
      <c r="D1029" s="139" t="s">
        <v>2554</v>
      </c>
    </row>
    <row r="1030" spans="1:4" x14ac:dyDescent="0.25">
      <c r="A1030" s="139" t="s">
        <v>2555</v>
      </c>
      <c r="B1030" s="139" t="s">
        <v>2331</v>
      </c>
      <c r="C1030" s="139" t="s">
        <v>112</v>
      </c>
      <c r="D1030" s="139" t="s">
        <v>2556</v>
      </c>
    </row>
    <row r="1031" spans="1:4" x14ac:dyDescent="0.25">
      <c r="A1031" s="139" t="s">
        <v>2557</v>
      </c>
      <c r="B1031" s="139" t="s">
        <v>1194</v>
      </c>
      <c r="C1031" s="139" t="s">
        <v>112</v>
      </c>
      <c r="D1031" s="139" t="s">
        <v>2558</v>
      </c>
    </row>
    <row r="1032" spans="1:4" x14ac:dyDescent="0.25">
      <c r="A1032" s="139" t="s">
        <v>2559</v>
      </c>
      <c r="B1032" s="139" t="s">
        <v>1189</v>
      </c>
      <c r="C1032" s="139" t="s">
        <v>112</v>
      </c>
      <c r="D1032" s="139" t="s">
        <v>2560</v>
      </c>
    </row>
    <row r="1033" spans="1:4" x14ac:dyDescent="0.25">
      <c r="A1033" s="139" t="s">
        <v>2561</v>
      </c>
      <c r="B1033" s="139" t="s">
        <v>2338</v>
      </c>
      <c r="C1033" s="139" t="s">
        <v>112</v>
      </c>
      <c r="D1033" s="139" t="s">
        <v>2562</v>
      </c>
    </row>
    <row r="1034" spans="1:4" x14ac:dyDescent="0.25">
      <c r="A1034" s="139" t="s">
        <v>2563</v>
      </c>
      <c r="B1034" s="139" t="s">
        <v>1159</v>
      </c>
      <c r="C1034" s="139" t="s">
        <v>112</v>
      </c>
      <c r="D1034" s="139" t="s">
        <v>2564</v>
      </c>
    </row>
    <row r="1035" spans="1:4" x14ac:dyDescent="0.25">
      <c r="A1035" s="139" t="s">
        <v>2565</v>
      </c>
      <c r="B1035" s="139" t="s">
        <v>1149</v>
      </c>
      <c r="C1035" s="139" t="s">
        <v>112</v>
      </c>
      <c r="D1035" s="139" t="s">
        <v>2566</v>
      </c>
    </row>
    <row r="1036" spans="1:4" x14ac:dyDescent="0.25">
      <c r="A1036" s="139" t="s">
        <v>2567</v>
      </c>
      <c r="B1036" s="139" t="s">
        <v>2345</v>
      </c>
      <c r="C1036" s="139" t="s">
        <v>112</v>
      </c>
      <c r="D1036" s="139" t="s">
        <v>2568</v>
      </c>
    </row>
    <row r="1037" spans="1:4" x14ac:dyDescent="0.25">
      <c r="A1037" s="139" t="s">
        <v>2569</v>
      </c>
      <c r="B1037" s="139" t="s">
        <v>1139</v>
      </c>
      <c r="C1037" s="139" t="s">
        <v>112</v>
      </c>
      <c r="D1037" s="139" t="s">
        <v>2570</v>
      </c>
    </row>
    <row r="1038" spans="1:4" x14ac:dyDescent="0.25">
      <c r="A1038" s="139" t="s">
        <v>2571</v>
      </c>
      <c r="B1038" s="139" t="s">
        <v>1134</v>
      </c>
      <c r="C1038" s="139" t="s">
        <v>112</v>
      </c>
      <c r="D1038" s="139" t="s">
        <v>2572</v>
      </c>
    </row>
    <row r="1039" spans="1:4" x14ac:dyDescent="0.25">
      <c r="A1039" s="139" t="s">
        <v>2573</v>
      </c>
      <c r="B1039" s="139" t="s">
        <v>2352</v>
      </c>
      <c r="C1039" s="139" t="s">
        <v>112</v>
      </c>
      <c r="D1039" s="139" t="s">
        <v>2574</v>
      </c>
    </row>
    <row r="1040" spans="1:4" x14ac:dyDescent="0.25">
      <c r="A1040" s="139" t="s">
        <v>2575</v>
      </c>
      <c r="B1040" s="139" t="s">
        <v>2355</v>
      </c>
      <c r="C1040" s="139" t="s">
        <v>112</v>
      </c>
      <c r="D1040" s="139" t="s">
        <v>2576</v>
      </c>
    </row>
    <row r="1041" spans="1:4" x14ac:dyDescent="0.25">
      <c r="A1041" s="139" t="s">
        <v>2577</v>
      </c>
      <c r="B1041" s="139" t="s">
        <v>1094</v>
      </c>
      <c r="C1041" s="139" t="s">
        <v>112</v>
      </c>
      <c r="D1041" s="139" t="s">
        <v>2578</v>
      </c>
    </row>
    <row r="1042" spans="1:4" x14ac:dyDescent="0.25">
      <c r="A1042" s="139" t="s">
        <v>2579</v>
      </c>
      <c r="B1042" s="139" t="s">
        <v>1089</v>
      </c>
      <c r="C1042" s="139" t="s">
        <v>112</v>
      </c>
      <c r="D1042" s="139" t="s">
        <v>2580</v>
      </c>
    </row>
    <row r="1043" spans="1:4" x14ac:dyDescent="0.25">
      <c r="A1043" s="139" t="s">
        <v>2581</v>
      </c>
      <c r="B1043" s="139" t="s">
        <v>1084</v>
      </c>
      <c r="C1043" s="139" t="s">
        <v>112</v>
      </c>
      <c r="D1043" s="139" t="s">
        <v>2582</v>
      </c>
    </row>
    <row r="1044" spans="1:4" x14ac:dyDescent="0.25">
      <c r="A1044" s="139" t="s">
        <v>2583</v>
      </c>
      <c r="B1044" s="139" t="s">
        <v>2493</v>
      </c>
      <c r="C1044" s="139" t="s">
        <v>112</v>
      </c>
      <c r="D1044" s="139" t="s">
        <v>2584</v>
      </c>
    </row>
    <row r="1045" spans="1:4" x14ac:dyDescent="0.25">
      <c r="A1045" s="139" t="s">
        <v>2585</v>
      </c>
      <c r="B1045" s="139" t="s">
        <v>2490</v>
      </c>
      <c r="C1045" s="139" t="s">
        <v>112</v>
      </c>
      <c r="D1045" s="139" t="s">
        <v>2586</v>
      </c>
    </row>
    <row r="1046" spans="1:4" x14ac:dyDescent="0.25">
      <c r="A1046" s="139" t="s">
        <v>2587</v>
      </c>
      <c r="B1046" s="139" t="s">
        <v>1079</v>
      </c>
      <c r="C1046" s="139" t="s">
        <v>112</v>
      </c>
      <c r="D1046" s="139" t="s">
        <v>2588</v>
      </c>
    </row>
    <row r="1047" spans="1:4" x14ac:dyDescent="0.25">
      <c r="A1047" s="139" t="s">
        <v>2589</v>
      </c>
      <c r="B1047" s="139" t="s">
        <v>2485</v>
      </c>
      <c r="C1047" s="139" t="s">
        <v>112</v>
      </c>
      <c r="D1047" s="139" t="s">
        <v>2590</v>
      </c>
    </row>
    <row r="1048" spans="1:4" x14ac:dyDescent="0.25">
      <c r="A1048" s="139" t="s">
        <v>2591</v>
      </c>
      <c r="B1048" s="139" t="s">
        <v>1074</v>
      </c>
      <c r="C1048" s="139" t="s">
        <v>112</v>
      </c>
      <c r="D1048" s="139" t="s">
        <v>2592</v>
      </c>
    </row>
    <row r="1049" spans="1:4" x14ac:dyDescent="0.25">
      <c r="A1049" s="139" t="s">
        <v>2593</v>
      </c>
      <c r="B1049" s="139" t="s">
        <v>1069</v>
      </c>
      <c r="C1049" s="139" t="s">
        <v>112</v>
      </c>
      <c r="D1049" s="139" t="s">
        <v>2594</v>
      </c>
    </row>
    <row r="1050" spans="1:4" x14ac:dyDescent="0.25">
      <c r="A1050" s="139" t="s">
        <v>2595</v>
      </c>
      <c r="B1050" s="139" t="s">
        <v>2478</v>
      </c>
      <c r="C1050" s="139" t="s">
        <v>112</v>
      </c>
      <c r="D1050" s="139" t="s">
        <v>2596</v>
      </c>
    </row>
    <row r="1051" spans="1:4" x14ac:dyDescent="0.25">
      <c r="A1051" s="139" t="s">
        <v>2597</v>
      </c>
      <c r="B1051" s="139" t="s">
        <v>2475</v>
      </c>
      <c r="C1051" s="139" t="s">
        <v>112</v>
      </c>
      <c r="D1051" s="139" t="s">
        <v>2598</v>
      </c>
    </row>
    <row r="1052" spans="1:4" x14ac:dyDescent="0.25">
      <c r="A1052" s="139" t="s">
        <v>2599</v>
      </c>
      <c r="B1052" s="139" t="s">
        <v>1059</v>
      </c>
      <c r="C1052" s="139" t="s">
        <v>112</v>
      </c>
      <c r="D1052" s="139" t="s">
        <v>2600</v>
      </c>
    </row>
    <row r="1053" spans="1:4" x14ac:dyDescent="0.25">
      <c r="A1053" s="139" t="s">
        <v>2601</v>
      </c>
      <c r="B1053" s="139" t="s">
        <v>1054</v>
      </c>
      <c r="C1053" s="139" t="s">
        <v>112</v>
      </c>
      <c r="D1053" s="139" t="s">
        <v>2602</v>
      </c>
    </row>
    <row r="1054" spans="1:4" x14ac:dyDescent="0.25">
      <c r="A1054" s="139" t="s">
        <v>2603</v>
      </c>
      <c r="B1054" s="139" t="s">
        <v>2468</v>
      </c>
      <c r="C1054" s="139" t="s">
        <v>112</v>
      </c>
      <c r="D1054" s="139" t="s">
        <v>2604</v>
      </c>
    </row>
    <row r="1055" spans="1:4" x14ac:dyDescent="0.25">
      <c r="A1055" s="139" t="s">
        <v>2605</v>
      </c>
      <c r="B1055" s="139" t="s">
        <v>1039</v>
      </c>
      <c r="C1055" s="139" t="s">
        <v>112</v>
      </c>
      <c r="D1055" s="139" t="s">
        <v>2606</v>
      </c>
    </row>
    <row r="1056" spans="1:4" x14ac:dyDescent="0.25">
      <c r="A1056" s="139" t="s">
        <v>2607</v>
      </c>
      <c r="B1056" s="139" t="s">
        <v>1305</v>
      </c>
      <c r="C1056" s="139" t="s">
        <v>112</v>
      </c>
      <c r="D1056" s="139" t="s">
        <v>2608</v>
      </c>
    </row>
    <row r="1057" spans="1:4" x14ac:dyDescent="0.25">
      <c r="A1057" s="139" t="s">
        <v>2609</v>
      </c>
      <c r="B1057" s="139" t="s">
        <v>1034</v>
      </c>
      <c r="C1057" s="139" t="s">
        <v>112</v>
      </c>
      <c r="D1057" s="139" t="s">
        <v>2610</v>
      </c>
    </row>
    <row r="1058" spans="1:4" x14ac:dyDescent="0.25">
      <c r="A1058" s="139" t="s">
        <v>2611</v>
      </c>
      <c r="B1058" s="139" t="s">
        <v>2414</v>
      </c>
      <c r="C1058" s="139" t="s">
        <v>112</v>
      </c>
      <c r="D1058" s="139" t="s">
        <v>2612</v>
      </c>
    </row>
    <row r="1059" spans="1:4" x14ac:dyDescent="0.25">
      <c r="A1059" s="139" t="s">
        <v>2613</v>
      </c>
      <c r="B1059" s="139" t="s">
        <v>2411</v>
      </c>
      <c r="C1059" s="139" t="s">
        <v>112</v>
      </c>
      <c r="D1059" s="139" t="s">
        <v>2614</v>
      </c>
    </row>
    <row r="1060" spans="1:4" x14ac:dyDescent="0.25">
      <c r="A1060" s="139" t="s">
        <v>2615</v>
      </c>
      <c r="B1060" s="139" t="s">
        <v>2408</v>
      </c>
      <c r="C1060" s="139" t="s">
        <v>112</v>
      </c>
      <c r="D1060" s="139" t="s">
        <v>2616</v>
      </c>
    </row>
    <row r="1061" spans="1:4" x14ac:dyDescent="0.25">
      <c r="A1061" s="139" t="s">
        <v>2617</v>
      </c>
      <c r="B1061" s="139" t="s">
        <v>2405</v>
      </c>
      <c r="C1061" s="139" t="s">
        <v>112</v>
      </c>
      <c r="D1061" s="139" t="s">
        <v>2618</v>
      </c>
    </row>
    <row r="1062" spans="1:4" x14ac:dyDescent="0.25">
      <c r="A1062" s="139" t="s">
        <v>2619</v>
      </c>
      <c r="B1062" s="139" t="s">
        <v>2402</v>
      </c>
      <c r="C1062" s="139" t="s">
        <v>112</v>
      </c>
      <c r="D1062" s="139" t="s">
        <v>2620</v>
      </c>
    </row>
    <row r="1063" spans="1:4" x14ac:dyDescent="0.25">
      <c r="A1063" s="139" t="s">
        <v>2621</v>
      </c>
      <c r="B1063" s="139" t="s">
        <v>2399</v>
      </c>
      <c r="C1063" s="139" t="s">
        <v>112</v>
      </c>
      <c r="D1063" s="139" t="s">
        <v>2622</v>
      </c>
    </row>
    <row r="1064" spans="1:4" x14ac:dyDescent="0.25">
      <c r="A1064" s="139" t="s">
        <v>2623</v>
      </c>
      <c r="B1064" s="139" t="s">
        <v>2396</v>
      </c>
      <c r="C1064" s="139" t="s">
        <v>112</v>
      </c>
      <c r="D1064" s="139" t="s">
        <v>2624</v>
      </c>
    </row>
    <row r="1065" spans="1:4" x14ac:dyDescent="0.25">
      <c r="A1065" s="139" t="s">
        <v>2625</v>
      </c>
      <c r="B1065" s="139" t="s">
        <v>2393</v>
      </c>
      <c r="C1065" s="139" t="s">
        <v>112</v>
      </c>
      <c r="D1065" s="139" t="s">
        <v>2626</v>
      </c>
    </row>
    <row r="1066" spans="1:4" x14ac:dyDescent="0.25">
      <c r="A1066" s="139" t="s">
        <v>2627</v>
      </c>
      <c r="B1066" s="139" t="s">
        <v>979</v>
      </c>
      <c r="C1066" s="139" t="s">
        <v>112</v>
      </c>
      <c r="D1066" s="139" t="s">
        <v>2628</v>
      </c>
    </row>
    <row r="1067" spans="1:4" x14ac:dyDescent="0.25">
      <c r="A1067" s="139" t="s">
        <v>2629</v>
      </c>
      <c r="B1067" s="139" t="s">
        <v>974</v>
      </c>
      <c r="C1067" s="139" t="s">
        <v>112</v>
      </c>
      <c r="D1067" s="139" t="s">
        <v>2630</v>
      </c>
    </row>
    <row r="1068" spans="1:4" x14ac:dyDescent="0.25">
      <c r="A1068" s="139" t="s">
        <v>2631</v>
      </c>
      <c r="B1068" s="139" t="s">
        <v>969</v>
      </c>
      <c r="C1068" s="139" t="s">
        <v>112</v>
      </c>
      <c r="D1068" s="139" t="s">
        <v>2632</v>
      </c>
    </row>
    <row r="1069" spans="1:4" x14ac:dyDescent="0.25">
      <c r="A1069" s="139" t="s">
        <v>2633</v>
      </c>
      <c r="B1069" s="139" t="s">
        <v>2384</v>
      </c>
      <c r="C1069" s="139" t="s">
        <v>112</v>
      </c>
      <c r="D1069" s="139" t="s">
        <v>2634</v>
      </c>
    </row>
    <row r="1070" spans="1:4" x14ac:dyDescent="0.25">
      <c r="A1070" s="139" t="s">
        <v>2635</v>
      </c>
      <c r="B1070" s="139" t="s">
        <v>959</v>
      </c>
      <c r="C1070" s="139" t="s">
        <v>112</v>
      </c>
      <c r="D1070" s="139" t="s">
        <v>2636</v>
      </c>
    </row>
    <row r="1071" spans="1:4" x14ac:dyDescent="0.25">
      <c r="A1071" s="139" t="s">
        <v>2637</v>
      </c>
      <c r="B1071" s="139" t="s">
        <v>1154</v>
      </c>
      <c r="C1071" s="139" t="s">
        <v>112</v>
      </c>
      <c r="D1071" s="139" t="s">
        <v>2638</v>
      </c>
    </row>
    <row r="1072" spans="1:4" x14ac:dyDescent="0.25">
      <c r="A1072" s="139" t="s">
        <v>2639</v>
      </c>
      <c r="B1072" s="139" t="s">
        <v>2377</v>
      </c>
      <c r="C1072" s="139" t="s">
        <v>112</v>
      </c>
      <c r="D1072" s="139" t="s">
        <v>2640</v>
      </c>
    </row>
    <row r="1073" spans="1:4" x14ac:dyDescent="0.25">
      <c r="A1073" s="139" t="s">
        <v>2641</v>
      </c>
      <c r="B1073" s="139" t="s">
        <v>2374</v>
      </c>
      <c r="C1073" s="139" t="s">
        <v>112</v>
      </c>
      <c r="D1073" s="139" t="s">
        <v>2642</v>
      </c>
    </row>
    <row r="1074" spans="1:4" x14ac:dyDescent="0.25">
      <c r="A1074" s="139" t="s">
        <v>2643</v>
      </c>
      <c r="B1074" s="139" t="s">
        <v>954</v>
      </c>
      <c r="C1074" s="139" t="s">
        <v>112</v>
      </c>
      <c r="D1074" s="139" t="s">
        <v>2644</v>
      </c>
    </row>
    <row r="1075" spans="1:4" x14ac:dyDescent="0.25">
      <c r="A1075" s="139" t="s">
        <v>2645</v>
      </c>
      <c r="B1075" s="139" t="s">
        <v>949</v>
      </c>
      <c r="C1075" s="139" t="s">
        <v>112</v>
      </c>
      <c r="D1075" s="139" t="s">
        <v>2646</v>
      </c>
    </row>
    <row r="1076" spans="1:4" x14ac:dyDescent="0.25">
      <c r="A1076" s="139" t="s">
        <v>2647</v>
      </c>
      <c r="B1076" s="139" t="s">
        <v>2461</v>
      </c>
      <c r="C1076" s="139" t="s">
        <v>112</v>
      </c>
      <c r="D1076" s="139" t="s">
        <v>2648</v>
      </c>
    </row>
    <row r="1077" spans="1:4" x14ac:dyDescent="0.25">
      <c r="A1077" s="139" t="s">
        <v>2649</v>
      </c>
      <c r="B1077" s="139" t="s">
        <v>2458</v>
      </c>
      <c r="C1077" s="139" t="s">
        <v>112</v>
      </c>
      <c r="D1077" s="139" t="s">
        <v>2650</v>
      </c>
    </row>
    <row r="1078" spans="1:4" x14ac:dyDescent="0.25">
      <c r="A1078" s="139" t="s">
        <v>2651</v>
      </c>
      <c r="B1078" s="139" t="s">
        <v>2455</v>
      </c>
      <c r="C1078" s="139" t="s">
        <v>112</v>
      </c>
      <c r="D1078" s="139" t="s">
        <v>2652</v>
      </c>
    </row>
    <row r="1079" spans="1:4" x14ac:dyDescent="0.25">
      <c r="A1079" s="139" t="s">
        <v>2653</v>
      </c>
      <c r="B1079" s="139" t="s">
        <v>2452</v>
      </c>
      <c r="C1079" s="139" t="s">
        <v>112</v>
      </c>
      <c r="D1079" s="139" t="s">
        <v>2654</v>
      </c>
    </row>
    <row r="1080" spans="1:4" x14ac:dyDescent="0.25">
      <c r="A1080" s="139" t="s">
        <v>2655</v>
      </c>
      <c r="B1080" s="139" t="s">
        <v>929</v>
      </c>
      <c r="C1080" s="139" t="s">
        <v>112</v>
      </c>
      <c r="D1080" s="139" t="s">
        <v>2656</v>
      </c>
    </row>
    <row r="1081" spans="1:4" x14ac:dyDescent="0.25">
      <c r="A1081" s="139" t="s">
        <v>2657</v>
      </c>
      <c r="B1081" s="139" t="s">
        <v>924</v>
      </c>
      <c r="C1081" s="139" t="s">
        <v>112</v>
      </c>
      <c r="D1081" s="139" t="s">
        <v>2658</v>
      </c>
    </row>
    <row r="1082" spans="1:4" x14ac:dyDescent="0.25">
      <c r="A1082" s="139" t="s">
        <v>2659</v>
      </c>
      <c r="B1082" s="139" t="s">
        <v>2445</v>
      </c>
      <c r="C1082" s="139" t="s">
        <v>112</v>
      </c>
      <c r="D1082" s="139" t="s">
        <v>2660</v>
      </c>
    </row>
    <row r="1083" spans="1:4" x14ac:dyDescent="0.25">
      <c r="A1083" s="139" t="s">
        <v>2661</v>
      </c>
      <c r="B1083" s="139" t="s">
        <v>984</v>
      </c>
      <c r="C1083" s="139" t="s">
        <v>112</v>
      </c>
      <c r="D1083" s="139" t="s">
        <v>2662</v>
      </c>
    </row>
    <row r="1084" spans="1:4" x14ac:dyDescent="0.25">
      <c r="A1084" s="139" t="s">
        <v>2663</v>
      </c>
      <c r="B1084" s="139" t="s">
        <v>914</v>
      </c>
      <c r="C1084" s="139" t="s">
        <v>112</v>
      </c>
      <c r="D1084" s="139" t="s">
        <v>2664</v>
      </c>
    </row>
    <row r="1085" spans="1:4" x14ac:dyDescent="0.25">
      <c r="A1085" s="139" t="s">
        <v>2665</v>
      </c>
      <c r="B1085" s="139" t="s">
        <v>2438</v>
      </c>
      <c r="C1085" s="139" t="s">
        <v>112</v>
      </c>
      <c r="D1085" s="139" t="s">
        <v>2666</v>
      </c>
    </row>
    <row r="1086" spans="1:4" x14ac:dyDescent="0.25">
      <c r="A1086" s="139" t="s">
        <v>2667</v>
      </c>
      <c r="B1086" s="139" t="s">
        <v>909</v>
      </c>
      <c r="C1086" s="139" t="s">
        <v>112</v>
      </c>
      <c r="D1086" s="139" t="s">
        <v>2668</v>
      </c>
    </row>
    <row r="1087" spans="1:4" x14ac:dyDescent="0.25">
      <c r="A1087" s="139" t="s">
        <v>2669</v>
      </c>
      <c r="B1087" s="139" t="s">
        <v>2433</v>
      </c>
      <c r="C1087" s="139" t="s">
        <v>112</v>
      </c>
      <c r="D1087" s="139" t="s">
        <v>2670</v>
      </c>
    </row>
    <row r="1088" spans="1:4" x14ac:dyDescent="0.25">
      <c r="A1088" s="139" t="s">
        <v>2671</v>
      </c>
      <c r="B1088" s="139" t="s">
        <v>1399</v>
      </c>
      <c r="C1088" s="139" t="s">
        <v>112</v>
      </c>
      <c r="D1088" s="139" t="s">
        <v>2672</v>
      </c>
    </row>
    <row r="1089" spans="1:4" x14ac:dyDescent="0.25">
      <c r="A1089" s="139" t="s">
        <v>2673</v>
      </c>
      <c r="B1089" s="139" t="s">
        <v>2428</v>
      </c>
      <c r="C1089" s="139" t="s">
        <v>112</v>
      </c>
      <c r="D1089" s="139" t="s">
        <v>2674</v>
      </c>
    </row>
    <row r="1090" spans="1:4" x14ac:dyDescent="0.25">
      <c r="A1090" s="139" t="s">
        <v>2675</v>
      </c>
      <c r="B1090" s="139" t="s">
        <v>2425</v>
      </c>
      <c r="C1090" s="139" t="s">
        <v>112</v>
      </c>
      <c r="D1090" s="139" t="s">
        <v>2676</v>
      </c>
    </row>
    <row r="1091" spans="1:4" x14ac:dyDescent="0.25">
      <c r="A1091" s="139" t="s">
        <v>2677</v>
      </c>
      <c r="B1091" s="139" t="s">
        <v>875</v>
      </c>
      <c r="C1091" s="139" t="s">
        <v>112</v>
      </c>
      <c r="D1091" s="139" t="s">
        <v>2678</v>
      </c>
    </row>
    <row r="1092" spans="1:4" x14ac:dyDescent="0.25">
      <c r="A1092" s="139" t="s">
        <v>2679</v>
      </c>
      <c r="B1092" s="139" t="s">
        <v>1049</v>
      </c>
      <c r="C1092" s="139" t="s">
        <v>112</v>
      </c>
      <c r="D1092" s="139" t="s">
        <v>2680</v>
      </c>
    </row>
    <row r="1093" spans="1:4" x14ac:dyDescent="0.25">
      <c r="A1093" s="139" t="s">
        <v>2681</v>
      </c>
      <c r="B1093" s="139" t="s">
        <v>895</v>
      </c>
      <c r="C1093" s="139" t="s">
        <v>112</v>
      </c>
      <c r="D1093" s="139" t="s">
        <v>2682</v>
      </c>
    </row>
    <row r="1094" spans="1:4" x14ac:dyDescent="0.25">
      <c r="A1094" s="139" t="s">
        <v>2683</v>
      </c>
      <c r="B1094" s="139" t="s">
        <v>1261</v>
      </c>
      <c r="C1094" s="139" t="s">
        <v>658</v>
      </c>
      <c r="D1094" s="139" t="s">
        <v>2684</v>
      </c>
    </row>
    <row r="1095" spans="1:4" x14ac:dyDescent="0.25">
      <c r="A1095" s="139" t="s">
        <v>2685</v>
      </c>
      <c r="B1095" s="139" t="s">
        <v>349</v>
      </c>
      <c r="C1095" s="139" t="s">
        <v>658</v>
      </c>
      <c r="D1095" s="139" t="s">
        <v>2686</v>
      </c>
    </row>
    <row r="1096" spans="1:4" x14ac:dyDescent="0.25">
      <c r="A1096" s="139" t="s">
        <v>2687</v>
      </c>
      <c r="B1096" s="139" t="s">
        <v>1243</v>
      </c>
      <c r="C1096" s="139" t="s">
        <v>127</v>
      </c>
      <c r="D1096" s="139" t="s">
        <v>2688</v>
      </c>
    </row>
    <row r="1097" spans="1:4" x14ac:dyDescent="0.25">
      <c r="A1097" s="139" t="s">
        <v>2689</v>
      </c>
      <c r="B1097" s="139" t="s">
        <v>1209</v>
      </c>
      <c r="C1097" s="139" t="s">
        <v>658</v>
      </c>
      <c r="D1097" s="139" t="s">
        <v>2690</v>
      </c>
    </row>
    <row r="1098" spans="1:4" x14ac:dyDescent="0.25">
      <c r="A1098" s="139" t="s">
        <v>2691</v>
      </c>
      <c r="B1098" s="139" t="s">
        <v>1199</v>
      </c>
      <c r="C1098" s="139" t="s">
        <v>112</v>
      </c>
      <c r="D1098" s="139" t="s">
        <v>2692</v>
      </c>
    </row>
    <row r="1099" spans="1:4" x14ac:dyDescent="0.25">
      <c r="A1099" s="139" t="s">
        <v>2693</v>
      </c>
      <c r="B1099" s="139" t="s">
        <v>1469</v>
      </c>
      <c r="C1099" s="139" t="s">
        <v>658</v>
      </c>
      <c r="D1099" s="139" t="s">
        <v>2694</v>
      </c>
    </row>
    <row r="1100" spans="1:4" x14ac:dyDescent="0.25">
      <c r="A1100" s="139" t="s">
        <v>2695</v>
      </c>
      <c r="B1100" s="139" t="s">
        <v>2284</v>
      </c>
      <c r="C1100" s="139" t="s">
        <v>65</v>
      </c>
      <c r="D1100" s="139" t="s">
        <v>2696</v>
      </c>
    </row>
    <row r="1101" spans="1:4" x14ac:dyDescent="0.25">
      <c r="A1101" s="139" t="s">
        <v>2697</v>
      </c>
      <c r="B1101" s="139" t="s">
        <v>1662</v>
      </c>
      <c r="C1101" s="139" t="s">
        <v>65</v>
      </c>
      <c r="D1101" s="139" t="s">
        <v>2698</v>
      </c>
    </row>
    <row r="1102" spans="1:4" x14ac:dyDescent="0.25">
      <c r="A1102" s="139" t="s">
        <v>2699</v>
      </c>
      <c r="B1102" s="139" t="s">
        <v>1588</v>
      </c>
      <c r="C1102" s="139" t="s">
        <v>44</v>
      </c>
      <c r="D1102" s="139" t="s">
        <v>2700</v>
      </c>
    </row>
    <row r="1103" spans="1:4" x14ac:dyDescent="0.25">
      <c r="A1103" s="139" t="s">
        <v>2701</v>
      </c>
      <c r="B1103" s="139" t="s">
        <v>1039</v>
      </c>
      <c r="C1103" s="139" t="s">
        <v>44</v>
      </c>
      <c r="D1103" s="139" t="s">
        <v>2702</v>
      </c>
    </row>
    <row r="1104" spans="1:4" x14ac:dyDescent="0.25">
      <c r="A1104" s="139" t="s">
        <v>2703</v>
      </c>
      <c r="B1104" s="139" t="s">
        <v>1579</v>
      </c>
      <c r="C1104" s="139" t="s">
        <v>44</v>
      </c>
      <c r="D1104" s="139" t="s">
        <v>2704</v>
      </c>
    </row>
    <row r="1105" spans="1:4" x14ac:dyDescent="0.25">
      <c r="A1105" s="139" t="s">
        <v>2705</v>
      </c>
      <c r="B1105" s="139" t="s">
        <v>1574</v>
      </c>
      <c r="C1105" s="139" t="s">
        <v>44</v>
      </c>
      <c r="D1105" s="139" t="s">
        <v>2706</v>
      </c>
    </row>
    <row r="1106" spans="1:4" x14ac:dyDescent="0.25">
      <c r="A1106" s="139" t="s">
        <v>2707</v>
      </c>
      <c r="B1106" s="139" t="s">
        <v>1598</v>
      </c>
      <c r="C1106" s="139" t="s">
        <v>44</v>
      </c>
      <c r="D1106" s="139" t="s">
        <v>2708</v>
      </c>
    </row>
    <row r="1107" spans="1:4" x14ac:dyDescent="0.25">
      <c r="A1107" s="139" t="s">
        <v>2709</v>
      </c>
      <c r="B1107" s="139" t="s">
        <v>1593</v>
      </c>
      <c r="C1107" s="139" t="s">
        <v>44</v>
      </c>
      <c r="D1107" s="139" t="s">
        <v>2710</v>
      </c>
    </row>
    <row r="1108" spans="1:4" x14ac:dyDescent="0.25">
      <c r="A1108" s="139" t="s">
        <v>2711</v>
      </c>
      <c r="B1108" s="139" t="s">
        <v>1414</v>
      </c>
      <c r="C1108" s="139" t="s">
        <v>112</v>
      </c>
      <c r="D1108" s="139" t="s">
        <v>2712</v>
      </c>
    </row>
    <row r="1109" spans="1:4" x14ac:dyDescent="0.25">
      <c r="A1109" s="139" t="s">
        <v>2713</v>
      </c>
      <c r="B1109" s="139" t="s">
        <v>2303</v>
      </c>
      <c r="C1109" s="139" t="s">
        <v>112</v>
      </c>
      <c r="D1109" s="139" t="s">
        <v>2714</v>
      </c>
    </row>
    <row r="1110" spans="1:4" x14ac:dyDescent="0.25">
      <c r="A1110" s="139" t="s">
        <v>2715</v>
      </c>
      <c r="B1110" s="139" t="s">
        <v>2306</v>
      </c>
      <c r="C1110" s="139" t="s">
        <v>112</v>
      </c>
      <c r="D1110" s="139" t="s">
        <v>2716</v>
      </c>
    </row>
    <row r="1111" spans="1:4" x14ac:dyDescent="0.25">
      <c r="A1111" s="139" t="s">
        <v>2717</v>
      </c>
      <c r="B1111" s="139" t="s">
        <v>2309</v>
      </c>
      <c r="C1111" s="139" t="s">
        <v>112</v>
      </c>
      <c r="D1111" s="139" t="s">
        <v>2718</v>
      </c>
    </row>
    <row r="1112" spans="1:4" x14ac:dyDescent="0.25">
      <c r="A1112" s="139" t="s">
        <v>2719</v>
      </c>
      <c r="B1112" s="139" t="s">
        <v>310</v>
      </c>
      <c r="C1112" s="139" t="s">
        <v>112</v>
      </c>
      <c r="D1112" s="139" t="s">
        <v>2720</v>
      </c>
    </row>
    <row r="1113" spans="1:4" x14ac:dyDescent="0.25">
      <c r="A1113" s="139" t="s">
        <v>2721</v>
      </c>
      <c r="B1113" s="139" t="s">
        <v>1248</v>
      </c>
      <c r="C1113" s="139" t="s">
        <v>112</v>
      </c>
      <c r="D1113" s="139" t="s">
        <v>2722</v>
      </c>
    </row>
    <row r="1114" spans="1:4" x14ac:dyDescent="0.25">
      <c r="A1114" s="139" t="s">
        <v>2723</v>
      </c>
      <c r="B1114" s="139" t="s">
        <v>2316</v>
      </c>
      <c r="C1114" s="139" t="s">
        <v>112</v>
      </c>
      <c r="D1114" s="139" t="s">
        <v>2724</v>
      </c>
    </row>
    <row r="1115" spans="1:4" x14ac:dyDescent="0.25">
      <c r="A1115" s="139" t="s">
        <v>2725</v>
      </c>
      <c r="B1115" s="139" t="s">
        <v>994</v>
      </c>
      <c r="C1115" s="139" t="s">
        <v>127</v>
      </c>
      <c r="D1115" s="139" t="s">
        <v>2726</v>
      </c>
    </row>
    <row r="1116" spans="1:4" x14ac:dyDescent="0.25">
      <c r="A1116" s="139" t="s">
        <v>2727</v>
      </c>
      <c r="B1116" s="139" t="s">
        <v>989</v>
      </c>
      <c r="C1116" s="139" t="s">
        <v>127</v>
      </c>
      <c r="D1116" s="139" t="s">
        <v>2728</v>
      </c>
    </row>
    <row r="1117" spans="1:4" x14ac:dyDescent="0.25">
      <c r="A1117" s="139" t="s">
        <v>2729</v>
      </c>
      <c r="B1117" s="139" t="s">
        <v>675</v>
      </c>
      <c r="C1117" s="139" t="s">
        <v>670</v>
      </c>
      <c r="D1117" s="139" t="s">
        <v>2730</v>
      </c>
    </row>
    <row r="1118" spans="1:4" x14ac:dyDescent="0.25">
      <c r="A1118" s="139" t="s">
        <v>2731</v>
      </c>
      <c r="B1118" s="139" t="s">
        <v>2506</v>
      </c>
      <c r="C1118" s="139" t="s">
        <v>670</v>
      </c>
      <c r="D1118" s="139" t="s">
        <v>2732</v>
      </c>
    </row>
    <row r="1119" spans="1:4" x14ac:dyDescent="0.25">
      <c r="A1119" s="139" t="s">
        <v>2733</v>
      </c>
      <c r="B1119" s="139" t="s">
        <v>437</v>
      </c>
      <c r="C1119" s="139" t="s">
        <v>658</v>
      </c>
      <c r="D1119" s="139" t="s">
        <v>2734</v>
      </c>
    </row>
    <row r="1120" spans="1:4" x14ac:dyDescent="0.25">
      <c r="A1120" s="139" t="s">
        <v>2735</v>
      </c>
      <c r="B1120" s="139" t="s">
        <v>206</v>
      </c>
      <c r="C1120" s="139" t="s">
        <v>33</v>
      </c>
      <c r="D1120" s="139" t="s">
        <v>2736</v>
      </c>
    </row>
    <row r="1121" spans="1:4" x14ac:dyDescent="0.25">
      <c r="A1121" s="139" t="s">
        <v>2737</v>
      </c>
      <c r="B1121" s="139" t="s">
        <v>2513</v>
      </c>
      <c r="C1121" s="139" t="s">
        <v>33</v>
      </c>
      <c r="D1121" s="139" t="s">
        <v>2738</v>
      </c>
    </row>
    <row r="1122" spans="1:4" x14ac:dyDescent="0.25">
      <c r="A1122" s="139" t="s">
        <v>2739</v>
      </c>
      <c r="B1122" s="139" t="s">
        <v>531</v>
      </c>
      <c r="C1122" s="139" t="s">
        <v>65</v>
      </c>
      <c r="D1122" s="139" t="s">
        <v>2740</v>
      </c>
    </row>
    <row r="1123" spans="1:4" x14ac:dyDescent="0.25">
      <c r="A1123" s="139" t="s">
        <v>2741</v>
      </c>
      <c r="B1123" s="139" t="s">
        <v>528</v>
      </c>
      <c r="C1123" s="139" t="s">
        <v>65</v>
      </c>
      <c r="D1123" s="139" t="s">
        <v>2742</v>
      </c>
    </row>
    <row r="1124" spans="1:4" x14ac:dyDescent="0.25">
      <c r="A1124" s="139" t="s">
        <v>2743</v>
      </c>
      <c r="B1124" s="139" t="s">
        <v>570</v>
      </c>
      <c r="C1124" s="139" t="s">
        <v>535</v>
      </c>
      <c r="D1124" s="139" t="s">
        <v>2744</v>
      </c>
    </row>
    <row r="1125" spans="1:4" x14ac:dyDescent="0.25">
      <c r="A1125" s="139" t="s">
        <v>2745</v>
      </c>
      <c r="B1125" s="139" t="s">
        <v>567</v>
      </c>
      <c r="C1125" s="139" t="s">
        <v>535</v>
      </c>
      <c r="D1125" s="139" t="s">
        <v>2746</v>
      </c>
    </row>
    <row r="1126" spans="1:4" x14ac:dyDescent="0.25">
      <c r="A1126" s="139" t="s">
        <v>2747</v>
      </c>
      <c r="B1126" s="139" t="s">
        <v>564</v>
      </c>
      <c r="C1126" s="139" t="s">
        <v>535</v>
      </c>
      <c r="D1126" s="139" t="s">
        <v>2748</v>
      </c>
    </row>
    <row r="1127" spans="1:4" x14ac:dyDescent="0.25">
      <c r="A1127" s="139" t="s">
        <v>2749</v>
      </c>
      <c r="B1127" s="139" t="s">
        <v>561</v>
      </c>
      <c r="C1127" s="139" t="s">
        <v>535</v>
      </c>
      <c r="D1127" s="139" t="s">
        <v>2750</v>
      </c>
    </row>
    <row r="1128" spans="1:4" x14ac:dyDescent="0.25">
      <c r="A1128" s="139" t="s">
        <v>2751</v>
      </c>
      <c r="B1128" s="139" t="s">
        <v>558</v>
      </c>
      <c r="C1128" s="139" t="s">
        <v>535</v>
      </c>
      <c r="D1128" s="139" t="s">
        <v>2752</v>
      </c>
    </row>
    <row r="1129" spans="1:4" x14ac:dyDescent="0.25">
      <c r="A1129" s="139" t="s">
        <v>2753</v>
      </c>
      <c r="B1129" s="139" t="s">
        <v>555</v>
      </c>
      <c r="C1129" s="139" t="s">
        <v>535</v>
      </c>
      <c r="D1129" s="139" t="s">
        <v>2754</v>
      </c>
    </row>
    <row r="1130" spans="1:4" x14ac:dyDescent="0.25">
      <c r="A1130" s="139" t="s">
        <v>2755</v>
      </c>
      <c r="B1130" s="139" t="s">
        <v>552</v>
      </c>
      <c r="C1130" s="139" t="s">
        <v>535</v>
      </c>
      <c r="D1130" s="139" t="s">
        <v>2756</v>
      </c>
    </row>
    <row r="1131" spans="1:4" x14ac:dyDescent="0.25">
      <c r="A1131" s="139" t="s">
        <v>2757</v>
      </c>
      <c r="B1131" s="139" t="s">
        <v>357</v>
      </c>
      <c r="C1131" s="139" t="s">
        <v>535</v>
      </c>
      <c r="D1131" s="139" t="s">
        <v>2758</v>
      </c>
    </row>
    <row r="1132" spans="1:4" x14ac:dyDescent="0.25">
      <c r="A1132" s="139" t="s">
        <v>2759</v>
      </c>
      <c r="B1132" s="139" t="s">
        <v>547</v>
      </c>
      <c r="C1132" s="139" t="s">
        <v>535</v>
      </c>
      <c r="D1132" s="139" t="s">
        <v>2760</v>
      </c>
    </row>
    <row r="1133" spans="1:4" x14ac:dyDescent="0.25">
      <c r="A1133" s="139" t="s">
        <v>2761</v>
      </c>
      <c r="B1133" s="139" t="s">
        <v>544</v>
      </c>
      <c r="C1133" s="139" t="s">
        <v>535</v>
      </c>
      <c r="D1133" s="139" t="s">
        <v>2762</v>
      </c>
    </row>
    <row r="1134" spans="1:4" x14ac:dyDescent="0.25">
      <c r="A1134" s="139" t="s">
        <v>2763</v>
      </c>
      <c r="B1134" s="139" t="s">
        <v>541</v>
      </c>
      <c r="C1134" s="139" t="s">
        <v>535</v>
      </c>
      <c r="D1134" s="139" t="s">
        <v>2764</v>
      </c>
    </row>
    <row r="1135" spans="1:4" x14ac:dyDescent="0.25">
      <c r="A1135" s="139" t="s">
        <v>2765</v>
      </c>
      <c r="B1135" s="139" t="s">
        <v>538</v>
      </c>
      <c r="C1135" s="139" t="s">
        <v>535</v>
      </c>
      <c r="D1135" s="139" t="s">
        <v>2766</v>
      </c>
    </row>
    <row r="1136" spans="1:4" x14ac:dyDescent="0.25">
      <c r="A1136" s="139" t="s">
        <v>2767</v>
      </c>
      <c r="B1136" s="139" t="s">
        <v>534</v>
      </c>
      <c r="C1136" s="139" t="s">
        <v>535</v>
      </c>
      <c r="D1136" s="139" t="s">
        <v>2768</v>
      </c>
    </row>
    <row r="1137" spans="1:4" x14ac:dyDescent="0.25">
      <c r="A1137" s="139" t="s">
        <v>2769</v>
      </c>
      <c r="B1137" s="139" t="s">
        <v>2770</v>
      </c>
      <c r="C1137" s="139" t="s">
        <v>65</v>
      </c>
      <c r="D1137" s="139" t="s">
        <v>2771</v>
      </c>
    </row>
    <row r="1138" spans="1:4" x14ac:dyDescent="0.25">
      <c r="A1138" s="139" t="s">
        <v>2772</v>
      </c>
      <c r="B1138" s="139" t="s">
        <v>2770</v>
      </c>
      <c r="C1138" s="139" t="s">
        <v>65</v>
      </c>
      <c r="D1138" s="139" t="s">
        <v>2773</v>
      </c>
    </row>
    <row r="1139" spans="1:4" x14ac:dyDescent="0.25">
      <c r="A1139" s="139" t="s">
        <v>2774</v>
      </c>
      <c r="B1139" s="139" t="s">
        <v>2775</v>
      </c>
      <c r="C1139" s="139" t="s">
        <v>65</v>
      </c>
      <c r="D1139" s="139" t="s">
        <v>2776</v>
      </c>
    </row>
    <row r="1140" spans="1:4" x14ac:dyDescent="0.25">
      <c r="A1140" s="139" t="s">
        <v>2777</v>
      </c>
      <c r="B1140" s="139" t="s">
        <v>2775</v>
      </c>
      <c r="C1140" s="139" t="s">
        <v>65</v>
      </c>
      <c r="D1140" s="139" t="s">
        <v>2778</v>
      </c>
    </row>
    <row r="1141" spans="1:4" x14ac:dyDescent="0.25">
      <c r="A1141" s="139" t="s">
        <v>2779</v>
      </c>
      <c r="B1141" s="139" t="s">
        <v>2780</v>
      </c>
      <c r="C1141" s="139" t="s">
        <v>65</v>
      </c>
      <c r="D1141" s="139" t="s">
        <v>2781</v>
      </c>
    </row>
    <row r="1142" spans="1:4" x14ac:dyDescent="0.25">
      <c r="A1142" s="139" t="s">
        <v>2782</v>
      </c>
      <c r="B1142" s="139" t="s">
        <v>2780</v>
      </c>
      <c r="C1142" s="139" t="s">
        <v>65</v>
      </c>
      <c r="D1142" s="139" t="s">
        <v>2783</v>
      </c>
    </row>
    <row r="1143" spans="1:4" x14ac:dyDescent="0.25">
      <c r="A1143" s="139" t="s">
        <v>2784</v>
      </c>
      <c r="B1143" s="139" t="s">
        <v>2785</v>
      </c>
      <c r="C1143" s="139" t="s">
        <v>65</v>
      </c>
      <c r="D1143" s="139" t="s">
        <v>2786</v>
      </c>
    </row>
    <row r="1144" spans="1:4" x14ac:dyDescent="0.25">
      <c r="A1144" s="139" t="s">
        <v>2787</v>
      </c>
      <c r="B1144" s="139" t="s">
        <v>2785</v>
      </c>
      <c r="C1144" s="139" t="s">
        <v>65</v>
      </c>
      <c r="D1144" s="139" t="s">
        <v>2788</v>
      </c>
    </row>
    <row r="1145" spans="1:4" x14ac:dyDescent="0.25">
      <c r="A1145" s="139" t="s">
        <v>2789</v>
      </c>
      <c r="B1145" s="139" t="s">
        <v>2790</v>
      </c>
      <c r="C1145" s="139" t="s">
        <v>65</v>
      </c>
      <c r="D1145" s="139" t="s">
        <v>2791</v>
      </c>
    </row>
    <row r="1146" spans="1:4" x14ac:dyDescent="0.25">
      <c r="A1146" s="139" t="s">
        <v>2792</v>
      </c>
      <c r="B1146" s="139" t="s">
        <v>2790</v>
      </c>
      <c r="C1146" s="139" t="s">
        <v>65</v>
      </c>
      <c r="D1146" s="139" t="s">
        <v>2793</v>
      </c>
    </row>
    <row r="1147" spans="1:4" x14ac:dyDescent="0.25">
      <c r="A1147" s="139" t="s">
        <v>2794</v>
      </c>
      <c r="B1147" s="139" t="s">
        <v>2331</v>
      </c>
      <c r="C1147" s="139" t="s">
        <v>65</v>
      </c>
      <c r="D1147" s="139" t="s">
        <v>2795</v>
      </c>
    </row>
    <row r="1148" spans="1:4" x14ac:dyDescent="0.25">
      <c r="A1148" s="139" t="s">
        <v>2796</v>
      </c>
      <c r="B1148" s="139" t="s">
        <v>2331</v>
      </c>
      <c r="C1148" s="139" t="s">
        <v>65</v>
      </c>
      <c r="D1148" s="139" t="s">
        <v>2797</v>
      </c>
    </row>
    <row r="1149" spans="1:4" x14ac:dyDescent="0.25">
      <c r="A1149" s="139" t="s">
        <v>2798</v>
      </c>
      <c r="B1149" s="139" t="s">
        <v>2799</v>
      </c>
      <c r="C1149" s="139" t="s">
        <v>316</v>
      </c>
      <c r="D1149" s="139" t="s">
        <v>2800</v>
      </c>
    </row>
    <row r="1150" spans="1:4" x14ac:dyDescent="0.25">
      <c r="A1150" s="139" t="s">
        <v>2801</v>
      </c>
      <c r="B1150" s="139" t="s">
        <v>2799</v>
      </c>
      <c r="C1150" s="139" t="s">
        <v>316</v>
      </c>
      <c r="D1150" s="139" t="s">
        <v>2802</v>
      </c>
    </row>
    <row r="1151" spans="1:4" x14ac:dyDescent="0.25">
      <c r="A1151" s="139" t="s">
        <v>2803</v>
      </c>
      <c r="B1151" s="139" t="s">
        <v>2804</v>
      </c>
      <c r="C1151" s="139" t="s">
        <v>65</v>
      </c>
      <c r="D1151" s="139" t="s">
        <v>2805</v>
      </c>
    </row>
    <row r="1152" spans="1:4" x14ac:dyDescent="0.25">
      <c r="A1152" s="139" t="s">
        <v>2806</v>
      </c>
      <c r="B1152" s="139" t="s">
        <v>2804</v>
      </c>
      <c r="C1152" s="139" t="s">
        <v>65</v>
      </c>
      <c r="D1152" s="139" t="s">
        <v>2807</v>
      </c>
    </row>
    <row r="1153" spans="1:4" x14ac:dyDescent="0.25">
      <c r="A1153" s="139" t="s">
        <v>2808</v>
      </c>
      <c r="B1153" s="139" t="s">
        <v>2809</v>
      </c>
      <c r="C1153" s="139" t="s">
        <v>65</v>
      </c>
      <c r="D1153" s="139" t="s">
        <v>2810</v>
      </c>
    </row>
    <row r="1154" spans="1:4" x14ac:dyDescent="0.25">
      <c r="A1154" s="139" t="s">
        <v>2811</v>
      </c>
      <c r="B1154" s="139" t="s">
        <v>2809</v>
      </c>
      <c r="C1154" s="139" t="s">
        <v>65</v>
      </c>
      <c r="D1154" s="139" t="s">
        <v>2812</v>
      </c>
    </row>
    <row r="1155" spans="1:4" x14ac:dyDescent="0.25">
      <c r="A1155" s="139" t="s">
        <v>2813</v>
      </c>
      <c r="B1155" s="139" t="s">
        <v>534</v>
      </c>
      <c r="C1155" s="139" t="s">
        <v>535</v>
      </c>
      <c r="D1155" s="139" t="s">
        <v>2814</v>
      </c>
    </row>
    <row r="1156" spans="1:4" x14ac:dyDescent="0.25">
      <c r="A1156" s="139" t="s">
        <v>2815</v>
      </c>
      <c r="B1156" s="139" t="s">
        <v>538</v>
      </c>
      <c r="C1156" s="139" t="s">
        <v>535</v>
      </c>
      <c r="D1156" s="139" t="s">
        <v>2816</v>
      </c>
    </row>
    <row r="1157" spans="1:4" x14ac:dyDescent="0.25">
      <c r="A1157" s="139" t="s">
        <v>2817</v>
      </c>
      <c r="B1157" s="139" t="s">
        <v>541</v>
      </c>
      <c r="C1157" s="139" t="s">
        <v>535</v>
      </c>
      <c r="D1157" s="139" t="s">
        <v>2818</v>
      </c>
    </row>
    <row r="1158" spans="1:4" x14ac:dyDescent="0.25">
      <c r="A1158" s="139" t="s">
        <v>2819</v>
      </c>
      <c r="B1158" s="139" t="s">
        <v>544</v>
      </c>
      <c r="C1158" s="139" t="s">
        <v>535</v>
      </c>
      <c r="D1158" s="139" t="s">
        <v>2820</v>
      </c>
    </row>
    <row r="1159" spans="1:4" x14ac:dyDescent="0.25">
      <c r="A1159" s="139" t="s">
        <v>2821</v>
      </c>
      <c r="B1159" s="139" t="s">
        <v>547</v>
      </c>
      <c r="C1159" s="139" t="s">
        <v>535</v>
      </c>
      <c r="D1159" s="139" t="s">
        <v>2822</v>
      </c>
    </row>
    <row r="1160" spans="1:4" x14ac:dyDescent="0.25">
      <c r="A1160" s="139" t="s">
        <v>2823</v>
      </c>
      <c r="B1160" s="139" t="s">
        <v>357</v>
      </c>
      <c r="C1160" s="139" t="s">
        <v>535</v>
      </c>
      <c r="D1160" s="139" t="s">
        <v>2824</v>
      </c>
    </row>
    <row r="1161" spans="1:4" x14ac:dyDescent="0.25">
      <c r="A1161" s="139" t="s">
        <v>2825</v>
      </c>
      <c r="B1161" s="139" t="s">
        <v>552</v>
      </c>
      <c r="C1161" s="139" t="s">
        <v>535</v>
      </c>
      <c r="D1161" s="139" t="s">
        <v>2826</v>
      </c>
    </row>
    <row r="1162" spans="1:4" x14ac:dyDescent="0.25">
      <c r="A1162" s="139" t="s">
        <v>2827</v>
      </c>
      <c r="B1162" s="139" t="s">
        <v>555</v>
      </c>
      <c r="C1162" s="139" t="s">
        <v>535</v>
      </c>
      <c r="D1162" s="139" t="s">
        <v>2828</v>
      </c>
    </row>
    <row r="1163" spans="1:4" x14ac:dyDescent="0.25">
      <c r="A1163" s="139" t="s">
        <v>2829</v>
      </c>
      <c r="B1163" s="139" t="s">
        <v>558</v>
      </c>
      <c r="C1163" s="139" t="s">
        <v>535</v>
      </c>
      <c r="D1163" s="139" t="s">
        <v>2830</v>
      </c>
    </row>
    <row r="1164" spans="1:4" x14ac:dyDescent="0.25">
      <c r="A1164" s="139" t="s">
        <v>2831</v>
      </c>
      <c r="B1164" s="139" t="s">
        <v>561</v>
      </c>
      <c r="C1164" s="139" t="s">
        <v>535</v>
      </c>
      <c r="D1164" s="139" t="s">
        <v>2832</v>
      </c>
    </row>
    <row r="1165" spans="1:4" x14ac:dyDescent="0.25">
      <c r="A1165" s="139" t="s">
        <v>2833</v>
      </c>
      <c r="B1165" s="139" t="s">
        <v>564</v>
      </c>
      <c r="C1165" s="139" t="s">
        <v>535</v>
      </c>
      <c r="D1165" s="139" t="s">
        <v>2834</v>
      </c>
    </row>
    <row r="1166" spans="1:4" x14ac:dyDescent="0.25">
      <c r="A1166" s="139" t="s">
        <v>2835</v>
      </c>
      <c r="B1166" s="139" t="s">
        <v>567</v>
      </c>
      <c r="C1166" s="139" t="s">
        <v>535</v>
      </c>
      <c r="D1166" s="139" t="s">
        <v>2836</v>
      </c>
    </row>
    <row r="1167" spans="1:4" x14ac:dyDescent="0.25">
      <c r="A1167" s="139" t="s">
        <v>2837</v>
      </c>
      <c r="B1167" s="139" t="s">
        <v>570</v>
      </c>
      <c r="C1167" s="139" t="s">
        <v>535</v>
      </c>
      <c r="D1167" s="139" t="s">
        <v>2838</v>
      </c>
    </row>
    <row r="1168" spans="1:4" x14ac:dyDescent="0.25">
      <c r="A1168" s="139" t="s">
        <v>2839</v>
      </c>
      <c r="B1168" s="139" t="s">
        <v>1529</v>
      </c>
      <c r="C1168" s="139" t="s">
        <v>123</v>
      </c>
      <c r="D1168" s="139" t="s">
        <v>2840</v>
      </c>
    </row>
    <row r="1169" spans="1:4" x14ac:dyDescent="0.25">
      <c r="A1169" s="139" t="s">
        <v>2841</v>
      </c>
      <c r="B1169" s="139" t="s">
        <v>1529</v>
      </c>
      <c r="C1169" s="139" t="s">
        <v>123</v>
      </c>
      <c r="D1169" s="139" t="s">
        <v>2842</v>
      </c>
    </row>
    <row r="1170" spans="1:4" x14ac:dyDescent="0.25">
      <c r="A1170" s="139" t="s">
        <v>2843</v>
      </c>
      <c r="B1170" s="139" t="s">
        <v>2844</v>
      </c>
      <c r="C1170" s="139" t="s">
        <v>33</v>
      </c>
      <c r="D1170" s="139" t="s">
        <v>2845</v>
      </c>
    </row>
    <row r="1171" spans="1:4" x14ac:dyDescent="0.25">
      <c r="A1171" s="139" t="s">
        <v>2846</v>
      </c>
      <c r="B1171" s="139" t="s">
        <v>2844</v>
      </c>
      <c r="C1171" s="139" t="s">
        <v>33</v>
      </c>
      <c r="D1171" s="139" t="s">
        <v>2847</v>
      </c>
    </row>
    <row r="1172" spans="1:4" x14ac:dyDescent="0.25">
      <c r="A1172" s="139" t="s">
        <v>2848</v>
      </c>
      <c r="B1172" s="139" t="s">
        <v>2458</v>
      </c>
      <c r="C1172" s="139" t="s">
        <v>65</v>
      </c>
      <c r="D1172" s="139" t="s">
        <v>2849</v>
      </c>
    </row>
    <row r="1173" spans="1:4" x14ac:dyDescent="0.25">
      <c r="A1173" s="139" t="s">
        <v>2850</v>
      </c>
      <c r="B1173" s="139" t="s">
        <v>2851</v>
      </c>
      <c r="C1173" s="139" t="s">
        <v>65</v>
      </c>
      <c r="D1173" s="139" t="s">
        <v>2852</v>
      </c>
    </row>
    <row r="1174" spans="1:4" x14ac:dyDescent="0.25">
      <c r="A1174" s="139" t="s">
        <v>2853</v>
      </c>
      <c r="B1174" s="139" t="s">
        <v>2851</v>
      </c>
      <c r="C1174" s="139" t="s">
        <v>65</v>
      </c>
      <c r="D1174" s="139" t="s">
        <v>2854</v>
      </c>
    </row>
    <row r="1175" spans="1:4" x14ac:dyDescent="0.25">
      <c r="A1175" s="139" t="s">
        <v>2855</v>
      </c>
      <c r="B1175" s="139" t="s">
        <v>2856</v>
      </c>
      <c r="C1175" s="139" t="s">
        <v>65</v>
      </c>
      <c r="D1175" s="139" t="s">
        <v>2857</v>
      </c>
    </row>
    <row r="1176" spans="1:4" x14ac:dyDescent="0.25">
      <c r="A1176" s="139" t="s">
        <v>2858</v>
      </c>
      <c r="B1176" s="139" t="s">
        <v>2856</v>
      </c>
      <c r="C1176" s="139" t="s">
        <v>65</v>
      </c>
      <c r="D1176" s="139" t="s">
        <v>2859</v>
      </c>
    </row>
    <row r="1177" spans="1:4" x14ac:dyDescent="0.25">
      <c r="A1177" s="139" t="s">
        <v>2860</v>
      </c>
      <c r="B1177" s="139" t="s">
        <v>2861</v>
      </c>
      <c r="C1177" s="139" t="s">
        <v>127</v>
      </c>
      <c r="D1177" s="139" t="s">
        <v>2862</v>
      </c>
    </row>
    <row r="1178" spans="1:4" x14ac:dyDescent="0.25">
      <c r="A1178" s="139" t="s">
        <v>2863</v>
      </c>
      <c r="B1178" s="139" t="s">
        <v>2861</v>
      </c>
      <c r="C1178" s="139" t="s">
        <v>127</v>
      </c>
      <c r="D1178" s="139" t="s">
        <v>2864</v>
      </c>
    </row>
    <row r="1179" spans="1:4" x14ac:dyDescent="0.25">
      <c r="A1179" s="139" t="s">
        <v>2865</v>
      </c>
      <c r="B1179" s="139" t="s">
        <v>2866</v>
      </c>
      <c r="C1179" s="139" t="s">
        <v>127</v>
      </c>
      <c r="D1179" s="139" t="s">
        <v>2867</v>
      </c>
    </row>
    <row r="1180" spans="1:4" x14ac:dyDescent="0.25">
      <c r="A1180" s="139" t="s">
        <v>2868</v>
      </c>
      <c r="B1180" s="139" t="s">
        <v>2866</v>
      </c>
      <c r="C1180" s="139" t="s">
        <v>127</v>
      </c>
      <c r="D1180" s="139" t="s">
        <v>2869</v>
      </c>
    </row>
    <row r="1181" spans="1:4" x14ac:dyDescent="0.25">
      <c r="A1181" s="139" t="s">
        <v>2870</v>
      </c>
      <c r="B1181" s="139" t="s">
        <v>2458</v>
      </c>
      <c r="C1181" s="139" t="s">
        <v>127</v>
      </c>
      <c r="D1181" s="139" t="s">
        <v>2871</v>
      </c>
    </row>
    <row r="1182" spans="1:4" x14ac:dyDescent="0.25">
      <c r="A1182" s="139" t="s">
        <v>2872</v>
      </c>
      <c r="B1182" s="139" t="s">
        <v>2458</v>
      </c>
      <c r="C1182" s="139" t="s">
        <v>127</v>
      </c>
      <c r="D1182" s="139" t="s">
        <v>2873</v>
      </c>
    </row>
    <row r="1183" spans="1:4" x14ac:dyDescent="0.25">
      <c r="A1183" s="139" t="s">
        <v>2874</v>
      </c>
      <c r="B1183" s="139" t="s">
        <v>2875</v>
      </c>
      <c r="C1183" s="139" t="s">
        <v>127</v>
      </c>
      <c r="D1183" s="139" t="s">
        <v>2876</v>
      </c>
    </row>
    <row r="1184" spans="1:4" x14ac:dyDescent="0.25">
      <c r="A1184" s="139" t="s">
        <v>2877</v>
      </c>
      <c r="B1184" s="139" t="s">
        <v>2875</v>
      </c>
      <c r="C1184" s="139" t="s">
        <v>127</v>
      </c>
      <c r="D1184" s="139" t="s">
        <v>2878</v>
      </c>
    </row>
    <row r="1185" spans="1:4" x14ac:dyDescent="0.25">
      <c r="A1185" s="139" t="s">
        <v>2879</v>
      </c>
      <c r="B1185" s="139" t="s">
        <v>2880</v>
      </c>
      <c r="C1185" s="139" t="s">
        <v>127</v>
      </c>
      <c r="D1185" s="139" t="s">
        <v>2881</v>
      </c>
    </row>
    <row r="1186" spans="1:4" x14ac:dyDescent="0.25">
      <c r="A1186" s="139" t="s">
        <v>2882</v>
      </c>
      <c r="B1186" s="139" t="s">
        <v>2883</v>
      </c>
      <c r="C1186" s="139" t="s">
        <v>2884</v>
      </c>
      <c r="D1186" s="139" t="s">
        <v>2885</v>
      </c>
    </row>
    <row r="1187" spans="1:4" x14ac:dyDescent="0.25">
      <c r="A1187" s="139" t="s">
        <v>2886</v>
      </c>
      <c r="B1187" s="139" t="s">
        <v>2883</v>
      </c>
      <c r="C1187" s="139" t="s">
        <v>2884</v>
      </c>
      <c r="D1187" s="139" t="s">
        <v>2887</v>
      </c>
    </row>
    <row r="1188" spans="1:4" x14ac:dyDescent="0.25">
      <c r="A1188" s="139" t="s">
        <v>2888</v>
      </c>
      <c r="B1188" s="139" t="s">
        <v>2889</v>
      </c>
      <c r="C1188" s="139" t="s">
        <v>65</v>
      </c>
      <c r="D1188" s="139" t="s">
        <v>2890</v>
      </c>
    </row>
    <row r="1189" spans="1:4" x14ac:dyDescent="0.25">
      <c r="A1189" s="139" t="s">
        <v>2891</v>
      </c>
      <c r="B1189" s="139" t="s">
        <v>2889</v>
      </c>
      <c r="C1189" s="139" t="s">
        <v>65</v>
      </c>
      <c r="D1189" s="139" t="s">
        <v>2892</v>
      </c>
    </row>
    <row r="1190" spans="1:4" x14ac:dyDescent="0.25">
      <c r="A1190" s="139" t="s">
        <v>2893</v>
      </c>
      <c r="B1190" s="139" t="s">
        <v>2894</v>
      </c>
      <c r="C1190" s="139" t="s">
        <v>2895</v>
      </c>
      <c r="D1190" s="139" t="s">
        <v>2896</v>
      </c>
    </row>
    <row r="1191" spans="1:4" x14ac:dyDescent="0.25">
      <c r="A1191" s="139" t="s">
        <v>2897</v>
      </c>
      <c r="B1191" s="139" t="s">
        <v>2894</v>
      </c>
      <c r="C1191" s="139" t="s">
        <v>2895</v>
      </c>
      <c r="D1191" s="139" t="s">
        <v>2898</v>
      </c>
    </row>
    <row r="1192" spans="1:4" x14ac:dyDescent="0.25">
      <c r="A1192" s="139" t="s">
        <v>2899</v>
      </c>
      <c r="B1192" s="139" t="s">
        <v>2900</v>
      </c>
      <c r="C1192" s="139" t="s">
        <v>2895</v>
      </c>
      <c r="D1192" s="139" t="s">
        <v>2901</v>
      </c>
    </row>
    <row r="1193" spans="1:4" x14ac:dyDescent="0.25">
      <c r="A1193" s="139" t="s">
        <v>2902</v>
      </c>
      <c r="B1193" s="139" t="s">
        <v>2900</v>
      </c>
      <c r="C1193" s="139" t="s">
        <v>2895</v>
      </c>
      <c r="D1193" s="139" t="s">
        <v>2903</v>
      </c>
    </row>
    <row r="1194" spans="1:4" x14ac:dyDescent="0.25">
      <c r="A1194" s="139" t="s">
        <v>2904</v>
      </c>
      <c r="B1194" s="139" t="s">
        <v>2905</v>
      </c>
      <c r="C1194" s="139" t="s">
        <v>2895</v>
      </c>
      <c r="D1194" s="139" t="s">
        <v>2906</v>
      </c>
    </row>
    <row r="1195" spans="1:4" x14ac:dyDescent="0.25">
      <c r="A1195" s="139" t="s">
        <v>2907</v>
      </c>
      <c r="B1195" s="139" t="s">
        <v>2905</v>
      </c>
      <c r="C1195" s="139" t="s">
        <v>2895</v>
      </c>
      <c r="D1195" s="139" t="s">
        <v>2908</v>
      </c>
    </row>
    <row r="1196" spans="1:4" x14ac:dyDescent="0.25">
      <c r="A1196" s="139" t="s">
        <v>2909</v>
      </c>
      <c r="B1196" s="139" t="s">
        <v>2910</v>
      </c>
      <c r="C1196" s="139" t="s">
        <v>2895</v>
      </c>
      <c r="D1196" s="139" t="s">
        <v>2911</v>
      </c>
    </row>
    <row r="1197" spans="1:4" x14ac:dyDescent="0.25">
      <c r="A1197" s="139" t="s">
        <v>2912</v>
      </c>
      <c r="B1197" s="139" t="s">
        <v>2910</v>
      </c>
      <c r="C1197" s="139" t="s">
        <v>2895</v>
      </c>
      <c r="D1197" s="139" t="s">
        <v>2913</v>
      </c>
    </row>
    <row r="1198" spans="1:4" x14ac:dyDescent="0.25">
      <c r="A1198" s="139" t="s">
        <v>2914</v>
      </c>
      <c r="B1198" s="139" t="s">
        <v>2915</v>
      </c>
      <c r="C1198" s="139" t="s">
        <v>33</v>
      </c>
      <c r="D1198" s="139" t="s">
        <v>2916</v>
      </c>
    </row>
    <row r="1199" spans="1:4" x14ac:dyDescent="0.25">
      <c r="A1199" s="139" t="s">
        <v>2917</v>
      </c>
      <c r="B1199" s="139" t="s">
        <v>2915</v>
      </c>
      <c r="C1199" s="139" t="s">
        <v>33</v>
      </c>
      <c r="D1199" s="139" t="s">
        <v>2918</v>
      </c>
    </row>
    <row r="1200" spans="1:4" x14ac:dyDescent="0.25">
      <c r="A1200" s="139" t="s">
        <v>2919</v>
      </c>
      <c r="B1200" s="139" t="s">
        <v>2920</v>
      </c>
      <c r="C1200" s="139" t="s">
        <v>33</v>
      </c>
      <c r="D1200" s="139" t="s">
        <v>2921</v>
      </c>
    </row>
    <row r="1201" spans="1:4" x14ac:dyDescent="0.25">
      <c r="A1201" s="139" t="s">
        <v>2922</v>
      </c>
      <c r="B1201" s="139" t="s">
        <v>2920</v>
      </c>
      <c r="C1201" s="139" t="s">
        <v>33</v>
      </c>
      <c r="D1201" s="139" t="s">
        <v>2923</v>
      </c>
    </row>
    <row r="1202" spans="1:4" x14ac:dyDescent="0.25">
      <c r="A1202" s="139" t="s">
        <v>2924</v>
      </c>
      <c r="B1202" s="139" t="s">
        <v>2925</v>
      </c>
      <c r="C1202" s="139" t="s">
        <v>33</v>
      </c>
      <c r="D1202" s="139" t="s">
        <v>2926</v>
      </c>
    </row>
    <row r="1203" spans="1:4" x14ac:dyDescent="0.25">
      <c r="A1203" s="139" t="s">
        <v>2927</v>
      </c>
      <c r="B1203" s="139" t="s">
        <v>2925</v>
      </c>
      <c r="C1203" s="139" t="s">
        <v>33</v>
      </c>
      <c r="D1203" s="139" t="s">
        <v>2928</v>
      </c>
    </row>
    <row r="1204" spans="1:4" x14ac:dyDescent="0.25">
      <c r="A1204" s="139" t="s">
        <v>2929</v>
      </c>
      <c r="B1204" s="139" t="s">
        <v>2930</v>
      </c>
      <c r="C1204" s="139" t="s">
        <v>33</v>
      </c>
      <c r="D1204" s="139" t="s">
        <v>2931</v>
      </c>
    </row>
    <row r="1205" spans="1:4" x14ac:dyDescent="0.25">
      <c r="A1205" s="139" t="s">
        <v>2932</v>
      </c>
      <c r="B1205" s="139" t="s">
        <v>2930</v>
      </c>
      <c r="C1205" s="139" t="s">
        <v>33</v>
      </c>
      <c r="D1205" s="139" t="s">
        <v>2933</v>
      </c>
    </row>
    <row r="1206" spans="1:4" x14ac:dyDescent="0.25">
      <c r="A1206" s="139" t="s">
        <v>2934</v>
      </c>
      <c r="B1206" s="139" t="s">
        <v>2935</v>
      </c>
      <c r="C1206" s="139" t="s">
        <v>33</v>
      </c>
      <c r="D1206" s="139" t="s">
        <v>2936</v>
      </c>
    </row>
    <row r="1207" spans="1:4" x14ac:dyDescent="0.25">
      <c r="A1207" s="139" t="s">
        <v>2937</v>
      </c>
      <c r="B1207" s="139" t="s">
        <v>2935</v>
      </c>
      <c r="C1207" s="139" t="s">
        <v>33</v>
      </c>
      <c r="D1207" s="139" t="s">
        <v>2938</v>
      </c>
    </row>
    <row r="1208" spans="1:4" x14ac:dyDescent="0.25">
      <c r="A1208" s="139" t="s">
        <v>2939</v>
      </c>
      <c r="B1208" s="139" t="s">
        <v>2940</v>
      </c>
      <c r="C1208" s="139" t="s">
        <v>33</v>
      </c>
      <c r="D1208" s="139" t="s">
        <v>2941</v>
      </c>
    </row>
    <row r="1209" spans="1:4" x14ac:dyDescent="0.25">
      <c r="A1209" s="139" t="s">
        <v>2942</v>
      </c>
      <c r="B1209" s="139" t="s">
        <v>2940</v>
      </c>
      <c r="C1209" s="139" t="s">
        <v>33</v>
      </c>
      <c r="D1209" s="139" t="s">
        <v>2943</v>
      </c>
    </row>
    <row r="1210" spans="1:4" x14ac:dyDescent="0.25">
      <c r="A1210" s="139" t="s">
        <v>2944</v>
      </c>
      <c r="B1210" s="139" t="s">
        <v>2945</v>
      </c>
      <c r="C1210" s="139" t="s">
        <v>33</v>
      </c>
      <c r="D1210" s="139" t="s">
        <v>2946</v>
      </c>
    </row>
    <row r="1211" spans="1:4" x14ac:dyDescent="0.25">
      <c r="A1211" s="139" t="s">
        <v>2947</v>
      </c>
      <c r="B1211" s="139" t="s">
        <v>2945</v>
      </c>
      <c r="C1211" s="139" t="s">
        <v>33</v>
      </c>
      <c r="D1211" s="139" t="s">
        <v>2948</v>
      </c>
    </row>
    <row r="1212" spans="1:4" x14ac:dyDescent="0.25">
      <c r="A1212" s="139" t="s">
        <v>2949</v>
      </c>
      <c r="B1212" s="139" t="s">
        <v>2950</v>
      </c>
      <c r="C1212" s="139" t="s">
        <v>33</v>
      </c>
      <c r="D1212" s="139" t="s">
        <v>2951</v>
      </c>
    </row>
    <row r="1213" spans="1:4" x14ac:dyDescent="0.25">
      <c r="A1213" s="139" t="s">
        <v>2952</v>
      </c>
      <c r="B1213" s="139" t="s">
        <v>2950</v>
      </c>
      <c r="C1213" s="139" t="s">
        <v>33</v>
      </c>
      <c r="D1213" s="139" t="s">
        <v>2953</v>
      </c>
    </row>
    <row r="1214" spans="1:4" x14ac:dyDescent="0.25">
      <c r="A1214" s="139" t="s">
        <v>2954</v>
      </c>
      <c r="B1214" s="139" t="s">
        <v>2955</v>
      </c>
      <c r="C1214" s="139" t="s">
        <v>33</v>
      </c>
      <c r="D1214" s="139" t="s">
        <v>2956</v>
      </c>
    </row>
    <row r="1215" spans="1:4" x14ac:dyDescent="0.25">
      <c r="A1215" s="139" t="s">
        <v>2957</v>
      </c>
      <c r="B1215" s="139" t="s">
        <v>2955</v>
      </c>
      <c r="C1215" s="139" t="s">
        <v>33</v>
      </c>
      <c r="D1215" s="139" t="s">
        <v>2958</v>
      </c>
    </row>
    <row r="1216" spans="1:4" x14ac:dyDescent="0.25">
      <c r="A1216" s="139" t="s">
        <v>2959</v>
      </c>
      <c r="B1216" s="139" t="s">
        <v>2284</v>
      </c>
      <c r="C1216" s="139" t="s">
        <v>33</v>
      </c>
      <c r="D1216" s="139" t="s">
        <v>2960</v>
      </c>
    </row>
    <row r="1217" spans="1:4" x14ac:dyDescent="0.25">
      <c r="A1217" s="139" t="s">
        <v>2961</v>
      </c>
      <c r="B1217" s="139" t="s">
        <v>2284</v>
      </c>
      <c r="C1217" s="139" t="s">
        <v>33</v>
      </c>
      <c r="D1217" s="139" t="s">
        <v>2962</v>
      </c>
    </row>
    <row r="1218" spans="1:4" x14ac:dyDescent="0.25">
      <c r="A1218" s="139" t="s">
        <v>2963</v>
      </c>
      <c r="B1218" s="139" t="s">
        <v>2964</v>
      </c>
      <c r="C1218" s="139" t="s">
        <v>65</v>
      </c>
      <c r="D1218" s="139" t="s">
        <v>2965</v>
      </c>
    </row>
    <row r="1219" spans="1:4" x14ac:dyDescent="0.25">
      <c r="A1219" s="139" t="s">
        <v>2966</v>
      </c>
      <c r="B1219" s="139" t="s">
        <v>2964</v>
      </c>
      <c r="C1219" s="139" t="s">
        <v>65</v>
      </c>
      <c r="D1219" s="139" t="s">
        <v>2967</v>
      </c>
    </row>
    <row r="1220" spans="1:4" x14ac:dyDescent="0.25">
      <c r="A1220" s="139" t="s">
        <v>2968</v>
      </c>
      <c r="B1220" s="139" t="s">
        <v>2969</v>
      </c>
      <c r="C1220" s="139" t="s">
        <v>65</v>
      </c>
      <c r="D1220" s="139" t="s">
        <v>2970</v>
      </c>
    </row>
    <row r="1221" spans="1:4" x14ac:dyDescent="0.25">
      <c r="A1221" s="139" t="s">
        <v>2971</v>
      </c>
      <c r="B1221" s="139" t="s">
        <v>2969</v>
      </c>
      <c r="C1221" s="139" t="s">
        <v>65</v>
      </c>
      <c r="D1221" s="139" t="s">
        <v>2972</v>
      </c>
    </row>
    <row r="1222" spans="1:4" x14ac:dyDescent="0.25">
      <c r="A1222" s="139" t="s">
        <v>2973</v>
      </c>
      <c r="B1222" s="139" t="s">
        <v>2974</v>
      </c>
      <c r="C1222" s="139" t="s">
        <v>535</v>
      </c>
      <c r="D1222" s="139" t="s">
        <v>2975</v>
      </c>
    </row>
    <row r="1223" spans="1:4" x14ac:dyDescent="0.25">
      <c r="A1223" s="139" t="s">
        <v>2976</v>
      </c>
      <c r="B1223" s="139" t="s">
        <v>2974</v>
      </c>
      <c r="C1223" s="139" t="s">
        <v>535</v>
      </c>
      <c r="D1223" s="139" t="s">
        <v>2977</v>
      </c>
    </row>
    <row r="1224" spans="1:4" x14ac:dyDescent="0.25">
      <c r="A1224" s="139" t="s">
        <v>2978</v>
      </c>
      <c r="B1224" s="139" t="s">
        <v>2979</v>
      </c>
      <c r="C1224" s="139" t="s">
        <v>535</v>
      </c>
      <c r="D1224" s="139" t="s">
        <v>2980</v>
      </c>
    </row>
    <row r="1225" spans="1:4" x14ac:dyDescent="0.25">
      <c r="A1225" s="139" t="s">
        <v>2981</v>
      </c>
      <c r="B1225" s="139" t="s">
        <v>2979</v>
      </c>
      <c r="C1225" s="139" t="s">
        <v>535</v>
      </c>
      <c r="D1225" s="139" t="s">
        <v>2982</v>
      </c>
    </row>
    <row r="1226" spans="1:4" x14ac:dyDescent="0.25">
      <c r="A1226" s="139" t="s">
        <v>2983</v>
      </c>
      <c r="B1226" s="139" t="s">
        <v>2984</v>
      </c>
      <c r="C1226" s="139" t="s">
        <v>535</v>
      </c>
      <c r="D1226" s="139" t="s">
        <v>2985</v>
      </c>
    </row>
    <row r="1227" spans="1:4" x14ac:dyDescent="0.25">
      <c r="A1227" s="139" t="s">
        <v>2986</v>
      </c>
      <c r="B1227" s="139" t="s">
        <v>2984</v>
      </c>
      <c r="C1227" s="139" t="s">
        <v>535</v>
      </c>
      <c r="D1227" s="139" t="s">
        <v>2987</v>
      </c>
    </row>
    <row r="1228" spans="1:4" x14ac:dyDescent="0.25">
      <c r="A1228" s="139" t="s">
        <v>2988</v>
      </c>
      <c r="B1228" s="139" t="s">
        <v>2989</v>
      </c>
      <c r="C1228" s="139" t="s">
        <v>112</v>
      </c>
      <c r="D1228" s="139" t="s">
        <v>2990</v>
      </c>
    </row>
    <row r="1229" spans="1:4" x14ac:dyDescent="0.25">
      <c r="A1229" s="139" t="s">
        <v>2991</v>
      </c>
      <c r="B1229" s="139" t="s">
        <v>2989</v>
      </c>
      <c r="C1229" s="139" t="s">
        <v>112</v>
      </c>
      <c r="D1229" s="139" t="s">
        <v>2992</v>
      </c>
    </row>
    <row r="1230" spans="1:4" x14ac:dyDescent="0.25">
      <c r="A1230" s="139" t="s">
        <v>2993</v>
      </c>
      <c r="B1230" s="139" t="s">
        <v>2994</v>
      </c>
      <c r="C1230" s="139" t="s">
        <v>123</v>
      </c>
      <c r="D1230" s="139" t="s">
        <v>2995</v>
      </c>
    </row>
    <row r="1231" spans="1:4" x14ac:dyDescent="0.25">
      <c r="A1231" s="139" t="s">
        <v>2996</v>
      </c>
      <c r="B1231" s="139" t="s">
        <v>2994</v>
      </c>
      <c r="C1231" s="139" t="s">
        <v>123</v>
      </c>
      <c r="D1231" s="139" t="s">
        <v>2997</v>
      </c>
    </row>
    <row r="1232" spans="1:4" x14ac:dyDescent="0.25">
      <c r="A1232" s="139" t="s">
        <v>2998</v>
      </c>
      <c r="B1232" s="139" t="s">
        <v>2999</v>
      </c>
      <c r="C1232" s="139" t="s">
        <v>123</v>
      </c>
      <c r="D1232" s="139" t="s">
        <v>3000</v>
      </c>
    </row>
    <row r="1233" spans="1:4" x14ac:dyDescent="0.25">
      <c r="A1233" s="139" t="s">
        <v>3001</v>
      </c>
      <c r="B1233" s="139" t="s">
        <v>2999</v>
      </c>
      <c r="C1233" s="139" t="s">
        <v>123</v>
      </c>
      <c r="D1233" s="139" t="s">
        <v>3002</v>
      </c>
    </row>
    <row r="1234" spans="1:4" x14ac:dyDescent="0.25">
      <c r="A1234" s="139" t="s">
        <v>3003</v>
      </c>
      <c r="B1234" s="139" t="s">
        <v>3004</v>
      </c>
      <c r="C1234" s="139" t="s">
        <v>65</v>
      </c>
      <c r="D1234" s="139" t="s">
        <v>3005</v>
      </c>
    </row>
    <row r="1235" spans="1:4" x14ac:dyDescent="0.25">
      <c r="A1235" s="139" t="s">
        <v>3006</v>
      </c>
      <c r="B1235" s="139" t="s">
        <v>3004</v>
      </c>
      <c r="C1235" s="139" t="s">
        <v>65</v>
      </c>
      <c r="D1235" s="139" t="s">
        <v>3007</v>
      </c>
    </row>
    <row r="1236" spans="1:4" x14ac:dyDescent="0.25">
      <c r="A1236" s="139" t="s">
        <v>3008</v>
      </c>
      <c r="B1236" s="139" t="s">
        <v>3009</v>
      </c>
      <c r="C1236" s="139" t="s">
        <v>65</v>
      </c>
      <c r="D1236" s="139" t="s">
        <v>3010</v>
      </c>
    </row>
    <row r="1237" spans="1:4" x14ac:dyDescent="0.25">
      <c r="A1237" s="139" t="s">
        <v>3011</v>
      </c>
      <c r="B1237" s="139" t="s">
        <v>3009</v>
      </c>
      <c r="C1237" s="139" t="s">
        <v>65</v>
      </c>
      <c r="D1237" s="139" t="s">
        <v>3012</v>
      </c>
    </row>
    <row r="1238" spans="1:4" x14ac:dyDescent="0.25">
      <c r="A1238" s="139" t="s">
        <v>3013</v>
      </c>
      <c r="B1238" s="139" t="s">
        <v>3014</v>
      </c>
      <c r="C1238" s="139" t="s">
        <v>65</v>
      </c>
      <c r="D1238" s="139" t="s">
        <v>3015</v>
      </c>
    </row>
    <row r="1239" spans="1:4" x14ac:dyDescent="0.25">
      <c r="A1239" s="139" t="s">
        <v>3016</v>
      </c>
      <c r="B1239" s="139" t="s">
        <v>3014</v>
      </c>
      <c r="C1239" s="139" t="s">
        <v>65</v>
      </c>
      <c r="D1239" s="139" t="s">
        <v>3017</v>
      </c>
    </row>
    <row r="1240" spans="1:4" x14ac:dyDescent="0.25">
      <c r="A1240" s="139" t="s">
        <v>3018</v>
      </c>
      <c r="B1240" s="139" t="s">
        <v>3019</v>
      </c>
      <c r="C1240" s="139" t="s">
        <v>65</v>
      </c>
      <c r="D1240" s="139" t="s">
        <v>3020</v>
      </c>
    </row>
    <row r="1241" spans="1:4" x14ac:dyDescent="0.25">
      <c r="A1241" s="139" t="s">
        <v>3021</v>
      </c>
      <c r="B1241" s="139" t="s">
        <v>3019</v>
      </c>
      <c r="C1241" s="139" t="s">
        <v>65</v>
      </c>
      <c r="D1241" s="139" t="s">
        <v>3022</v>
      </c>
    </row>
    <row r="1242" spans="1:4" x14ac:dyDescent="0.25">
      <c r="A1242" s="139" t="s">
        <v>3023</v>
      </c>
      <c r="B1242" s="139" t="s">
        <v>3024</v>
      </c>
      <c r="C1242" s="139" t="s">
        <v>65</v>
      </c>
      <c r="D1242" s="139" t="s">
        <v>3025</v>
      </c>
    </row>
    <row r="1243" spans="1:4" x14ac:dyDescent="0.25">
      <c r="A1243" s="139" t="s">
        <v>3026</v>
      </c>
      <c r="B1243" s="139" t="s">
        <v>3024</v>
      </c>
      <c r="C1243" s="139" t="s">
        <v>65</v>
      </c>
      <c r="D1243" s="139" t="s">
        <v>3027</v>
      </c>
    </row>
    <row r="1244" spans="1:4" x14ac:dyDescent="0.25">
      <c r="A1244" s="139" t="s">
        <v>3028</v>
      </c>
      <c r="B1244" s="139" t="s">
        <v>3029</v>
      </c>
      <c r="C1244" s="139" t="s">
        <v>65</v>
      </c>
      <c r="D1244" s="139" t="s">
        <v>3030</v>
      </c>
    </row>
    <row r="1245" spans="1:4" x14ac:dyDescent="0.25">
      <c r="A1245" s="139" t="s">
        <v>3031</v>
      </c>
      <c r="B1245" s="139" t="s">
        <v>3029</v>
      </c>
      <c r="C1245" s="139" t="s">
        <v>65</v>
      </c>
      <c r="D1245" s="139" t="s">
        <v>3032</v>
      </c>
    </row>
    <row r="1246" spans="1:4" x14ac:dyDescent="0.25">
      <c r="A1246" s="139" t="s">
        <v>3033</v>
      </c>
      <c r="B1246" s="139" t="s">
        <v>3034</v>
      </c>
      <c r="C1246" s="139" t="s">
        <v>65</v>
      </c>
      <c r="D1246" s="139" t="s">
        <v>3035</v>
      </c>
    </row>
    <row r="1247" spans="1:4" x14ac:dyDescent="0.25">
      <c r="A1247" s="139" t="s">
        <v>3036</v>
      </c>
      <c r="B1247" s="139" t="s">
        <v>3034</v>
      </c>
      <c r="C1247" s="139" t="s">
        <v>65</v>
      </c>
      <c r="D1247" s="139" t="s">
        <v>3037</v>
      </c>
    </row>
    <row r="1248" spans="1:4" x14ac:dyDescent="0.25">
      <c r="A1248" s="139" t="s">
        <v>3038</v>
      </c>
      <c r="B1248" s="139" t="s">
        <v>3039</v>
      </c>
      <c r="C1248" s="139" t="s">
        <v>65</v>
      </c>
      <c r="D1248" s="139" t="s">
        <v>3040</v>
      </c>
    </row>
    <row r="1249" spans="1:4" x14ac:dyDescent="0.25">
      <c r="A1249" s="139" t="s">
        <v>3041</v>
      </c>
      <c r="B1249" s="139" t="s">
        <v>3039</v>
      </c>
      <c r="C1249" s="139" t="s">
        <v>65</v>
      </c>
      <c r="D1249" s="139" t="s">
        <v>3042</v>
      </c>
    </row>
    <row r="1250" spans="1:4" x14ac:dyDescent="0.25">
      <c r="A1250" s="139" t="s">
        <v>3043</v>
      </c>
      <c r="B1250" s="139" t="s">
        <v>3044</v>
      </c>
      <c r="C1250" s="139" t="s">
        <v>65</v>
      </c>
      <c r="D1250" s="139" t="s">
        <v>3045</v>
      </c>
    </row>
    <row r="1251" spans="1:4" x14ac:dyDescent="0.25">
      <c r="A1251" s="139" t="s">
        <v>3046</v>
      </c>
      <c r="B1251" s="139" t="s">
        <v>3044</v>
      </c>
      <c r="C1251" s="139" t="s">
        <v>65</v>
      </c>
      <c r="D1251" s="139" t="s">
        <v>3047</v>
      </c>
    </row>
    <row r="1252" spans="1:4" x14ac:dyDescent="0.25">
      <c r="A1252" s="139" t="s">
        <v>3048</v>
      </c>
      <c r="B1252" s="139" t="s">
        <v>3049</v>
      </c>
      <c r="C1252" s="139" t="s">
        <v>65</v>
      </c>
      <c r="D1252" s="139" t="s">
        <v>3050</v>
      </c>
    </row>
    <row r="1253" spans="1:4" x14ac:dyDescent="0.25">
      <c r="A1253" s="139" t="s">
        <v>3051</v>
      </c>
      <c r="B1253" s="139" t="s">
        <v>3049</v>
      </c>
      <c r="C1253" s="139" t="s">
        <v>65</v>
      </c>
      <c r="D1253" s="139" t="s">
        <v>3052</v>
      </c>
    </row>
    <row r="1254" spans="1:4" x14ac:dyDescent="0.25">
      <c r="A1254" s="139" t="s">
        <v>3053</v>
      </c>
      <c r="B1254" s="139" t="s">
        <v>3054</v>
      </c>
      <c r="C1254" s="139" t="s">
        <v>65</v>
      </c>
      <c r="D1254" s="139" t="s">
        <v>3055</v>
      </c>
    </row>
    <row r="1255" spans="1:4" x14ac:dyDescent="0.25">
      <c r="A1255" s="139" t="s">
        <v>3056</v>
      </c>
      <c r="B1255" s="139" t="s">
        <v>3054</v>
      </c>
      <c r="C1255" s="139" t="s">
        <v>65</v>
      </c>
      <c r="D1255" s="139" t="s">
        <v>3057</v>
      </c>
    </row>
    <row r="1256" spans="1:4" x14ac:dyDescent="0.25">
      <c r="A1256" s="139" t="s">
        <v>3058</v>
      </c>
      <c r="B1256" s="139" t="s">
        <v>3059</v>
      </c>
      <c r="C1256" s="139" t="s">
        <v>44</v>
      </c>
      <c r="D1256" s="139" t="s">
        <v>3060</v>
      </c>
    </row>
    <row r="1257" spans="1:4" x14ac:dyDescent="0.25">
      <c r="A1257" s="139" t="s">
        <v>3061</v>
      </c>
      <c r="B1257" s="139" t="s">
        <v>3059</v>
      </c>
      <c r="C1257" s="139" t="s">
        <v>44</v>
      </c>
      <c r="D1257" s="139" t="s">
        <v>3062</v>
      </c>
    </row>
    <row r="1258" spans="1:4" x14ac:dyDescent="0.25">
      <c r="A1258" s="139" t="s">
        <v>3063</v>
      </c>
      <c r="B1258" s="139" t="s">
        <v>3064</v>
      </c>
      <c r="C1258" s="139" t="s">
        <v>44</v>
      </c>
      <c r="D1258" s="139" t="s">
        <v>3065</v>
      </c>
    </row>
    <row r="1259" spans="1:4" x14ac:dyDescent="0.25">
      <c r="A1259" s="139" t="s">
        <v>3066</v>
      </c>
      <c r="B1259" s="139" t="s">
        <v>3064</v>
      </c>
      <c r="C1259" s="139" t="s">
        <v>44</v>
      </c>
      <c r="D1259" s="139" t="s">
        <v>3067</v>
      </c>
    </row>
    <row r="1260" spans="1:4" x14ac:dyDescent="0.25">
      <c r="A1260" s="139" t="s">
        <v>3068</v>
      </c>
      <c r="B1260" s="139" t="s">
        <v>3069</v>
      </c>
      <c r="C1260" s="139" t="s">
        <v>44</v>
      </c>
      <c r="D1260" s="139" t="s">
        <v>3070</v>
      </c>
    </row>
    <row r="1261" spans="1:4" x14ac:dyDescent="0.25">
      <c r="A1261" s="139" t="s">
        <v>3071</v>
      </c>
      <c r="B1261" s="139" t="s">
        <v>3069</v>
      </c>
      <c r="C1261" s="139" t="s">
        <v>44</v>
      </c>
      <c r="D1261" s="139" t="s">
        <v>3072</v>
      </c>
    </row>
    <row r="1262" spans="1:4" x14ac:dyDescent="0.25">
      <c r="A1262" s="139" t="s">
        <v>3073</v>
      </c>
      <c r="B1262" s="139" t="s">
        <v>3074</v>
      </c>
      <c r="C1262" s="139" t="s">
        <v>44</v>
      </c>
      <c r="D1262" s="139" t="s">
        <v>3075</v>
      </c>
    </row>
    <row r="1263" spans="1:4" x14ac:dyDescent="0.25">
      <c r="A1263" s="139" t="s">
        <v>3076</v>
      </c>
      <c r="B1263" s="139" t="s">
        <v>3074</v>
      </c>
      <c r="C1263" s="139" t="s">
        <v>44</v>
      </c>
      <c r="D1263" s="139" t="s">
        <v>3077</v>
      </c>
    </row>
    <row r="1264" spans="1:4" x14ac:dyDescent="0.25">
      <c r="A1264" s="139" t="s">
        <v>3078</v>
      </c>
      <c r="B1264" s="139" t="s">
        <v>1828</v>
      </c>
      <c r="C1264" s="139" t="s">
        <v>44</v>
      </c>
      <c r="D1264" s="139" t="s">
        <v>3079</v>
      </c>
    </row>
    <row r="1265" spans="1:4" x14ac:dyDescent="0.25">
      <c r="A1265" s="139" t="s">
        <v>3080</v>
      </c>
      <c r="B1265" s="139" t="s">
        <v>1828</v>
      </c>
      <c r="C1265" s="139" t="s">
        <v>44</v>
      </c>
      <c r="D1265" s="139" t="s">
        <v>3081</v>
      </c>
    </row>
    <row r="1266" spans="1:4" x14ac:dyDescent="0.25">
      <c r="A1266" s="139" t="s">
        <v>3082</v>
      </c>
      <c r="B1266" s="139" t="s">
        <v>3083</v>
      </c>
      <c r="C1266" s="139" t="s">
        <v>44</v>
      </c>
      <c r="D1266" s="139" t="s">
        <v>3084</v>
      </c>
    </row>
    <row r="1267" spans="1:4" x14ac:dyDescent="0.25">
      <c r="A1267" s="139" t="s">
        <v>3085</v>
      </c>
      <c r="B1267" s="139" t="s">
        <v>3083</v>
      </c>
      <c r="C1267" s="139" t="s">
        <v>44</v>
      </c>
      <c r="D1267" s="139" t="s">
        <v>3086</v>
      </c>
    </row>
    <row r="1268" spans="1:4" x14ac:dyDescent="0.25">
      <c r="A1268" s="139" t="s">
        <v>3087</v>
      </c>
      <c r="B1268" s="139" t="s">
        <v>3088</v>
      </c>
      <c r="C1268" s="139" t="s">
        <v>44</v>
      </c>
      <c r="D1268" s="139" t="s">
        <v>3089</v>
      </c>
    </row>
    <row r="1269" spans="1:4" x14ac:dyDescent="0.25">
      <c r="A1269" s="139" t="s">
        <v>3090</v>
      </c>
      <c r="B1269" s="139" t="s">
        <v>3088</v>
      </c>
      <c r="C1269" s="139" t="s">
        <v>44</v>
      </c>
      <c r="D1269" s="139" t="s">
        <v>3091</v>
      </c>
    </row>
    <row r="1270" spans="1:4" x14ac:dyDescent="0.25">
      <c r="A1270" s="139" t="s">
        <v>3092</v>
      </c>
      <c r="B1270" s="139" t="s">
        <v>2208</v>
      </c>
      <c r="C1270" s="139" t="s">
        <v>44</v>
      </c>
      <c r="D1270" s="139" t="s">
        <v>3093</v>
      </c>
    </row>
    <row r="1271" spans="1:4" x14ac:dyDescent="0.25">
      <c r="A1271" s="139" t="s">
        <v>3094</v>
      </c>
      <c r="B1271" s="139" t="s">
        <v>2208</v>
      </c>
      <c r="C1271" s="139" t="s">
        <v>44</v>
      </c>
      <c r="D1271" s="139" t="s">
        <v>3095</v>
      </c>
    </row>
    <row r="1272" spans="1:4" x14ac:dyDescent="0.25">
      <c r="A1272" s="139" t="s">
        <v>3096</v>
      </c>
      <c r="B1272" s="139" t="s">
        <v>1907</v>
      </c>
      <c r="C1272" s="139" t="s">
        <v>44</v>
      </c>
      <c r="D1272" s="139" t="s">
        <v>3097</v>
      </c>
    </row>
    <row r="1273" spans="1:4" x14ac:dyDescent="0.25">
      <c r="A1273" s="139" t="s">
        <v>3098</v>
      </c>
      <c r="B1273" s="139" t="s">
        <v>1907</v>
      </c>
      <c r="C1273" s="139" t="s">
        <v>44</v>
      </c>
      <c r="D1273" s="139" t="s">
        <v>3099</v>
      </c>
    </row>
    <row r="1274" spans="1:4" x14ac:dyDescent="0.25">
      <c r="A1274" s="139" t="s">
        <v>3100</v>
      </c>
      <c r="B1274" s="139" t="s">
        <v>3101</v>
      </c>
      <c r="C1274" s="139" t="s">
        <v>44</v>
      </c>
      <c r="D1274" s="139" t="s">
        <v>3102</v>
      </c>
    </row>
    <row r="1275" spans="1:4" x14ac:dyDescent="0.25">
      <c r="A1275" s="139" t="s">
        <v>3103</v>
      </c>
      <c r="B1275" s="139" t="s">
        <v>3101</v>
      </c>
      <c r="C1275" s="139" t="s">
        <v>44</v>
      </c>
      <c r="D1275" s="139" t="s">
        <v>3104</v>
      </c>
    </row>
    <row r="1276" spans="1:4" x14ac:dyDescent="0.25">
      <c r="A1276" s="139" t="s">
        <v>3105</v>
      </c>
      <c r="B1276" s="139" t="s">
        <v>3106</v>
      </c>
      <c r="C1276" s="139" t="s">
        <v>44</v>
      </c>
      <c r="D1276" s="139" t="s">
        <v>3107</v>
      </c>
    </row>
    <row r="1277" spans="1:4" x14ac:dyDescent="0.25">
      <c r="A1277" s="139" t="s">
        <v>3108</v>
      </c>
      <c r="B1277" s="139" t="s">
        <v>3106</v>
      </c>
      <c r="C1277" s="139" t="s">
        <v>44</v>
      </c>
      <c r="D1277" s="139" t="s">
        <v>3109</v>
      </c>
    </row>
    <row r="1278" spans="1:4" x14ac:dyDescent="0.25">
      <c r="A1278" s="139" t="s">
        <v>3110</v>
      </c>
      <c r="B1278" s="139" t="s">
        <v>3111</v>
      </c>
      <c r="C1278" s="139" t="s">
        <v>44</v>
      </c>
      <c r="D1278" s="139" t="s">
        <v>3112</v>
      </c>
    </row>
    <row r="1279" spans="1:4" x14ac:dyDescent="0.25">
      <c r="A1279" s="139" t="s">
        <v>3113</v>
      </c>
      <c r="B1279" s="139" t="s">
        <v>3111</v>
      </c>
      <c r="C1279" s="139" t="s">
        <v>44</v>
      </c>
      <c r="D1279" s="139" t="s">
        <v>3114</v>
      </c>
    </row>
    <row r="1280" spans="1:4" x14ac:dyDescent="0.25">
      <c r="A1280" s="139" t="s">
        <v>3115</v>
      </c>
      <c r="B1280" s="139" t="s">
        <v>3116</v>
      </c>
      <c r="C1280" s="139" t="s">
        <v>44</v>
      </c>
      <c r="D1280" s="139" t="s">
        <v>3117</v>
      </c>
    </row>
    <row r="1281" spans="1:4" x14ac:dyDescent="0.25">
      <c r="A1281" s="139" t="s">
        <v>3118</v>
      </c>
      <c r="B1281" s="139" t="s">
        <v>3116</v>
      </c>
      <c r="C1281" s="139" t="s">
        <v>44</v>
      </c>
      <c r="D1281" s="139" t="s">
        <v>3119</v>
      </c>
    </row>
    <row r="1282" spans="1:4" x14ac:dyDescent="0.25">
      <c r="A1282" s="139" t="s">
        <v>3120</v>
      </c>
      <c r="B1282" s="139" t="s">
        <v>3121</v>
      </c>
      <c r="C1282" s="139" t="s">
        <v>44</v>
      </c>
      <c r="D1282" s="139" t="s">
        <v>3122</v>
      </c>
    </row>
    <row r="1283" spans="1:4" x14ac:dyDescent="0.25">
      <c r="A1283" s="139" t="s">
        <v>3123</v>
      </c>
      <c r="B1283" s="139" t="s">
        <v>3121</v>
      </c>
      <c r="C1283" s="139" t="s">
        <v>44</v>
      </c>
      <c r="D1283" s="139" t="s">
        <v>3124</v>
      </c>
    </row>
    <row r="1284" spans="1:4" x14ac:dyDescent="0.25">
      <c r="A1284" s="139" t="s">
        <v>3125</v>
      </c>
      <c r="B1284" s="139" t="s">
        <v>3126</v>
      </c>
      <c r="C1284" s="139" t="s">
        <v>44</v>
      </c>
      <c r="D1284" s="139" t="s">
        <v>3127</v>
      </c>
    </row>
    <row r="1285" spans="1:4" x14ac:dyDescent="0.25">
      <c r="A1285" s="139" t="s">
        <v>3128</v>
      </c>
      <c r="B1285" s="139" t="s">
        <v>3126</v>
      </c>
      <c r="C1285" s="139" t="s">
        <v>44</v>
      </c>
      <c r="D1285" s="139" t="s">
        <v>3129</v>
      </c>
    </row>
    <row r="1286" spans="1:4" x14ac:dyDescent="0.25">
      <c r="A1286" s="139" t="s">
        <v>3130</v>
      </c>
      <c r="B1286" s="139" t="s">
        <v>3131</v>
      </c>
      <c r="C1286" s="139" t="s">
        <v>44</v>
      </c>
      <c r="D1286" s="139" t="s">
        <v>3132</v>
      </c>
    </row>
    <row r="1287" spans="1:4" x14ac:dyDescent="0.25">
      <c r="A1287" s="139" t="s">
        <v>3133</v>
      </c>
      <c r="B1287" s="139" t="s">
        <v>3131</v>
      </c>
      <c r="C1287" s="139" t="s">
        <v>44</v>
      </c>
      <c r="D1287" s="139" t="s">
        <v>3134</v>
      </c>
    </row>
    <row r="1288" spans="1:4" x14ac:dyDescent="0.25">
      <c r="A1288" s="139" t="s">
        <v>3135</v>
      </c>
      <c r="B1288" s="139" t="s">
        <v>3136</v>
      </c>
      <c r="C1288" s="139" t="s">
        <v>44</v>
      </c>
      <c r="D1288" s="139" t="s">
        <v>3137</v>
      </c>
    </row>
    <row r="1289" spans="1:4" x14ac:dyDescent="0.25">
      <c r="A1289" s="139" t="s">
        <v>3138</v>
      </c>
      <c r="B1289" s="139" t="s">
        <v>3136</v>
      </c>
      <c r="C1289" s="139" t="s">
        <v>44</v>
      </c>
      <c r="D1289" s="139" t="s">
        <v>3139</v>
      </c>
    </row>
    <row r="1290" spans="1:4" x14ac:dyDescent="0.25">
      <c r="A1290" s="139" t="s">
        <v>3140</v>
      </c>
      <c r="B1290" s="139" t="s">
        <v>3141</v>
      </c>
      <c r="C1290" s="139" t="s">
        <v>44</v>
      </c>
      <c r="D1290" s="139" t="s">
        <v>3142</v>
      </c>
    </row>
    <row r="1291" spans="1:4" x14ac:dyDescent="0.25">
      <c r="A1291" s="139" t="s">
        <v>3143</v>
      </c>
      <c r="B1291" s="139" t="s">
        <v>3141</v>
      </c>
      <c r="C1291" s="139" t="s">
        <v>44</v>
      </c>
      <c r="D1291" s="139" t="s">
        <v>3144</v>
      </c>
    </row>
    <row r="1292" spans="1:4" x14ac:dyDescent="0.25">
      <c r="A1292" s="139" t="s">
        <v>3145</v>
      </c>
      <c r="B1292" s="139" t="s">
        <v>3146</v>
      </c>
      <c r="C1292" s="139" t="s">
        <v>44</v>
      </c>
      <c r="D1292" s="139" t="s">
        <v>3147</v>
      </c>
    </row>
    <row r="1293" spans="1:4" x14ac:dyDescent="0.25">
      <c r="A1293" s="139" t="s">
        <v>3148</v>
      </c>
      <c r="B1293" s="139" t="s">
        <v>3146</v>
      </c>
      <c r="C1293" s="139" t="s">
        <v>44</v>
      </c>
      <c r="D1293" s="139" t="s">
        <v>3149</v>
      </c>
    </row>
    <row r="1294" spans="1:4" x14ac:dyDescent="0.25">
      <c r="A1294" s="139" t="s">
        <v>3150</v>
      </c>
      <c r="B1294" s="139" t="s">
        <v>3049</v>
      </c>
      <c r="C1294" s="139" t="s">
        <v>44</v>
      </c>
      <c r="D1294" s="139" t="s">
        <v>3151</v>
      </c>
    </row>
    <row r="1295" spans="1:4" x14ac:dyDescent="0.25">
      <c r="A1295" s="139" t="s">
        <v>3152</v>
      </c>
      <c r="B1295" s="139" t="s">
        <v>3049</v>
      </c>
      <c r="C1295" s="139" t="s">
        <v>44</v>
      </c>
      <c r="D1295" s="139" t="s">
        <v>3153</v>
      </c>
    </row>
    <row r="1296" spans="1:4" x14ac:dyDescent="0.25">
      <c r="A1296" s="139" t="s">
        <v>3154</v>
      </c>
      <c r="B1296" s="139" t="s">
        <v>3155</v>
      </c>
      <c r="C1296" s="139" t="s">
        <v>44</v>
      </c>
      <c r="D1296" s="139" t="s">
        <v>3156</v>
      </c>
    </row>
    <row r="1297" spans="1:4" x14ac:dyDescent="0.25">
      <c r="A1297" s="139" t="s">
        <v>3157</v>
      </c>
      <c r="B1297" s="139" t="s">
        <v>3155</v>
      </c>
      <c r="C1297" s="139" t="s">
        <v>44</v>
      </c>
      <c r="D1297" s="139" t="s">
        <v>3158</v>
      </c>
    </row>
    <row r="1298" spans="1:4" x14ac:dyDescent="0.25">
      <c r="A1298" s="139" t="s">
        <v>3159</v>
      </c>
      <c r="B1298" s="139" t="s">
        <v>3054</v>
      </c>
      <c r="C1298" s="139" t="s">
        <v>44</v>
      </c>
      <c r="D1298" s="139" t="s">
        <v>3160</v>
      </c>
    </row>
    <row r="1299" spans="1:4" x14ac:dyDescent="0.25">
      <c r="A1299" s="139" t="s">
        <v>3161</v>
      </c>
      <c r="B1299" s="139" t="s">
        <v>3054</v>
      </c>
      <c r="C1299" s="139" t="s">
        <v>44</v>
      </c>
      <c r="D1299" s="139" t="s">
        <v>3162</v>
      </c>
    </row>
    <row r="1300" spans="1:4" x14ac:dyDescent="0.25">
      <c r="A1300" s="139" t="s">
        <v>3163</v>
      </c>
      <c r="B1300" s="139" t="s">
        <v>2979</v>
      </c>
      <c r="C1300" s="139" t="s">
        <v>535</v>
      </c>
      <c r="D1300" s="139" t="s">
        <v>3164</v>
      </c>
    </row>
    <row r="1301" spans="1:4" x14ac:dyDescent="0.25">
      <c r="A1301" s="139" t="s">
        <v>3165</v>
      </c>
      <c r="B1301" s="139" t="s">
        <v>2979</v>
      </c>
      <c r="C1301" s="139" t="s">
        <v>535</v>
      </c>
      <c r="D1301" s="139" t="s">
        <v>3166</v>
      </c>
    </row>
    <row r="1302" spans="1:4" x14ac:dyDescent="0.25">
      <c r="A1302" s="139" t="s">
        <v>3167</v>
      </c>
      <c r="B1302" s="139" t="s">
        <v>2984</v>
      </c>
      <c r="C1302" s="139" t="s">
        <v>535</v>
      </c>
      <c r="D1302" s="139" t="s">
        <v>3168</v>
      </c>
    </row>
    <row r="1303" spans="1:4" x14ac:dyDescent="0.25">
      <c r="A1303" s="139" t="s">
        <v>3169</v>
      </c>
      <c r="B1303" s="139" t="s">
        <v>2984</v>
      </c>
      <c r="C1303" s="139" t="s">
        <v>535</v>
      </c>
      <c r="D1303" s="139" t="s">
        <v>3170</v>
      </c>
    </row>
    <row r="1304" spans="1:4" x14ac:dyDescent="0.25">
      <c r="A1304" s="139" t="s">
        <v>3171</v>
      </c>
      <c r="B1304" s="139" t="s">
        <v>2974</v>
      </c>
      <c r="C1304" s="139" t="s">
        <v>123</v>
      </c>
      <c r="D1304" s="139" t="s">
        <v>3172</v>
      </c>
    </row>
    <row r="1305" spans="1:4" x14ac:dyDescent="0.25">
      <c r="A1305" s="139" t="s">
        <v>3173</v>
      </c>
      <c r="B1305" s="139" t="s">
        <v>2974</v>
      </c>
      <c r="C1305" s="139" t="s">
        <v>123</v>
      </c>
      <c r="D1305" s="139" t="s">
        <v>3174</v>
      </c>
    </row>
    <row r="1306" spans="1:4" x14ac:dyDescent="0.25">
      <c r="A1306" s="139" t="s">
        <v>3175</v>
      </c>
      <c r="B1306" s="139" t="s">
        <v>3176</v>
      </c>
      <c r="C1306" s="139" t="s">
        <v>535</v>
      </c>
      <c r="D1306" s="139" t="s">
        <v>3177</v>
      </c>
    </row>
    <row r="1307" spans="1:4" x14ac:dyDescent="0.25">
      <c r="A1307" s="139" t="s">
        <v>3178</v>
      </c>
      <c r="B1307" s="139" t="s">
        <v>3176</v>
      </c>
      <c r="C1307" s="139" t="s">
        <v>535</v>
      </c>
      <c r="D1307" s="139" t="s">
        <v>3179</v>
      </c>
    </row>
    <row r="1308" spans="1:4" x14ac:dyDescent="0.25">
      <c r="A1308" s="139" t="s">
        <v>3180</v>
      </c>
      <c r="B1308" s="139" t="s">
        <v>2979</v>
      </c>
      <c r="C1308" s="139" t="s">
        <v>123</v>
      </c>
      <c r="D1308" s="139" t="s">
        <v>3181</v>
      </c>
    </row>
    <row r="1309" spans="1:4" x14ac:dyDescent="0.25">
      <c r="A1309" s="139" t="s">
        <v>3182</v>
      </c>
      <c r="B1309" s="139" t="s">
        <v>2979</v>
      </c>
      <c r="C1309" s="139" t="s">
        <v>123</v>
      </c>
      <c r="D1309" s="139" t="s">
        <v>3183</v>
      </c>
    </row>
    <row r="1310" spans="1:4" x14ac:dyDescent="0.25">
      <c r="A1310" s="139" t="s">
        <v>3184</v>
      </c>
      <c r="B1310" s="139" t="s">
        <v>2984</v>
      </c>
      <c r="C1310" s="139" t="s">
        <v>123</v>
      </c>
      <c r="D1310" s="139" t="s">
        <v>3185</v>
      </c>
    </row>
    <row r="1311" spans="1:4" x14ac:dyDescent="0.25">
      <c r="A1311" s="139" t="s">
        <v>3186</v>
      </c>
      <c r="B1311" s="139" t="s">
        <v>2984</v>
      </c>
      <c r="C1311" s="139" t="s">
        <v>123</v>
      </c>
      <c r="D1311" s="139" t="s">
        <v>3187</v>
      </c>
    </row>
    <row r="1312" spans="1:4" x14ac:dyDescent="0.25">
      <c r="A1312" s="139" t="s">
        <v>3188</v>
      </c>
      <c r="B1312" s="139" t="s">
        <v>3189</v>
      </c>
      <c r="C1312" s="139" t="s">
        <v>65</v>
      </c>
      <c r="D1312" s="139" t="s">
        <v>3190</v>
      </c>
    </row>
    <row r="1313" spans="1:4" x14ac:dyDescent="0.25">
      <c r="A1313" s="139" t="s">
        <v>3191</v>
      </c>
      <c r="B1313" s="139" t="s">
        <v>3189</v>
      </c>
      <c r="C1313" s="139" t="s">
        <v>65</v>
      </c>
      <c r="D1313" s="139" t="s">
        <v>3192</v>
      </c>
    </row>
    <row r="1314" spans="1:4" x14ac:dyDescent="0.25">
      <c r="A1314" s="139" t="s">
        <v>3193</v>
      </c>
      <c r="B1314" s="139" t="s">
        <v>547</v>
      </c>
      <c r="C1314" s="139" t="s">
        <v>65</v>
      </c>
      <c r="D1314" s="139" t="s">
        <v>3194</v>
      </c>
    </row>
    <row r="1315" spans="1:4" x14ac:dyDescent="0.25">
      <c r="A1315" s="139" t="s">
        <v>3195</v>
      </c>
      <c r="B1315" s="139" t="s">
        <v>547</v>
      </c>
      <c r="C1315" s="139" t="s">
        <v>65</v>
      </c>
      <c r="D1315" s="139" t="s">
        <v>3196</v>
      </c>
    </row>
    <row r="1316" spans="1:4" x14ac:dyDescent="0.25">
      <c r="A1316" s="139" t="s">
        <v>3197</v>
      </c>
      <c r="B1316" s="139" t="s">
        <v>3189</v>
      </c>
      <c r="C1316" s="139" t="s">
        <v>33</v>
      </c>
      <c r="D1316" s="139" t="s">
        <v>3198</v>
      </c>
    </row>
    <row r="1317" spans="1:4" x14ac:dyDescent="0.25">
      <c r="A1317" s="139" t="s">
        <v>3199</v>
      </c>
      <c r="B1317" s="139" t="s">
        <v>3189</v>
      </c>
      <c r="C1317" s="139" t="s">
        <v>33</v>
      </c>
      <c r="D1317" s="139" t="s">
        <v>3200</v>
      </c>
    </row>
    <row r="1318" spans="1:4" x14ac:dyDescent="0.25">
      <c r="A1318" s="139" t="s">
        <v>3201</v>
      </c>
      <c r="B1318" s="139" t="s">
        <v>3202</v>
      </c>
      <c r="C1318" s="139" t="s">
        <v>65</v>
      </c>
      <c r="D1318" s="139" t="s">
        <v>3203</v>
      </c>
    </row>
    <row r="1319" spans="1:4" x14ac:dyDescent="0.25">
      <c r="A1319" s="139" t="s">
        <v>3204</v>
      </c>
      <c r="B1319" s="139" t="s">
        <v>3202</v>
      </c>
      <c r="C1319" s="139" t="s">
        <v>65</v>
      </c>
      <c r="D1319" s="139" t="s">
        <v>3205</v>
      </c>
    </row>
    <row r="1320" spans="1:4" x14ac:dyDescent="0.25">
      <c r="A1320" s="139" t="s">
        <v>3206</v>
      </c>
      <c r="B1320" s="139" t="s">
        <v>2945</v>
      </c>
      <c r="C1320" s="139" t="s">
        <v>65</v>
      </c>
      <c r="D1320" s="139" t="s">
        <v>3207</v>
      </c>
    </row>
    <row r="1321" spans="1:4" x14ac:dyDescent="0.25">
      <c r="A1321" s="139" t="s">
        <v>3208</v>
      </c>
      <c r="B1321" s="139" t="s">
        <v>2945</v>
      </c>
      <c r="C1321" s="139" t="s">
        <v>65</v>
      </c>
      <c r="D1321" s="139" t="s">
        <v>3209</v>
      </c>
    </row>
    <row r="1322" spans="1:4" x14ac:dyDescent="0.25">
      <c r="A1322" s="139" t="s">
        <v>3210</v>
      </c>
      <c r="B1322" s="139" t="s">
        <v>3211</v>
      </c>
      <c r="C1322" s="139" t="s">
        <v>65</v>
      </c>
      <c r="D1322" s="139" t="s">
        <v>3212</v>
      </c>
    </row>
    <row r="1323" spans="1:4" x14ac:dyDescent="0.25">
      <c r="A1323" s="139" t="s">
        <v>3213</v>
      </c>
      <c r="B1323" s="139" t="s">
        <v>3211</v>
      </c>
      <c r="C1323" s="139" t="s">
        <v>65</v>
      </c>
      <c r="D1323" s="139" t="s">
        <v>3214</v>
      </c>
    </row>
    <row r="1324" spans="1:4" x14ac:dyDescent="0.25">
      <c r="A1324" s="139" t="s">
        <v>3215</v>
      </c>
      <c r="B1324" s="139" t="s">
        <v>3216</v>
      </c>
      <c r="C1324" s="139" t="s">
        <v>65</v>
      </c>
      <c r="D1324" s="139" t="s">
        <v>3217</v>
      </c>
    </row>
    <row r="1325" spans="1:4" x14ac:dyDescent="0.25">
      <c r="A1325" s="139" t="s">
        <v>3218</v>
      </c>
      <c r="B1325" s="139" t="s">
        <v>3216</v>
      </c>
      <c r="C1325" s="139" t="s">
        <v>65</v>
      </c>
      <c r="D1325" s="139" t="s">
        <v>3219</v>
      </c>
    </row>
    <row r="1326" spans="1:4" x14ac:dyDescent="0.25">
      <c r="A1326" s="139" t="s">
        <v>3220</v>
      </c>
      <c r="B1326" s="139" t="s">
        <v>3221</v>
      </c>
      <c r="C1326" s="139" t="s">
        <v>65</v>
      </c>
      <c r="D1326" s="139" t="s">
        <v>3222</v>
      </c>
    </row>
    <row r="1327" spans="1:4" x14ac:dyDescent="0.25">
      <c r="A1327" s="139" t="s">
        <v>3223</v>
      </c>
      <c r="B1327" s="139" t="s">
        <v>3221</v>
      </c>
      <c r="C1327" s="139" t="s">
        <v>65</v>
      </c>
      <c r="D1327" s="139" t="s">
        <v>3224</v>
      </c>
    </row>
    <row r="1328" spans="1:4" x14ac:dyDescent="0.25">
      <c r="A1328" s="139" t="s">
        <v>3225</v>
      </c>
      <c r="B1328" s="139" t="s">
        <v>2883</v>
      </c>
      <c r="C1328" s="139" t="s">
        <v>127</v>
      </c>
      <c r="D1328" s="139" t="s">
        <v>3226</v>
      </c>
    </row>
    <row r="1329" spans="1:4" x14ac:dyDescent="0.25">
      <c r="A1329" s="139" t="s">
        <v>3227</v>
      </c>
      <c r="B1329" s="139" t="s">
        <v>2883</v>
      </c>
      <c r="C1329" s="139" t="s">
        <v>127</v>
      </c>
      <c r="D1329" s="139" t="s">
        <v>3228</v>
      </c>
    </row>
    <row r="1330" spans="1:4" x14ac:dyDescent="0.25">
      <c r="A1330" s="139" t="s">
        <v>3229</v>
      </c>
      <c r="B1330" s="139" t="s">
        <v>3230</v>
      </c>
      <c r="C1330" s="139" t="s">
        <v>33</v>
      </c>
      <c r="D1330" s="139" t="s">
        <v>3231</v>
      </c>
    </row>
    <row r="1331" spans="1:4" x14ac:dyDescent="0.25">
      <c r="A1331" s="139" t="s">
        <v>3232</v>
      </c>
      <c r="B1331" s="139" t="s">
        <v>3230</v>
      </c>
      <c r="C1331" s="139" t="s">
        <v>33</v>
      </c>
      <c r="D1331" s="139" t="s">
        <v>3233</v>
      </c>
    </row>
    <row r="1332" spans="1:4" x14ac:dyDescent="0.25">
      <c r="A1332" s="139" t="s">
        <v>3234</v>
      </c>
      <c r="B1332" s="139" t="s">
        <v>3235</v>
      </c>
      <c r="C1332" s="139" t="s">
        <v>112</v>
      </c>
      <c r="D1332" s="139" t="s">
        <v>3236</v>
      </c>
    </row>
    <row r="1333" spans="1:4" x14ac:dyDescent="0.25">
      <c r="A1333" s="139" t="s">
        <v>3237</v>
      </c>
      <c r="B1333" s="139" t="s">
        <v>3235</v>
      </c>
      <c r="C1333" s="139" t="s">
        <v>112</v>
      </c>
      <c r="D1333" s="139" t="s">
        <v>3238</v>
      </c>
    </row>
    <row r="1334" spans="1:4" x14ac:dyDescent="0.25">
      <c r="A1334" s="139" t="s">
        <v>3239</v>
      </c>
      <c r="B1334" s="139" t="s">
        <v>3240</v>
      </c>
      <c r="C1334" s="139" t="s">
        <v>112</v>
      </c>
      <c r="D1334" s="139" t="s">
        <v>3241</v>
      </c>
    </row>
    <row r="1335" spans="1:4" x14ac:dyDescent="0.25">
      <c r="A1335" s="139" t="s">
        <v>3242</v>
      </c>
      <c r="B1335" s="139" t="s">
        <v>3240</v>
      </c>
      <c r="C1335" s="139" t="s">
        <v>112</v>
      </c>
      <c r="D1335" s="139" t="s">
        <v>3243</v>
      </c>
    </row>
    <row r="1336" spans="1:4" x14ac:dyDescent="0.25">
      <c r="A1336" s="139" t="s">
        <v>3244</v>
      </c>
      <c r="B1336" s="139" t="s">
        <v>3245</v>
      </c>
      <c r="C1336" s="139" t="s">
        <v>1938</v>
      </c>
      <c r="D1336" s="139" t="s">
        <v>3246</v>
      </c>
    </row>
    <row r="1337" spans="1:4" x14ac:dyDescent="0.25">
      <c r="A1337" s="139" t="s">
        <v>3247</v>
      </c>
      <c r="B1337" s="139" t="s">
        <v>3245</v>
      </c>
      <c r="C1337" s="139" t="s">
        <v>1938</v>
      </c>
      <c r="D1337" s="139" t="s">
        <v>3248</v>
      </c>
    </row>
    <row r="1338" spans="1:4" x14ac:dyDescent="0.25">
      <c r="A1338" s="139" t="s">
        <v>3249</v>
      </c>
      <c r="B1338" s="139" t="s">
        <v>3250</v>
      </c>
      <c r="C1338" s="139" t="s">
        <v>1938</v>
      </c>
      <c r="D1338" s="139" t="s">
        <v>3251</v>
      </c>
    </row>
    <row r="1339" spans="1:4" x14ac:dyDescent="0.25">
      <c r="A1339" s="139" t="s">
        <v>3252</v>
      </c>
      <c r="B1339" s="139" t="s">
        <v>3250</v>
      </c>
      <c r="C1339" s="139" t="s">
        <v>1938</v>
      </c>
      <c r="D1339" s="139" t="s">
        <v>3253</v>
      </c>
    </row>
    <row r="1340" spans="1:4" x14ac:dyDescent="0.25">
      <c r="A1340" s="139" t="s">
        <v>3254</v>
      </c>
      <c r="B1340" s="139" t="s">
        <v>3255</v>
      </c>
      <c r="C1340" s="139" t="s">
        <v>1938</v>
      </c>
      <c r="D1340" s="139" t="s">
        <v>3256</v>
      </c>
    </row>
    <row r="1341" spans="1:4" x14ac:dyDescent="0.25">
      <c r="A1341" s="139" t="s">
        <v>3257</v>
      </c>
      <c r="B1341" s="139" t="s">
        <v>3255</v>
      </c>
      <c r="C1341" s="139" t="s">
        <v>1938</v>
      </c>
      <c r="D1341" s="139" t="s">
        <v>3258</v>
      </c>
    </row>
    <row r="1342" spans="1:4" x14ac:dyDescent="0.25">
      <c r="A1342" s="139" t="s">
        <v>3259</v>
      </c>
      <c r="B1342" s="139" t="s">
        <v>3260</v>
      </c>
      <c r="C1342" s="139" t="s">
        <v>112</v>
      </c>
      <c r="D1342" s="139" t="s">
        <v>3261</v>
      </c>
    </row>
    <row r="1343" spans="1:4" x14ac:dyDescent="0.25">
      <c r="A1343" s="139" t="s">
        <v>3262</v>
      </c>
      <c r="B1343" s="139" t="s">
        <v>3260</v>
      </c>
      <c r="C1343" s="139" t="s">
        <v>112</v>
      </c>
      <c r="D1343" s="139" t="s">
        <v>3263</v>
      </c>
    </row>
    <row r="1344" spans="1:4" x14ac:dyDescent="0.25">
      <c r="A1344" s="139" t="s">
        <v>3264</v>
      </c>
      <c r="B1344" s="139" t="s">
        <v>3265</v>
      </c>
      <c r="C1344" s="139" t="s">
        <v>1938</v>
      </c>
      <c r="D1344" s="139" t="s">
        <v>3266</v>
      </c>
    </row>
    <row r="1345" spans="1:4" x14ac:dyDescent="0.25">
      <c r="A1345" s="139" t="s">
        <v>3267</v>
      </c>
      <c r="B1345" s="139" t="s">
        <v>3265</v>
      </c>
      <c r="C1345" s="139" t="s">
        <v>1938</v>
      </c>
      <c r="D1345" s="139" t="s">
        <v>3268</v>
      </c>
    </row>
    <row r="1346" spans="1:4" x14ac:dyDescent="0.25">
      <c r="A1346" s="139" t="s">
        <v>3269</v>
      </c>
      <c r="B1346" s="139" t="s">
        <v>3270</v>
      </c>
      <c r="C1346" s="139" t="s">
        <v>65</v>
      </c>
      <c r="D1346" s="139" t="s">
        <v>3271</v>
      </c>
    </row>
    <row r="1347" spans="1:4" x14ac:dyDescent="0.25">
      <c r="A1347" s="139" t="s">
        <v>3272</v>
      </c>
      <c r="B1347" s="139" t="s">
        <v>3270</v>
      </c>
      <c r="C1347" s="139" t="s">
        <v>65</v>
      </c>
      <c r="D1347" s="139" t="s">
        <v>3273</v>
      </c>
    </row>
    <row r="1348" spans="1:4" x14ac:dyDescent="0.25">
      <c r="A1348" s="139" t="s">
        <v>3274</v>
      </c>
      <c r="B1348" s="139" t="s">
        <v>3275</v>
      </c>
      <c r="C1348" s="139" t="s">
        <v>65</v>
      </c>
      <c r="D1348" s="139" t="s">
        <v>3276</v>
      </c>
    </row>
    <row r="1349" spans="1:4" x14ac:dyDescent="0.25">
      <c r="A1349" s="139" t="s">
        <v>3277</v>
      </c>
      <c r="B1349" s="139" t="s">
        <v>3275</v>
      </c>
      <c r="C1349" s="139" t="s">
        <v>65</v>
      </c>
      <c r="D1349" s="139" t="s">
        <v>3278</v>
      </c>
    </row>
    <row r="1350" spans="1:4" x14ac:dyDescent="0.25">
      <c r="A1350" s="139" t="s">
        <v>3279</v>
      </c>
      <c r="B1350" s="139" t="s">
        <v>3280</v>
      </c>
      <c r="C1350" s="139" t="s">
        <v>65</v>
      </c>
      <c r="D1350" s="139" t="s">
        <v>3281</v>
      </c>
    </row>
    <row r="1351" spans="1:4" x14ac:dyDescent="0.25">
      <c r="A1351" s="139" t="s">
        <v>3282</v>
      </c>
      <c r="B1351" s="139" t="s">
        <v>3280</v>
      </c>
      <c r="C1351" s="139" t="s">
        <v>65</v>
      </c>
      <c r="D1351" s="139" t="s">
        <v>3283</v>
      </c>
    </row>
    <row r="1352" spans="1:4" x14ac:dyDescent="0.25">
      <c r="A1352" s="139" t="s">
        <v>3284</v>
      </c>
      <c r="B1352" s="139" t="s">
        <v>3285</v>
      </c>
      <c r="C1352" s="139" t="s">
        <v>65</v>
      </c>
      <c r="D1352" s="139" t="s">
        <v>3286</v>
      </c>
    </row>
    <row r="1353" spans="1:4" x14ac:dyDescent="0.25">
      <c r="A1353" s="139" t="s">
        <v>3287</v>
      </c>
      <c r="B1353" s="139" t="s">
        <v>3285</v>
      </c>
      <c r="C1353" s="139" t="s">
        <v>65</v>
      </c>
      <c r="D1353" s="139" t="s">
        <v>3288</v>
      </c>
    </row>
    <row r="1354" spans="1:4" x14ac:dyDescent="0.25">
      <c r="A1354" s="139" t="s">
        <v>3289</v>
      </c>
      <c r="B1354" s="139" t="s">
        <v>534</v>
      </c>
      <c r="C1354" s="139" t="s">
        <v>65</v>
      </c>
      <c r="D1354" s="139" t="s">
        <v>3290</v>
      </c>
    </row>
    <row r="1355" spans="1:4" x14ac:dyDescent="0.25">
      <c r="A1355" s="139" t="s">
        <v>3291</v>
      </c>
      <c r="B1355" s="139" t="s">
        <v>534</v>
      </c>
      <c r="C1355" s="139" t="s">
        <v>65</v>
      </c>
      <c r="D1355" s="139" t="s">
        <v>3292</v>
      </c>
    </row>
    <row r="1356" spans="1:4" x14ac:dyDescent="0.25">
      <c r="A1356" s="139" t="s">
        <v>3293</v>
      </c>
      <c r="B1356" s="139" t="s">
        <v>3294</v>
      </c>
      <c r="C1356" s="139" t="s">
        <v>33</v>
      </c>
      <c r="D1356" s="139" t="s">
        <v>3295</v>
      </c>
    </row>
    <row r="1357" spans="1:4" x14ac:dyDescent="0.25">
      <c r="A1357" s="139" t="s">
        <v>3296</v>
      </c>
      <c r="B1357" s="139" t="s">
        <v>3294</v>
      </c>
      <c r="C1357" s="139" t="s">
        <v>33</v>
      </c>
      <c r="D1357" s="139" t="s">
        <v>3297</v>
      </c>
    </row>
    <row r="1358" spans="1:4" x14ac:dyDescent="0.25">
      <c r="A1358" s="139" t="s">
        <v>3298</v>
      </c>
      <c r="B1358" s="139" t="s">
        <v>211</v>
      </c>
      <c r="C1358" s="139" t="s">
        <v>2895</v>
      </c>
      <c r="D1358" s="139" t="s">
        <v>3299</v>
      </c>
    </row>
    <row r="1359" spans="1:4" x14ac:dyDescent="0.25">
      <c r="A1359" s="139" t="s">
        <v>3300</v>
      </c>
      <c r="B1359" s="139" t="s">
        <v>3301</v>
      </c>
      <c r="C1359" s="139" t="s">
        <v>2895</v>
      </c>
      <c r="D1359" s="139" t="s">
        <v>3302</v>
      </c>
    </row>
    <row r="1360" spans="1:4" x14ac:dyDescent="0.25">
      <c r="A1360" s="139" t="s">
        <v>3303</v>
      </c>
      <c r="B1360" s="139" t="s">
        <v>3304</v>
      </c>
      <c r="C1360" s="139" t="s">
        <v>2895</v>
      </c>
      <c r="D1360" s="139" t="s">
        <v>3305</v>
      </c>
    </row>
    <row r="1361" spans="1:4" x14ac:dyDescent="0.25">
      <c r="A1361" s="139" t="s">
        <v>3306</v>
      </c>
      <c r="B1361" s="139" t="s">
        <v>3307</v>
      </c>
      <c r="C1361" s="139" t="s">
        <v>127</v>
      </c>
      <c r="D1361" s="139" t="s">
        <v>3308</v>
      </c>
    </row>
    <row r="1362" spans="1:4" x14ac:dyDescent="0.25">
      <c r="A1362" s="139" t="s">
        <v>3309</v>
      </c>
      <c r="B1362" s="139" t="s">
        <v>3310</v>
      </c>
      <c r="C1362" s="139" t="s">
        <v>127</v>
      </c>
      <c r="D1362" s="139" t="s">
        <v>3311</v>
      </c>
    </row>
    <row r="1363" spans="1:4" x14ac:dyDescent="0.25">
      <c r="A1363" s="139" t="s">
        <v>3312</v>
      </c>
      <c r="B1363" s="139" t="s">
        <v>3313</v>
      </c>
      <c r="C1363" s="139" t="s">
        <v>2895</v>
      </c>
      <c r="D1363" s="139" t="s">
        <v>3314</v>
      </c>
    </row>
    <row r="1364" spans="1:4" x14ac:dyDescent="0.25">
      <c r="A1364" s="139" t="s">
        <v>3315</v>
      </c>
      <c r="B1364" s="139" t="s">
        <v>3316</v>
      </c>
      <c r="C1364" s="139" t="s">
        <v>65</v>
      </c>
      <c r="D1364" s="139" t="s">
        <v>3317</v>
      </c>
    </row>
    <row r="1365" spans="1:4" x14ac:dyDescent="0.25">
      <c r="A1365" s="139" t="s">
        <v>3318</v>
      </c>
      <c r="B1365" s="139" t="s">
        <v>3319</v>
      </c>
      <c r="C1365" s="139" t="s">
        <v>2895</v>
      </c>
      <c r="D1365" s="139" t="s">
        <v>3320</v>
      </c>
    </row>
    <row r="1366" spans="1:4" x14ac:dyDescent="0.25">
      <c r="A1366" s="139" t="s">
        <v>3321</v>
      </c>
      <c r="B1366" s="139" t="s">
        <v>2880</v>
      </c>
      <c r="C1366" s="139" t="s">
        <v>127</v>
      </c>
      <c r="D1366" s="139" t="s">
        <v>3322</v>
      </c>
    </row>
    <row r="1367" spans="1:4" x14ac:dyDescent="0.25">
      <c r="A1367" s="139" t="s">
        <v>3323</v>
      </c>
      <c r="B1367" s="139" t="s">
        <v>2875</v>
      </c>
      <c r="C1367" s="139" t="s">
        <v>127</v>
      </c>
      <c r="D1367" s="139" t="s">
        <v>3324</v>
      </c>
    </row>
    <row r="1368" spans="1:4" x14ac:dyDescent="0.25">
      <c r="A1368" s="139" t="s">
        <v>3325</v>
      </c>
      <c r="B1368" s="139" t="s">
        <v>2458</v>
      </c>
      <c r="C1368" s="139" t="s">
        <v>127</v>
      </c>
      <c r="D1368" s="139" t="s">
        <v>3326</v>
      </c>
    </row>
    <row r="1369" spans="1:4" x14ac:dyDescent="0.25">
      <c r="A1369" s="139" t="s">
        <v>3327</v>
      </c>
      <c r="B1369" s="139" t="s">
        <v>2866</v>
      </c>
      <c r="C1369" s="139" t="s">
        <v>127</v>
      </c>
      <c r="D1369" s="139" t="s">
        <v>3328</v>
      </c>
    </row>
    <row r="1370" spans="1:4" x14ac:dyDescent="0.25">
      <c r="A1370" s="139" t="s">
        <v>3329</v>
      </c>
      <c r="B1370" s="139" t="s">
        <v>2861</v>
      </c>
      <c r="C1370" s="139" t="s">
        <v>127</v>
      </c>
      <c r="D1370" s="139" t="s">
        <v>3330</v>
      </c>
    </row>
    <row r="1371" spans="1:4" x14ac:dyDescent="0.25">
      <c r="A1371" s="139" t="s">
        <v>3331</v>
      </c>
      <c r="B1371" s="139" t="s">
        <v>3332</v>
      </c>
      <c r="C1371" s="139" t="s">
        <v>112</v>
      </c>
      <c r="D1371" s="139" t="s">
        <v>3333</v>
      </c>
    </row>
    <row r="1372" spans="1:4" x14ac:dyDescent="0.25">
      <c r="A1372" s="139" t="s">
        <v>3334</v>
      </c>
      <c r="B1372" s="139" t="s">
        <v>3335</v>
      </c>
      <c r="C1372" s="139" t="s">
        <v>112</v>
      </c>
      <c r="D1372" s="139" t="s">
        <v>3336</v>
      </c>
    </row>
    <row r="1373" spans="1:4" x14ac:dyDescent="0.25">
      <c r="A1373" s="139" t="s">
        <v>3337</v>
      </c>
      <c r="B1373" s="139" t="s">
        <v>3338</v>
      </c>
      <c r="C1373" s="139" t="s">
        <v>112</v>
      </c>
      <c r="D1373" s="139" t="s">
        <v>3339</v>
      </c>
    </row>
    <row r="1374" spans="1:4" x14ac:dyDescent="0.25">
      <c r="A1374" s="139" t="s">
        <v>3340</v>
      </c>
      <c r="B1374" s="139" t="s">
        <v>3341</v>
      </c>
      <c r="C1374" s="139" t="s">
        <v>112</v>
      </c>
      <c r="D1374" s="139" t="s">
        <v>3342</v>
      </c>
    </row>
    <row r="1375" spans="1:4" x14ac:dyDescent="0.25">
      <c r="A1375" s="139" t="s">
        <v>3343</v>
      </c>
      <c r="B1375" s="139" t="s">
        <v>3344</v>
      </c>
      <c r="C1375" s="139" t="s">
        <v>112</v>
      </c>
      <c r="D1375" s="139" t="s">
        <v>3345</v>
      </c>
    </row>
    <row r="1376" spans="1:4" x14ac:dyDescent="0.25">
      <c r="A1376" s="139" t="s">
        <v>3346</v>
      </c>
      <c r="B1376" s="139" t="s">
        <v>3347</v>
      </c>
      <c r="C1376" s="139" t="s">
        <v>112</v>
      </c>
      <c r="D1376" s="139" t="s">
        <v>3348</v>
      </c>
    </row>
    <row r="1377" spans="1:4" x14ac:dyDescent="0.25">
      <c r="A1377" s="139" t="s">
        <v>3349</v>
      </c>
      <c r="B1377" s="139" t="s">
        <v>3350</v>
      </c>
      <c r="C1377" s="139" t="s">
        <v>112</v>
      </c>
      <c r="D1377" s="139" t="s">
        <v>3351</v>
      </c>
    </row>
    <row r="1378" spans="1:4" x14ac:dyDescent="0.25">
      <c r="A1378" s="139" t="s">
        <v>3352</v>
      </c>
      <c r="B1378" s="139" t="s">
        <v>3353</v>
      </c>
      <c r="C1378" s="139" t="s">
        <v>112</v>
      </c>
      <c r="D1378" s="139" t="s">
        <v>3354</v>
      </c>
    </row>
    <row r="1379" spans="1:4" x14ac:dyDescent="0.25">
      <c r="A1379" s="139" t="s">
        <v>3355</v>
      </c>
      <c r="B1379" s="139" t="s">
        <v>3356</v>
      </c>
      <c r="C1379" s="139" t="s">
        <v>33</v>
      </c>
      <c r="D1379" s="139" t="s">
        <v>3357</v>
      </c>
    </row>
    <row r="1380" spans="1:4" x14ac:dyDescent="0.25">
      <c r="A1380" s="139" t="s">
        <v>3358</v>
      </c>
      <c r="B1380" s="139" t="s">
        <v>3359</v>
      </c>
      <c r="C1380" s="139" t="s">
        <v>33</v>
      </c>
      <c r="D1380" s="139" t="s">
        <v>3360</v>
      </c>
    </row>
    <row r="1381" spans="1:4" x14ac:dyDescent="0.25">
      <c r="A1381" s="139" t="s">
        <v>3361</v>
      </c>
      <c r="B1381" s="139" t="s">
        <v>3362</v>
      </c>
      <c r="C1381" s="139" t="s">
        <v>33</v>
      </c>
      <c r="D1381" s="139" t="s">
        <v>3363</v>
      </c>
    </row>
    <row r="1382" spans="1:4" x14ac:dyDescent="0.25">
      <c r="A1382" s="139" t="s">
        <v>3364</v>
      </c>
      <c r="B1382" s="139" t="s">
        <v>3365</v>
      </c>
      <c r="C1382" s="139" t="s">
        <v>65</v>
      </c>
      <c r="D1382" s="139" t="s">
        <v>3366</v>
      </c>
    </row>
    <row r="1383" spans="1:4" x14ac:dyDescent="0.25">
      <c r="A1383" s="139" t="s">
        <v>3367</v>
      </c>
      <c r="B1383" s="139" t="s">
        <v>3368</v>
      </c>
      <c r="C1383" s="139" t="s">
        <v>65</v>
      </c>
      <c r="D1383" s="139" t="s">
        <v>3369</v>
      </c>
    </row>
    <row r="1384" spans="1:4" x14ac:dyDescent="0.25">
      <c r="A1384" s="139" t="s">
        <v>3370</v>
      </c>
      <c r="B1384" s="139" t="s">
        <v>3371</v>
      </c>
      <c r="C1384" s="139" t="s">
        <v>65</v>
      </c>
      <c r="D1384" s="139" t="s">
        <v>3372</v>
      </c>
    </row>
    <row r="1385" spans="1:4" x14ac:dyDescent="0.25">
      <c r="A1385" s="139" t="s">
        <v>3373</v>
      </c>
      <c r="B1385" s="139" t="s">
        <v>3374</v>
      </c>
      <c r="C1385" s="139" t="s">
        <v>65</v>
      </c>
      <c r="D1385" s="139" t="s">
        <v>3375</v>
      </c>
    </row>
    <row r="1386" spans="1:4" x14ac:dyDescent="0.25">
      <c r="A1386" s="139" t="s">
        <v>3376</v>
      </c>
      <c r="B1386" s="139" t="s">
        <v>3377</v>
      </c>
      <c r="C1386" s="139" t="s">
        <v>65</v>
      </c>
      <c r="D1386" s="139" t="s">
        <v>3378</v>
      </c>
    </row>
    <row r="1387" spans="1:4" x14ac:dyDescent="0.25">
      <c r="A1387" s="139" t="s">
        <v>3379</v>
      </c>
      <c r="B1387" s="139" t="s">
        <v>3380</v>
      </c>
      <c r="C1387" s="139" t="s">
        <v>65</v>
      </c>
      <c r="D1387" s="139" t="s">
        <v>3381</v>
      </c>
    </row>
    <row r="1388" spans="1:4" x14ac:dyDescent="0.25">
      <c r="A1388" s="139" t="s">
        <v>3382</v>
      </c>
      <c r="B1388" s="139" t="s">
        <v>3383</v>
      </c>
      <c r="C1388" s="139" t="s">
        <v>65</v>
      </c>
      <c r="D1388" s="139" t="s">
        <v>3384</v>
      </c>
    </row>
    <row r="1389" spans="1:4" x14ac:dyDescent="0.25">
      <c r="A1389" s="139" t="s">
        <v>3385</v>
      </c>
      <c r="B1389" s="139" t="s">
        <v>1199</v>
      </c>
      <c r="C1389" s="139" t="s">
        <v>65</v>
      </c>
      <c r="D1389" s="139" t="s">
        <v>3386</v>
      </c>
    </row>
    <row r="1390" spans="1:4" x14ac:dyDescent="0.25">
      <c r="A1390" s="139" t="s">
        <v>3387</v>
      </c>
      <c r="B1390" s="139" t="s">
        <v>3356</v>
      </c>
      <c r="C1390" s="139" t="s">
        <v>33</v>
      </c>
      <c r="D1390" s="139" t="s">
        <v>3388</v>
      </c>
    </row>
    <row r="1391" spans="1:4" x14ac:dyDescent="0.25">
      <c r="A1391" s="139" t="s">
        <v>3389</v>
      </c>
      <c r="B1391" s="139" t="s">
        <v>3359</v>
      </c>
      <c r="C1391" s="139" t="s">
        <v>33</v>
      </c>
      <c r="D1391" s="139" t="s">
        <v>3390</v>
      </c>
    </row>
    <row r="1392" spans="1:4" x14ac:dyDescent="0.25">
      <c r="A1392" s="139" t="s">
        <v>3391</v>
      </c>
      <c r="B1392" s="139" t="s">
        <v>3362</v>
      </c>
      <c r="C1392" s="139" t="s">
        <v>33</v>
      </c>
      <c r="D1392" s="139" t="s">
        <v>3392</v>
      </c>
    </row>
    <row r="1393" spans="1:4" x14ac:dyDescent="0.25">
      <c r="A1393" s="139" t="s">
        <v>3393</v>
      </c>
      <c r="B1393" s="139" t="s">
        <v>211</v>
      </c>
      <c r="C1393" s="139" t="s">
        <v>2895</v>
      </c>
      <c r="D1393" s="139" t="s">
        <v>3394</v>
      </c>
    </row>
    <row r="1394" spans="1:4" x14ac:dyDescent="0.25">
      <c r="A1394" s="139" t="s">
        <v>3395</v>
      </c>
      <c r="B1394" s="139" t="s">
        <v>3301</v>
      </c>
      <c r="C1394" s="139" t="s">
        <v>2895</v>
      </c>
      <c r="D1394" s="139" t="s">
        <v>3396</v>
      </c>
    </row>
    <row r="1395" spans="1:4" x14ac:dyDescent="0.25">
      <c r="A1395" s="139" t="s">
        <v>3397</v>
      </c>
      <c r="B1395" s="139" t="s">
        <v>3304</v>
      </c>
      <c r="C1395" s="139" t="s">
        <v>2895</v>
      </c>
      <c r="D1395" s="139" t="s">
        <v>3398</v>
      </c>
    </row>
    <row r="1396" spans="1:4" x14ac:dyDescent="0.25">
      <c r="A1396" s="139" t="s">
        <v>3399</v>
      </c>
      <c r="B1396" s="139" t="s">
        <v>3307</v>
      </c>
      <c r="C1396" s="139" t="s">
        <v>127</v>
      </c>
      <c r="D1396" s="139" t="s">
        <v>3400</v>
      </c>
    </row>
    <row r="1397" spans="1:4" x14ac:dyDescent="0.25">
      <c r="A1397" s="139" t="s">
        <v>3401</v>
      </c>
      <c r="B1397" s="139" t="s">
        <v>3310</v>
      </c>
      <c r="C1397" s="139" t="s">
        <v>127</v>
      </c>
      <c r="D1397" s="139" t="s">
        <v>3402</v>
      </c>
    </row>
    <row r="1398" spans="1:4" x14ac:dyDescent="0.25">
      <c r="A1398" s="139" t="s">
        <v>3403</v>
      </c>
      <c r="B1398" s="139" t="s">
        <v>3313</v>
      </c>
      <c r="C1398" s="139" t="s">
        <v>2895</v>
      </c>
      <c r="D1398" s="139" t="s">
        <v>3404</v>
      </c>
    </row>
    <row r="1399" spans="1:4" x14ac:dyDescent="0.25">
      <c r="A1399" s="139" t="s">
        <v>3405</v>
      </c>
      <c r="B1399" s="139" t="s">
        <v>3316</v>
      </c>
      <c r="C1399" s="139" t="s">
        <v>65</v>
      </c>
      <c r="D1399" s="139" t="s">
        <v>3406</v>
      </c>
    </row>
    <row r="1400" spans="1:4" x14ac:dyDescent="0.25">
      <c r="A1400" s="139" t="s">
        <v>3407</v>
      </c>
      <c r="B1400" s="139" t="s">
        <v>3319</v>
      </c>
      <c r="C1400" s="139" t="s">
        <v>2895</v>
      </c>
      <c r="D1400" s="139" t="s">
        <v>3408</v>
      </c>
    </row>
    <row r="1401" spans="1:4" x14ac:dyDescent="0.25">
      <c r="A1401" s="139" t="s">
        <v>3409</v>
      </c>
      <c r="B1401" s="139" t="s">
        <v>2880</v>
      </c>
      <c r="C1401" s="139" t="s">
        <v>127</v>
      </c>
      <c r="D1401" s="139" t="s">
        <v>3410</v>
      </c>
    </row>
    <row r="1402" spans="1:4" x14ac:dyDescent="0.25">
      <c r="A1402" s="139" t="s">
        <v>3411</v>
      </c>
      <c r="B1402" s="139" t="s">
        <v>2875</v>
      </c>
      <c r="C1402" s="139" t="s">
        <v>127</v>
      </c>
      <c r="D1402" s="139" t="s">
        <v>3412</v>
      </c>
    </row>
    <row r="1403" spans="1:4" x14ac:dyDescent="0.25">
      <c r="A1403" s="139" t="s">
        <v>3413</v>
      </c>
      <c r="B1403" s="139" t="s">
        <v>2458</v>
      </c>
      <c r="C1403" s="139" t="s">
        <v>127</v>
      </c>
      <c r="D1403" s="139" t="s">
        <v>3414</v>
      </c>
    </row>
    <row r="1404" spans="1:4" x14ac:dyDescent="0.25">
      <c r="A1404" s="139" t="s">
        <v>3415</v>
      </c>
      <c r="B1404" s="139" t="s">
        <v>2866</v>
      </c>
      <c r="C1404" s="139" t="s">
        <v>127</v>
      </c>
      <c r="D1404" s="139" t="s">
        <v>3416</v>
      </c>
    </row>
    <row r="1405" spans="1:4" x14ac:dyDescent="0.25">
      <c r="A1405" s="139" t="s">
        <v>3417</v>
      </c>
      <c r="B1405" s="139" t="s">
        <v>2861</v>
      </c>
      <c r="C1405" s="139" t="s">
        <v>127</v>
      </c>
      <c r="D1405" s="139" t="s">
        <v>3418</v>
      </c>
    </row>
    <row r="1406" spans="1:4" x14ac:dyDescent="0.25">
      <c r="A1406" s="139" t="s">
        <v>3419</v>
      </c>
      <c r="B1406" s="139" t="s">
        <v>3332</v>
      </c>
      <c r="C1406" s="139" t="s">
        <v>112</v>
      </c>
      <c r="D1406" s="139" t="s">
        <v>3420</v>
      </c>
    </row>
    <row r="1407" spans="1:4" x14ac:dyDescent="0.25">
      <c r="A1407" s="139" t="s">
        <v>3421</v>
      </c>
      <c r="B1407" s="139" t="s">
        <v>3335</v>
      </c>
      <c r="C1407" s="139" t="s">
        <v>112</v>
      </c>
      <c r="D1407" s="139" t="s">
        <v>3422</v>
      </c>
    </row>
    <row r="1408" spans="1:4" x14ac:dyDescent="0.25">
      <c r="A1408" s="139" t="s">
        <v>3423</v>
      </c>
      <c r="B1408" s="139" t="s">
        <v>3338</v>
      </c>
      <c r="C1408" s="139" t="s">
        <v>112</v>
      </c>
      <c r="D1408" s="139" t="s">
        <v>3424</v>
      </c>
    </row>
    <row r="1409" spans="1:4" x14ac:dyDescent="0.25">
      <c r="A1409" s="139" t="s">
        <v>3425</v>
      </c>
      <c r="B1409" s="139" t="s">
        <v>3341</v>
      </c>
      <c r="C1409" s="139" t="s">
        <v>112</v>
      </c>
      <c r="D1409" s="139" t="s">
        <v>3426</v>
      </c>
    </row>
    <row r="1410" spans="1:4" x14ac:dyDescent="0.25">
      <c r="A1410" s="139" t="s">
        <v>3427</v>
      </c>
      <c r="B1410" s="139" t="s">
        <v>3344</v>
      </c>
      <c r="C1410" s="139" t="s">
        <v>112</v>
      </c>
      <c r="D1410" s="139" t="s">
        <v>3428</v>
      </c>
    </row>
    <row r="1411" spans="1:4" x14ac:dyDescent="0.25">
      <c r="A1411" s="139" t="s">
        <v>3429</v>
      </c>
      <c r="B1411" s="139" t="s">
        <v>3347</v>
      </c>
      <c r="C1411" s="139" t="s">
        <v>112</v>
      </c>
      <c r="D1411" s="139" t="s">
        <v>3430</v>
      </c>
    </row>
    <row r="1412" spans="1:4" x14ac:dyDescent="0.25">
      <c r="A1412" s="139" t="s">
        <v>3431</v>
      </c>
      <c r="B1412" s="139" t="s">
        <v>3350</v>
      </c>
      <c r="C1412" s="139" t="s">
        <v>112</v>
      </c>
      <c r="D1412" s="139" t="s">
        <v>3432</v>
      </c>
    </row>
    <row r="1413" spans="1:4" x14ac:dyDescent="0.25">
      <c r="A1413" s="139" t="s">
        <v>3433</v>
      </c>
      <c r="B1413" s="139" t="s">
        <v>3353</v>
      </c>
      <c r="C1413" s="139" t="s">
        <v>112</v>
      </c>
      <c r="D1413" s="139" t="s">
        <v>3434</v>
      </c>
    </row>
    <row r="1414" spans="1:4" x14ac:dyDescent="0.25">
      <c r="A1414" s="139" t="s">
        <v>3435</v>
      </c>
      <c r="B1414" s="139" t="s">
        <v>3383</v>
      </c>
      <c r="C1414" s="139" t="s">
        <v>65</v>
      </c>
      <c r="D1414" s="139" t="s">
        <v>3436</v>
      </c>
    </row>
    <row r="1415" spans="1:4" x14ac:dyDescent="0.25">
      <c r="A1415" s="139" t="s">
        <v>3437</v>
      </c>
      <c r="B1415" s="139" t="s">
        <v>1199</v>
      </c>
      <c r="C1415" s="139" t="s">
        <v>65</v>
      </c>
      <c r="D1415" s="139" t="s">
        <v>3438</v>
      </c>
    </row>
    <row r="1416" spans="1:4" x14ac:dyDescent="0.25">
      <c r="A1416" s="139" t="s">
        <v>3439</v>
      </c>
      <c r="B1416" s="139" t="s">
        <v>3365</v>
      </c>
      <c r="C1416" s="139" t="s">
        <v>65</v>
      </c>
      <c r="D1416" s="139" t="s">
        <v>3440</v>
      </c>
    </row>
    <row r="1417" spans="1:4" x14ac:dyDescent="0.25">
      <c r="A1417" s="139" t="s">
        <v>3441</v>
      </c>
      <c r="B1417" s="139" t="s">
        <v>3371</v>
      </c>
      <c r="C1417" s="139" t="s">
        <v>65</v>
      </c>
      <c r="D1417" s="139" t="s">
        <v>3442</v>
      </c>
    </row>
    <row r="1418" spans="1:4" x14ac:dyDescent="0.25">
      <c r="A1418" s="139" t="s">
        <v>3443</v>
      </c>
      <c r="B1418" s="139" t="s">
        <v>3374</v>
      </c>
      <c r="C1418" s="139" t="s">
        <v>65</v>
      </c>
      <c r="D1418" s="139" t="s">
        <v>3444</v>
      </c>
    </row>
    <row r="1419" spans="1:4" x14ac:dyDescent="0.25">
      <c r="A1419" s="139" t="s">
        <v>3445</v>
      </c>
      <c r="B1419" s="139" t="s">
        <v>3377</v>
      </c>
      <c r="C1419" s="139" t="s">
        <v>65</v>
      </c>
      <c r="D1419" s="139" t="s">
        <v>3446</v>
      </c>
    </row>
    <row r="1420" spans="1:4" x14ac:dyDescent="0.25">
      <c r="A1420" s="139" t="s">
        <v>3447</v>
      </c>
      <c r="B1420" s="139" t="s">
        <v>3380</v>
      </c>
      <c r="C1420" s="139" t="s">
        <v>65</v>
      </c>
      <c r="D1420" s="139" t="s">
        <v>3448</v>
      </c>
    </row>
    <row r="1421" spans="1:4" x14ac:dyDescent="0.25">
      <c r="A1421" s="139" t="s">
        <v>3449</v>
      </c>
      <c r="B1421" s="139" t="s">
        <v>3368</v>
      </c>
      <c r="C1421" s="139" t="s">
        <v>65</v>
      </c>
      <c r="D1421" s="139" t="s">
        <v>3450</v>
      </c>
    </row>
    <row r="1422" spans="1:4" x14ac:dyDescent="0.25">
      <c r="A1422" s="139" t="s">
        <v>3451</v>
      </c>
      <c r="B1422" s="139" t="s">
        <v>3452</v>
      </c>
      <c r="C1422" s="139" t="s">
        <v>112</v>
      </c>
      <c r="D1422" s="139" t="s">
        <v>3453</v>
      </c>
    </row>
    <row r="1423" spans="1:4" x14ac:dyDescent="0.25">
      <c r="A1423" s="139" t="s">
        <v>3454</v>
      </c>
      <c r="B1423" s="139" t="s">
        <v>3452</v>
      </c>
      <c r="C1423" s="139" t="s">
        <v>112</v>
      </c>
      <c r="D1423" s="139" t="s">
        <v>3455</v>
      </c>
    </row>
    <row r="1424" spans="1:4" x14ac:dyDescent="0.25">
      <c r="A1424" s="139" t="s">
        <v>3456</v>
      </c>
      <c r="B1424" s="139" t="s">
        <v>3457</v>
      </c>
      <c r="C1424" s="139" t="s">
        <v>112</v>
      </c>
      <c r="D1424" s="139" t="s">
        <v>3458</v>
      </c>
    </row>
    <row r="1425" spans="1:4" x14ac:dyDescent="0.25">
      <c r="A1425" s="139" t="s">
        <v>3459</v>
      </c>
      <c r="B1425" s="139" t="s">
        <v>3457</v>
      </c>
      <c r="C1425" s="139" t="s">
        <v>112</v>
      </c>
      <c r="D1425" s="139" t="s">
        <v>3460</v>
      </c>
    </row>
    <row r="1426" spans="1:4" x14ac:dyDescent="0.25">
      <c r="A1426" s="139" t="s">
        <v>3461</v>
      </c>
      <c r="B1426" s="139" t="s">
        <v>3462</v>
      </c>
      <c r="C1426" s="139" t="s">
        <v>316</v>
      </c>
      <c r="D1426" s="139" t="s">
        <v>3463</v>
      </c>
    </row>
    <row r="1427" spans="1:4" x14ac:dyDescent="0.25">
      <c r="A1427" s="139" t="s">
        <v>3464</v>
      </c>
      <c r="B1427" s="139" t="s">
        <v>3462</v>
      </c>
      <c r="C1427" s="139" t="s">
        <v>316</v>
      </c>
      <c r="D1427" s="139" t="s">
        <v>3465</v>
      </c>
    </row>
    <row r="1428" spans="1:4" x14ac:dyDescent="0.25">
      <c r="A1428" s="139" t="s">
        <v>3466</v>
      </c>
      <c r="B1428" s="139" t="s">
        <v>3467</v>
      </c>
      <c r="C1428" s="139" t="s">
        <v>2895</v>
      </c>
      <c r="D1428" s="139" t="s">
        <v>3468</v>
      </c>
    </row>
    <row r="1429" spans="1:4" x14ac:dyDescent="0.25">
      <c r="A1429" s="139" t="s">
        <v>3469</v>
      </c>
      <c r="B1429" s="139" t="s">
        <v>3467</v>
      </c>
      <c r="C1429" s="139" t="s">
        <v>2895</v>
      </c>
      <c r="D1429" s="139" t="s">
        <v>3470</v>
      </c>
    </row>
    <row r="1430" spans="1:4" x14ac:dyDescent="0.25">
      <c r="A1430" s="139" t="s">
        <v>3471</v>
      </c>
      <c r="B1430" s="139" t="s">
        <v>3472</v>
      </c>
      <c r="C1430" s="139" t="s">
        <v>65</v>
      </c>
      <c r="D1430" s="139" t="s">
        <v>3473</v>
      </c>
    </row>
    <row r="1431" spans="1:4" x14ac:dyDescent="0.25">
      <c r="A1431" s="139" t="s">
        <v>3474</v>
      </c>
      <c r="B1431" s="139" t="s">
        <v>3472</v>
      </c>
      <c r="C1431" s="139" t="s">
        <v>65</v>
      </c>
      <c r="D1431" s="139" t="s">
        <v>3475</v>
      </c>
    </row>
    <row r="1432" spans="1:4" x14ac:dyDescent="0.25">
      <c r="A1432" s="139" t="s">
        <v>3476</v>
      </c>
      <c r="B1432" s="139" t="s">
        <v>3477</v>
      </c>
      <c r="C1432" s="139" t="s">
        <v>65</v>
      </c>
      <c r="D1432" s="139" t="s">
        <v>3478</v>
      </c>
    </row>
    <row r="1433" spans="1:4" x14ac:dyDescent="0.25">
      <c r="A1433" s="139" t="s">
        <v>3479</v>
      </c>
      <c r="B1433" s="139" t="s">
        <v>3477</v>
      </c>
      <c r="C1433" s="139" t="s">
        <v>65</v>
      </c>
      <c r="D1433" s="139" t="s">
        <v>3480</v>
      </c>
    </row>
    <row r="1434" spans="1:4" x14ac:dyDescent="0.25">
      <c r="A1434" s="139" t="s">
        <v>3481</v>
      </c>
      <c r="B1434" s="139" t="s">
        <v>3353</v>
      </c>
      <c r="C1434" s="139" t="s">
        <v>65</v>
      </c>
      <c r="D1434" s="139" t="s">
        <v>3482</v>
      </c>
    </row>
    <row r="1435" spans="1:4" x14ac:dyDescent="0.25">
      <c r="A1435" s="139" t="s">
        <v>3483</v>
      </c>
      <c r="B1435" s="139" t="s">
        <v>3353</v>
      </c>
      <c r="C1435" s="139" t="s">
        <v>65</v>
      </c>
      <c r="D1435" s="139" t="s">
        <v>3484</v>
      </c>
    </row>
    <row r="1436" spans="1:4" x14ac:dyDescent="0.25">
      <c r="A1436" s="139" t="s">
        <v>3485</v>
      </c>
      <c r="B1436" s="139" t="s">
        <v>3486</v>
      </c>
      <c r="C1436" s="139" t="s">
        <v>65</v>
      </c>
      <c r="D1436" s="139" t="s">
        <v>3487</v>
      </c>
    </row>
    <row r="1437" spans="1:4" x14ac:dyDescent="0.25">
      <c r="A1437" s="139" t="s">
        <v>3488</v>
      </c>
      <c r="B1437" s="139" t="s">
        <v>3486</v>
      </c>
      <c r="C1437" s="139" t="s">
        <v>65</v>
      </c>
      <c r="D1437" s="139" t="s">
        <v>3489</v>
      </c>
    </row>
    <row r="1438" spans="1:4" x14ac:dyDescent="0.25">
      <c r="A1438" s="139" t="s">
        <v>3490</v>
      </c>
      <c r="B1438" s="139" t="s">
        <v>730</v>
      </c>
      <c r="C1438" s="139" t="s">
        <v>33</v>
      </c>
      <c r="D1438" s="139" t="s">
        <v>3491</v>
      </c>
    </row>
    <row r="1439" spans="1:4" x14ac:dyDescent="0.25">
      <c r="A1439" s="139" t="s">
        <v>3492</v>
      </c>
      <c r="B1439" s="139" t="s">
        <v>730</v>
      </c>
      <c r="C1439" s="139" t="s">
        <v>33</v>
      </c>
      <c r="D1439" s="139" t="s">
        <v>3493</v>
      </c>
    </row>
    <row r="1440" spans="1:4" x14ac:dyDescent="0.25">
      <c r="A1440" s="139" t="s">
        <v>3494</v>
      </c>
      <c r="B1440" s="139" t="s">
        <v>3362</v>
      </c>
      <c r="C1440" s="139" t="s">
        <v>33</v>
      </c>
      <c r="D1440" s="139" t="s">
        <v>3495</v>
      </c>
    </row>
    <row r="1441" spans="1:4" x14ac:dyDescent="0.25">
      <c r="A1441" s="139" t="s">
        <v>3496</v>
      </c>
      <c r="B1441" s="139" t="s">
        <v>3362</v>
      </c>
      <c r="C1441" s="139" t="s">
        <v>33</v>
      </c>
      <c r="D1441" s="139" t="s">
        <v>3497</v>
      </c>
    </row>
    <row r="1442" spans="1:4" x14ac:dyDescent="0.25">
      <c r="A1442" s="139" t="s">
        <v>3498</v>
      </c>
      <c r="B1442" s="139" t="s">
        <v>3359</v>
      </c>
      <c r="C1442" s="139" t="s">
        <v>33</v>
      </c>
      <c r="D1442" s="139" t="s">
        <v>3499</v>
      </c>
    </row>
    <row r="1443" spans="1:4" x14ac:dyDescent="0.25">
      <c r="A1443" s="139" t="s">
        <v>3500</v>
      </c>
      <c r="B1443" s="139" t="s">
        <v>3359</v>
      </c>
      <c r="C1443" s="139" t="s">
        <v>33</v>
      </c>
      <c r="D1443" s="139" t="s">
        <v>3501</v>
      </c>
    </row>
    <row r="1444" spans="1:4" x14ac:dyDescent="0.25">
      <c r="A1444" s="139" t="s">
        <v>3502</v>
      </c>
      <c r="B1444" s="139" t="s">
        <v>3503</v>
      </c>
      <c r="C1444" s="139" t="s">
        <v>112</v>
      </c>
      <c r="D1444" s="139" t="s">
        <v>3504</v>
      </c>
    </row>
    <row r="1445" spans="1:4" x14ac:dyDescent="0.25">
      <c r="A1445" s="139" t="s">
        <v>3505</v>
      </c>
      <c r="B1445" s="139" t="s">
        <v>3503</v>
      </c>
      <c r="C1445" s="139" t="s">
        <v>112</v>
      </c>
      <c r="D1445" s="139" t="s">
        <v>3506</v>
      </c>
    </row>
    <row r="1446" spans="1:4" x14ac:dyDescent="0.25">
      <c r="A1446" s="139" t="s">
        <v>3507</v>
      </c>
      <c r="B1446" s="139" t="s">
        <v>3508</v>
      </c>
      <c r="C1446" s="139" t="s">
        <v>112</v>
      </c>
      <c r="D1446" s="139" t="s">
        <v>3509</v>
      </c>
    </row>
    <row r="1447" spans="1:4" x14ac:dyDescent="0.25">
      <c r="A1447" s="139" t="s">
        <v>3510</v>
      </c>
      <c r="B1447" s="139" t="s">
        <v>3508</v>
      </c>
      <c r="C1447" s="139" t="s">
        <v>112</v>
      </c>
      <c r="D1447" s="139" t="s">
        <v>3511</v>
      </c>
    </row>
    <row r="1448" spans="1:4" x14ac:dyDescent="0.25">
      <c r="A1448" s="139" t="s">
        <v>3512</v>
      </c>
      <c r="B1448" s="139" t="s">
        <v>2458</v>
      </c>
      <c r="C1448" s="139" t="s">
        <v>65</v>
      </c>
      <c r="D1448" s="139" t="s">
        <v>3513</v>
      </c>
    </row>
    <row r="1449" spans="1:4" x14ac:dyDescent="0.25">
      <c r="A1449" s="139" t="s">
        <v>3514</v>
      </c>
      <c r="B1449" s="139" t="s">
        <v>2458</v>
      </c>
      <c r="C1449" s="139" t="s">
        <v>65</v>
      </c>
      <c r="D1449" s="139" t="s">
        <v>3515</v>
      </c>
    </row>
    <row r="1450" spans="1:4" x14ac:dyDescent="0.25">
      <c r="A1450" s="139" t="s">
        <v>3516</v>
      </c>
      <c r="B1450" s="139" t="s">
        <v>2458</v>
      </c>
      <c r="C1450" s="139" t="s">
        <v>65</v>
      </c>
      <c r="D1450" s="139" t="s">
        <v>3517</v>
      </c>
    </row>
    <row r="1451" spans="1:4" x14ac:dyDescent="0.25">
      <c r="A1451" s="139" t="s">
        <v>3518</v>
      </c>
      <c r="B1451" s="139" t="s">
        <v>2880</v>
      </c>
      <c r="C1451" s="139" t="s">
        <v>127</v>
      </c>
      <c r="D1451" s="139" t="s">
        <v>3519</v>
      </c>
    </row>
    <row r="1452" spans="1:4" x14ac:dyDescent="0.25">
      <c r="A1452" s="139" t="s">
        <v>3520</v>
      </c>
      <c r="B1452" s="139" t="s">
        <v>3521</v>
      </c>
      <c r="C1452" s="139" t="s">
        <v>112</v>
      </c>
      <c r="D1452" s="139" t="s">
        <v>3522</v>
      </c>
    </row>
    <row r="1453" spans="1:4" x14ac:dyDescent="0.25">
      <c r="A1453" s="139" t="s">
        <v>3523</v>
      </c>
      <c r="B1453" s="139" t="s">
        <v>3521</v>
      </c>
      <c r="C1453" s="139" t="s">
        <v>112</v>
      </c>
      <c r="D1453" s="139" t="s">
        <v>3524</v>
      </c>
    </row>
    <row r="1454" spans="1:4" x14ac:dyDescent="0.25">
      <c r="A1454" s="139" t="s">
        <v>3525</v>
      </c>
      <c r="B1454" s="139" t="s">
        <v>3347</v>
      </c>
      <c r="C1454" s="139" t="s">
        <v>112</v>
      </c>
      <c r="D1454" s="139" t="s">
        <v>3526</v>
      </c>
    </row>
    <row r="1455" spans="1:4" x14ac:dyDescent="0.25">
      <c r="A1455" s="139" t="s">
        <v>3527</v>
      </c>
      <c r="B1455" s="139" t="s">
        <v>3347</v>
      </c>
      <c r="C1455" s="139" t="s">
        <v>112</v>
      </c>
      <c r="D1455" s="139" t="s">
        <v>3528</v>
      </c>
    </row>
    <row r="1456" spans="1:4" x14ac:dyDescent="0.25">
      <c r="A1456" s="139" t="s">
        <v>3529</v>
      </c>
      <c r="B1456" s="139" t="s">
        <v>3344</v>
      </c>
      <c r="C1456" s="139" t="s">
        <v>112</v>
      </c>
      <c r="D1456" s="139" t="s">
        <v>3530</v>
      </c>
    </row>
    <row r="1457" spans="1:4" x14ac:dyDescent="0.25">
      <c r="A1457" s="139" t="s">
        <v>3531</v>
      </c>
      <c r="B1457" s="139" t="s">
        <v>3344</v>
      </c>
      <c r="C1457" s="139" t="s">
        <v>112</v>
      </c>
      <c r="D1457" s="139" t="s">
        <v>3532</v>
      </c>
    </row>
    <row r="1458" spans="1:4" x14ac:dyDescent="0.25">
      <c r="A1458" s="139" t="s">
        <v>3533</v>
      </c>
      <c r="B1458" s="139" t="s">
        <v>3534</v>
      </c>
      <c r="C1458" s="139" t="s">
        <v>112</v>
      </c>
      <c r="D1458" s="139" t="s">
        <v>3535</v>
      </c>
    </row>
    <row r="1459" spans="1:4" x14ac:dyDescent="0.25">
      <c r="A1459" s="139" t="s">
        <v>3536</v>
      </c>
      <c r="B1459" s="139" t="s">
        <v>3534</v>
      </c>
      <c r="C1459" s="139" t="s">
        <v>112</v>
      </c>
      <c r="D1459" s="139" t="s">
        <v>3537</v>
      </c>
    </row>
    <row r="1460" spans="1:4" x14ac:dyDescent="0.25">
      <c r="A1460" s="139" t="s">
        <v>3538</v>
      </c>
      <c r="B1460" s="139" t="s">
        <v>3539</v>
      </c>
      <c r="C1460" s="139" t="s">
        <v>112</v>
      </c>
      <c r="D1460" s="139" t="s">
        <v>3540</v>
      </c>
    </row>
    <row r="1461" spans="1:4" x14ac:dyDescent="0.25">
      <c r="A1461" s="139" t="s">
        <v>3541</v>
      </c>
      <c r="B1461" s="139" t="s">
        <v>3539</v>
      </c>
      <c r="C1461" s="139" t="s">
        <v>112</v>
      </c>
      <c r="D1461" s="139" t="s">
        <v>3542</v>
      </c>
    </row>
    <row r="1462" spans="1:4" x14ac:dyDescent="0.25">
      <c r="A1462" s="139" t="s">
        <v>3543</v>
      </c>
      <c r="B1462" s="139" t="s">
        <v>3544</v>
      </c>
      <c r="C1462" s="139" t="s">
        <v>112</v>
      </c>
      <c r="D1462" s="139" t="s">
        <v>3545</v>
      </c>
    </row>
    <row r="1463" spans="1:4" x14ac:dyDescent="0.25">
      <c r="A1463" s="139" t="s">
        <v>3546</v>
      </c>
      <c r="B1463" s="139" t="s">
        <v>3544</v>
      </c>
      <c r="C1463" s="139" t="s">
        <v>112</v>
      </c>
      <c r="D1463" s="139" t="s">
        <v>3547</v>
      </c>
    </row>
    <row r="1464" spans="1:4" x14ac:dyDescent="0.25">
      <c r="A1464" s="139" t="s">
        <v>3548</v>
      </c>
      <c r="B1464" s="139" t="s">
        <v>3341</v>
      </c>
      <c r="C1464" s="139" t="s">
        <v>112</v>
      </c>
      <c r="D1464" s="139" t="s">
        <v>3549</v>
      </c>
    </row>
    <row r="1465" spans="1:4" x14ac:dyDescent="0.25">
      <c r="A1465" s="139" t="s">
        <v>3550</v>
      </c>
      <c r="B1465" s="139" t="s">
        <v>3341</v>
      </c>
      <c r="C1465" s="139" t="s">
        <v>112</v>
      </c>
      <c r="D1465" s="139" t="s">
        <v>3551</v>
      </c>
    </row>
    <row r="1466" spans="1:4" x14ac:dyDescent="0.25">
      <c r="A1466" s="139" t="s">
        <v>3552</v>
      </c>
      <c r="B1466" s="139" t="s">
        <v>3338</v>
      </c>
      <c r="C1466" s="139" t="s">
        <v>112</v>
      </c>
      <c r="D1466" s="139" t="s">
        <v>3553</v>
      </c>
    </row>
    <row r="1467" spans="1:4" x14ac:dyDescent="0.25">
      <c r="A1467" s="139" t="s">
        <v>3554</v>
      </c>
      <c r="B1467" s="139" t="s">
        <v>3338</v>
      </c>
      <c r="C1467" s="139" t="s">
        <v>112</v>
      </c>
      <c r="D1467" s="139" t="s">
        <v>3555</v>
      </c>
    </row>
    <row r="1468" spans="1:4" x14ac:dyDescent="0.25">
      <c r="A1468" s="139" t="s">
        <v>3556</v>
      </c>
      <c r="B1468" s="139" t="s">
        <v>3335</v>
      </c>
      <c r="C1468" s="139" t="s">
        <v>112</v>
      </c>
      <c r="D1468" s="139" t="s">
        <v>3557</v>
      </c>
    </row>
    <row r="1469" spans="1:4" x14ac:dyDescent="0.25">
      <c r="A1469" s="139" t="s">
        <v>3558</v>
      </c>
      <c r="B1469" s="139" t="s">
        <v>3335</v>
      </c>
      <c r="C1469" s="139" t="s">
        <v>112</v>
      </c>
      <c r="D1469" s="139" t="s">
        <v>3559</v>
      </c>
    </row>
    <row r="1470" spans="1:4" x14ac:dyDescent="0.25">
      <c r="A1470" s="139" t="s">
        <v>3560</v>
      </c>
      <c r="B1470" s="139" t="s">
        <v>3561</v>
      </c>
      <c r="C1470" s="139" t="s">
        <v>112</v>
      </c>
      <c r="D1470" s="139" t="s">
        <v>3562</v>
      </c>
    </row>
    <row r="1471" spans="1:4" x14ac:dyDescent="0.25">
      <c r="A1471" s="139" t="s">
        <v>3563</v>
      </c>
      <c r="B1471" s="139" t="s">
        <v>3561</v>
      </c>
      <c r="C1471" s="139" t="s">
        <v>112</v>
      </c>
      <c r="D1471" s="139" t="s">
        <v>3564</v>
      </c>
    </row>
    <row r="1472" spans="1:4" x14ac:dyDescent="0.25">
      <c r="A1472" s="139" t="s">
        <v>3565</v>
      </c>
      <c r="B1472" s="139" t="s">
        <v>3332</v>
      </c>
      <c r="C1472" s="139" t="s">
        <v>112</v>
      </c>
      <c r="D1472" s="139" t="s">
        <v>3566</v>
      </c>
    </row>
    <row r="1473" spans="1:4" x14ac:dyDescent="0.25">
      <c r="A1473" s="139" t="s">
        <v>3567</v>
      </c>
      <c r="B1473" s="139" t="s">
        <v>3332</v>
      </c>
      <c r="C1473" s="139" t="s">
        <v>112</v>
      </c>
      <c r="D1473" s="139" t="s">
        <v>3568</v>
      </c>
    </row>
    <row r="1474" spans="1:4" x14ac:dyDescent="0.25">
      <c r="A1474" s="139" t="s">
        <v>3569</v>
      </c>
      <c r="B1474" s="139" t="s">
        <v>3570</v>
      </c>
      <c r="C1474" s="139" t="s">
        <v>112</v>
      </c>
      <c r="D1474" s="139" t="s">
        <v>3571</v>
      </c>
    </row>
    <row r="1475" spans="1:4" x14ac:dyDescent="0.25">
      <c r="A1475" s="139" t="s">
        <v>3572</v>
      </c>
      <c r="B1475" s="139" t="s">
        <v>3570</v>
      </c>
      <c r="C1475" s="139" t="s">
        <v>112</v>
      </c>
      <c r="D1475" s="139" t="s">
        <v>3573</v>
      </c>
    </row>
    <row r="1476" spans="1:4" x14ac:dyDescent="0.25">
      <c r="A1476" s="139" t="s">
        <v>3574</v>
      </c>
      <c r="B1476" s="139" t="s">
        <v>3575</v>
      </c>
      <c r="C1476" s="139" t="s">
        <v>33</v>
      </c>
      <c r="D1476" s="139" t="s">
        <v>3576</v>
      </c>
    </row>
    <row r="1477" spans="1:4" x14ac:dyDescent="0.25">
      <c r="A1477" s="139" t="s">
        <v>3577</v>
      </c>
      <c r="B1477" s="139" t="s">
        <v>3575</v>
      </c>
      <c r="C1477" s="139" t="s">
        <v>33</v>
      </c>
      <c r="D1477" s="139" t="s">
        <v>3578</v>
      </c>
    </row>
    <row r="1478" spans="1:4" x14ac:dyDescent="0.25">
      <c r="A1478" s="139" t="s">
        <v>3579</v>
      </c>
      <c r="B1478" s="139" t="s">
        <v>2770</v>
      </c>
      <c r="C1478" s="139" t="s">
        <v>33</v>
      </c>
      <c r="D1478" s="139" t="s">
        <v>3580</v>
      </c>
    </row>
    <row r="1479" spans="1:4" x14ac:dyDescent="0.25">
      <c r="A1479" s="139" t="s">
        <v>3581</v>
      </c>
      <c r="B1479" s="139" t="s">
        <v>2770</v>
      </c>
      <c r="C1479" s="139" t="s">
        <v>33</v>
      </c>
      <c r="D1479" s="139" t="s">
        <v>3582</v>
      </c>
    </row>
    <row r="1480" spans="1:4" x14ac:dyDescent="0.25">
      <c r="A1480" s="139" t="s">
        <v>3583</v>
      </c>
      <c r="B1480" s="139" t="s">
        <v>3584</v>
      </c>
      <c r="C1480" s="139" t="s">
        <v>33</v>
      </c>
      <c r="D1480" s="139" t="s">
        <v>3585</v>
      </c>
    </row>
    <row r="1481" spans="1:4" x14ac:dyDescent="0.25">
      <c r="A1481" s="139" t="s">
        <v>3586</v>
      </c>
      <c r="B1481" s="139" t="s">
        <v>3584</v>
      </c>
      <c r="C1481" s="139" t="s">
        <v>33</v>
      </c>
      <c r="D1481" s="139" t="s">
        <v>3587</v>
      </c>
    </row>
    <row r="1482" spans="1:4" x14ac:dyDescent="0.25">
      <c r="A1482" s="139" t="s">
        <v>3588</v>
      </c>
      <c r="B1482" s="139" t="s">
        <v>3589</v>
      </c>
      <c r="C1482" s="139" t="s">
        <v>33</v>
      </c>
      <c r="D1482" s="139" t="s">
        <v>3590</v>
      </c>
    </row>
    <row r="1483" spans="1:4" x14ac:dyDescent="0.25">
      <c r="A1483" s="139" t="s">
        <v>3591</v>
      </c>
      <c r="B1483" s="139" t="s">
        <v>3589</v>
      </c>
      <c r="C1483" s="139" t="s">
        <v>33</v>
      </c>
      <c r="D1483" s="139" t="s">
        <v>3592</v>
      </c>
    </row>
    <row r="1484" spans="1:4" x14ac:dyDescent="0.25">
      <c r="A1484" s="139" t="s">
        <v>3593</v>
      </c>
      <c r="B1484" s="139" t="s">
        <v>3307</v>
      </c>
      <c r="C1484" s="139" t="s">
        <v>127</v>
      </c>
      <c r="D1484" s="139" t="s">
        <v>3594</v>
      </c>
    </row>
    <row r="1485" spans="1:4" x14ac:dyDescent="0.25">
      <c r="A1485" s="139" t="s">
        <v>3595</v>
      </c>
      <c r="B1485" s="139" t="s">
        <v>3307</v>
      </c>
      <c r="C1485" s="139" t="s">
        <v>127</v>
      </c>
      <c r="D1485" s="139" t="s">
        <v>3596</v>
      </c>
    </row>
    <row r="1486" spans="1:4" x14ac:dyDescent="0.25">
      <c r="A1486" s="139" t="s">
        <v>3597</v>
      </c>
      <c r="B1486" s="139" t="s">
        <v>3310</v>
      </c>
      <c r="C1486" s="139" t="s">
        <v>127</v>
      </c>
      <c r="D1486" s="139" t="s">
        <v>3598</v>
      </c>
    </row>
    <row r="1487" spans="1:4" x14ac:dyDescent="0.25">
      <c r="A1487" s="139" t="s">
        <v>3599</v>
      </c>
      <c r="B1487" s="139" t="s">
        <v>3310</v>
      </c>
      <c r="C1487" s="139" t="s">
        <v>127</v>
      </c>
      <c r="D1487" s="139" t="s">
        <v>3600</v>
      </c>
    </row>
    <row r="1488" spans="1:4" x14ac:dyDescent="0.25">
      <c r="A1488" s="139" t="s">
        <v>3601</v>
      </c>
      <c r="B1488" s="139" t="s">
        <v>3602</v>
      </c>
      <c r="C1488" s="139" t="s">
        <v>127</v>
      </c>
      <c r="D1488" s="139" t="s">
        <v>3603</v>
      </c>
    </row>
    <row r="1489" spans="1:4" x14ac:dyDescent="0.25">
      <c r="A1489" s="139" t="s">
        <v>3604</v>
      </c>
      <c r="B1489" s="139" t="s">
        <v>3602</v>
      </c>
      <c r="C1489" s="139" t="s">
        <v>127</v>
      </c>
      <c r="D1489" s="139" t="s">
        <v>3605</v>
      </c>
    </row>
    <row r="1490" spans="1:4" x14ac:dyDescent="0.25">
      <c r="A1490" s="139" t="s">
        <v>3606</v>
      </c>
      <c r="B1490" s="139" t="s">
        <v>3316</v>
      </c>
      <c r="C1490" s="139" t="s">
        <v>65</v>
      </c>
      <c r="D1490" s="139" t="s">
        <v>3607</v>
      </c>
    </row>
    <row r="1491" spans="1:4" x14ac:dyDescent="0.25">
      <c r="A1491" s="139" t="s">
        <v>3608</v>
      </c>
      <c r="B1491" s="139" t="s">
        <v>3316</v>
      </c>
      <c r="C1491" s="139" t="s">
        <v>65</v>
      </c>
      <c r="D1491" s="139" t="s">
        <v>3609</v>
      </c>
    </row>
    <row r="1492" spans="1:4" x14ac:dyDescent="0.25">
      <c r="A1492" s="139" t="s">
        <v>3610</v>
      </c>
      <c r="B1492" s="139" t="s">
        <v>154</v>
      </c>
      <c r="C1492" s="139" t="s">
        <v>65</v>
      </c>
      <c r="D1492" s="139" t="s">
        <v>3611</v>
      </c>
    </row>
    <row r="1493" spans="1:4" x14ac:dyDescent="0.25">
      <c r="A1493" s="139" t="s">
        <v>3612</v>
      </c>
      <c r="B1493" s="139" t="s">
        <v>154</v>
      </c>
      <c r="C1493" s="139" t="s">
        <v>65</v>
      </c>
      <c r="D1493" s="139" t="s">
        <v>3613</v>
      </c>
    </row>
    <row r="1494" spans="1:4" x14ac:dyDescent="0.25">
      <c r="A1494" s="139" t="s">
        <v>3614</v>
      </c>
      <c r="B1494" s="139" t="s">
        <v>3301</v>
      </c>
      <c r="C1494" s="139" t="s">
        <v>2895</v>
      </c>
      <c r="D1494" s="139" t="s">
        <v>3615</v>
      </c>
    </row>
    <row r="1495" spans="1:4" x14ac:dyDescent="0.25">
      <c r="A1495" s="139" t="s">
        <v>3616</v>
      </c>
      <c r="B1495" s="139" t="s">
        <v>3301</v>
      </c>
      <c r="C1495" s="139" t="s">
        <v>2895</v>
      </c>
      <c r="D1495" s="139" t="s">
        <v>3617</v>
      </c>
    </row>
    <row r="1496" spans="1:4" x14ac:dyDescent="0.25">
      <c r="A1496" s="139" t="s">
        <v>3618</v>
      </c>
      <c r="B1496" s="139" t="s">
        <v>3313</v>
      </c>
      <c r="C1496" s="139" t="s">
        <v>2895</v>
      </c>
      <c r="D1496" s="139" t="s">
        <v>3619</v>
      </c>
    </row>
    <row r="1497" spans="1:4" x14ac:dyDescent="0.25">
      <c r="A1497" s="139" t="s">
        <v>3620</v>
      </c>
      <c r="B1497" s="139" t="s">
        <v>3313</v>
      </c>
      <c r="C1497" s="139" t="s">
        <v>2895</v>
      </c>
      <c r="D1497" s="139" t="s">
        <v>3621</v>
      </c>
    </row>
    <row r="1498" spans="1:4" x14ac:dyDescent="0.25">
      <c r="A1498" s="139" t="s">
        <v>3622</v>
      </c>
      <c r="B1498" s="139" t="s">
        <v>3623</v>
      </c>
      <c r="C1498" s="139" t="s">
        <v>65</v>
      </c>
      <c r="D1498" s="139" t="s">
        <v>3624</v>
      </c>
    </row>
    <row r="1499" spans="1:4" x14ac:dyDescent="0.25">
      <c r="A1499" s="139" t="s">
        <v>3625</v>
      </c>
      <c r="B1499" s="139" t="s">
        <v>3623</v>
      </c>
      <c r="C1499" s="139" t="s">
        <v>65</v>
      </c>
      <c r="D1499" s="139" t="s">
        <v>3626</v>
      </c>
    </row>
    <row r="1500" spans="1:4" x14ac:dyDescent="0.25">
      <c r="A1500" s="139" t="s">
        <v>3627</v>
      </c>
      <c r="B1500" s="139" t="s">
        <v>3628</v>
      </c>
      <c r="C1500" s="139" t="s">
        <v>2895</v>
      </c>
      <c r="D1500" s="139" t="s">
        <v>3629</v>
      </c>
    </row>
    <row r="1501" spans="1:4" x14ac:dyDescent="0.25">
      <c r="A1501" s="139" t="s">
        <v>3630</v>
      </c>
      <c r="B1501" s="139" t="s">
        <v>3628</v>
      </c>
      <c r="C1501" s="139" t="s">
        <v>2895</v>
      </c>
      <c r="D1501" s="139" t="s">
        <v>3631</v>
      </c>
    </row>
    <row r="1502" spans="1:4" x14ac:dyDescent="0.25">
      <c r="A1502" s="139" t="s">
        <v>3632</v>
      </c>
      <c r="B1502" s="139" t="s">
        <v>3633</v>
      </c>
      <c r="C1502" s="139" t="s">
        <v>65</v>
      </c>
      <c r="D1502" s="139" t="s">
        <v>3634</v>
      </c>
    </row>
    <row r="1503" spans="1:4" x14ac:dyDescent="0.25">
      <c r="A1503" s="139" t="s">
        <v>3635</v>
      </c>
      <c r="B1503" s="139" t="s">
        <v>3633</v>
      </c>
      <c r="C1503" s="139" t="s">
        <v>65</v>
      </c>
      <c r="D1503" s="139" t="s">
        <v>3636</v>
      </c>
    </row>
    <row r="1504" spans="1:4" x14ac:dyDescent="0.25">
      <c r="A1504" s="139" t="s">
        <v>3637</v>
      </c>
      <c r="B1504" s="139" t="s">
        <v>3383</v>
      </c>
      <c r="C1504" s="139" t="s">
        <v>65</v>
      </c>
      <c r="D1504" s="139" t="s">
        <v>3638</v>
      </c>
    </row>
    <row r="1505" spans="1:4" x14ac:dyDescent="0.25">
      <c r="A1505" s="139" t="s">
        <v>3639</v>
      </c>
      <c r="B1505" s="139" t="s">
        <v>3383</v>
      </c>
      <c r="C1505" s="139" t="s">
        <v>65</v>
      </c>
      <c r="D1505" s="139" t="s">
        <v>3640</v>
      </c>
    </row>
    <row r="1506" spans="1:4" x14ac:dyDescent="0.25">
      <c r="A1506" s="139" t="s">
        <v>3641</v>
      </c>
      <c r="B1506" s="139" t="s">
        <v>3642</v>
      </c>
      <c r="C1506" s="139" t="s">
        <v>33</v>
      </c>
      <c r="D1506" s="139" t="s">
        <v>3643</v>
      </c>
    </row>
    <row r="1507" spans="1:4" x14ac:dyDescent="0.25">
      <c r="A1507" s="139" t="s">
        <v>3644</v>
      </c>
      <c r="B1507" s="139" t="s">
        <v>3642</v>
      </c>
      <c r="C1507" s="139" t="s">
        <v>33</v>
      </c>
      <c r="D1507" s="139" t="s">
        <v>3645</v>
      </c>
    </row>
    <row r="1508" spans="1:4" x14ac:dyDescent="0.25">
      <c r="A1508" s="139" t="s">
        <v>3646</v>
      </c>
      <c r="B1508" s="139" t="s">
        <v>3647</v>
      </c>
      <c r="C1508" s="139" t="s">
        <v>33</v>
      </c>
      <c r="D1508" s="139" t="s">
        <v>3648</v>
      </c>
    </row>
    <row r="1509" spans="1:4" x14ac:dyDescent="0.25">
      <c r="A1509" s="139" t="s">
        <v>3649</v>
      </c>
      <c r="B1509" s="139" t="s">
        <v>3647</v>
      </c>
      <c r="C1509" s="139" t="s">
        <v>33</v>
      </c>
      <c r="D1509" s="139" t="s">
        <v>3650</v>
      </c>
    </row>
    <row r="1510" spans="1:4" x14ac:dyDescent="0.25">
      <c r="A1510" s="139" t="s">
        <v>3651</v>
      </c>
      <c r="B1510" s="139" t="s">
        <v>3652</v>
      </c>
      <c r="C1510" s="139" t="s">
        <v>33</v>
      </c>
      <c r="D1510" s="139" t="s">
        <v>3653</v>
      </c>
    </row>
    <row r="1511" spans="1:4" x14ac:dyDescent="0.25">
      <c r="A1511" s="139" t="s">
        <v>3654</v>
      </c>
      <c r="B1511" s="139" t="s">
        <v>3652</v>
      </c>
      <c r="C1511" s="139" t="s">
        <v>33</v>
      </c>
      <c r="D1511" s="139" t="s">
        <v>3655</v>
      </c>
    </row>
    <row r="1512" spans="1:4" x14ac:dyDescent="0.25">
      <c r="A1512" s="139" t="s">
        <v>3656</v>
      </c>
      <c r="B1512" s="139" t="s">
        <v>3657</v>
      </c>
      <c r="C1512" s="139" t="s">
        <v>33</v>
      </c>
      <c r="D1512" s="139" t="s">
        <v>3658</v>
      </c>
    </row>
    <row r="1513" spans="1:4" x14ac:dyDescent="0.25">
      <c r="A1513" s="139" t="s">
        <v>3659</v>
      </c>
      <c r="B1513" s="139" t="s">
        <v>3657</v>
      </c>
      <c r="C1513" s="139" t="s">
        <v>33</v>
      </c>
      <c r="D1513" s="139" t="s">
        <v>3660</v>
      </c>
    </row>
    <row r="1514" spans="1:4" x14ac:dyDescent="0.25">
      <c r="A1514" s="139" t="s">
        <v>3661</v>
      </c>
      <c r="B1514" s="139" t="s">
        <v>3662</v>
      </c>
      <c r="C1514" s="139" t="s">
        <v>33</v>
      </c>
      <c r="D1514" s="139" t="s">
        <v>3663</v>
      </c>
    </row>
    <row r="1515" spans="1:4" x14ac:dyDescent="0.25">
      <c r="A1515" s="139" t="s">
        <v>3664</v>
      </c>
      <c r="B1515" s="139" t="s">
        <v>3662</v>
      </c>
      <c r="C1515" s="139" t="s">
        <v>33</v>
      </c>
      <c r="D1515" s="139" t="s">
        <v>3665</v>
      </c>
    </row>
    <row r="1516" spans="1:4" x14ac:dyDescent="0.25">
      <c r="A1516" s="139" t="s">
        <v>3666</v>
      </c>
      <c r="B1516" s="139" t="s">
        <v>3667</v>
      </c>
      <c r="C1516" s="139" t="s">
        <v>65</v>
      </c>
      <c r="D1516" s="139" t="s">
        <v>3668</v>
      </c>
    </row>
    <row r="1517" spans="1:4" x14ac:dyDescent="0.25">
      <c r="A1517" s="139" t="s">
        <v>3669</v>
      </c>
      <c r="B1517" s="139" t="s">
        <v>3667</v>
      </c>
      <c r="C1517" s="139" t="s">
        <v>65</v>
      </c>
      <c r="D1517" s="139" t="s">
        <v>3670</v>
      </c>
    </row>
    <row r="1518" spans="1:4" x14ac:dyDescent="0.25">
      <c r="A1518" s="139" t="s">
        <v>3671</v>
      </c>
      <c r="B1518" s="139" t="s">
        <v>3672</v>
      </c>
      <c r="C1518" s="139" t="s">
        <v>65</v>
      </c>
      <c r="D1518" s="139" t="s">
        <v>3673</v>
      </c>
    </row>
    <row r="1519" spans="1:4" x14ac:dyDescent="0.25">
      <c r="A1519" s="139" t="s">
        <v>3674</v>
      </c>
      <c r="B1519" s="139" t="s">
        <v>3672</v>
      </c>
      <c r="C1519" s="139" t="s">
        <v>65</v>
      </c>
      <c r="D1519" s="139" t="s">
        <v>3675</v>
      </c>
    </row>
    <row r="1520" spans="1:4" x14ac:dyDescent="0.25">
      <c r="A1520" s="139" t="s">
        <v>3676</v>
      </c>
      <c r="B1520" s="139" t="s">
        <v>3602</v>
      </c>
      <c r="C1520" s="139" t="s">
        <v>123</v>
      </c>
      <c r="D1520" s="139" t="s">
        <v>3677</v>
      </c>
    </row>
    <row r="1521" spans="1:4" x14ac:dyDescent="0.25">
      <c r="A1521" s="139" t="s">
        <v>3678</v>
      </c>
      <c r="B1521" s="139" t="s">
        <v>3679</v>
      </c>
      <c r="C1521" s="139" t="s">
        <v>112</v>
      </c>
      <c r="D1521" s="139" t="s">
        <v>3680</v>
      </c>
    </row>
    <row r="1522" spans="1:4" x14ac:dyDescent="0.25">
      <c r="A1522" s="139" t="s">
        <v>3681</v>
      </c>
      <c r="B1522" s="139" t="s">
        <v>3679</v>
      </c>
      <c r="C1522" s="139" t="s">
        <v>112</v>
      </c>
      <c r="D1522" s="139" t="s">
        <v>3682</v>
      </c>
    </row>
    <row r="1523" spans="1:4" x14ac:dyDescent="0.25">
      <c r="A1523" s="139" t="s">
        <v>3683</v>
      </c>
      <c r="B1523" s="139" t="s">
        <v>3684</v>
      </c>
      <c r="C1523" s="139" t="s">
        <v>112</v>
      </c>
      <c r="D1523" s="139" t="s">
        <v>3685</v>
      </c>
    </row>
    <row r="1524" spans="1:4" x14ac:dyDescent="0.25">
      <c r="A1524" s="139" t="s">
        <v>3686</v>
      </c>
      <c r="B1524" s="139" t="s">
        <v>3684</v>
      </c>
      <c r="C1524" s="139" t="s">
        <v>112</v>
      </c>
      <c r="D1524" s="139" t="s">
        <v>3687</v>
      </c>
    </row>
    <row r="1525" spans="1:4" x14ac:dyDescent="0.25">
      <c r="A1525" s="139" t="s">
        <v>3688</v>
      </c>
      <c r="B1525" s="139" t="s">
        <v>3689</v>
      </c>
      <c r="C1525" s="139" t="s">
        <v>112</v>
      </c>
      <c r="D1525" s="139" t="s">
        <v>3690</v>
      </c>
    </row>
    <row r="1526" spans="1:4" x14ac:dyDescent="0.25">
      <c r="A1526" s="139" t="s">
        <v>3691</v>
      </c>
      <c r="B1526" s="139" t="s">
        <v>3689</v>
      </c>
      <c r="C1526" s="139" t="s">
        <v>112</v>
      </c>
      <c r="D1526" s="139" t="s">
        <v>3692</v>
      </c>
    </row>
    <row r="1527" spans="1:4" x14ac:dyDescent="0.25">
      <c r="A1527" s="139" t="s">
        <v>3693</v>
      </c>
      <c r="B1527" s="139" t="s">
        <v>3694</v>
      </c>
      <c r="C1527" s="139" t="s">
        <v>112</v>
      </c>
      <c r="D1527" s="139" t="s">
        <v>3695</v>
      </c>
    </row>
    <row r="1528" spans="1:4" x14ac:dyDescent="0.25">
      <c r="A1528" s="139" t="s">
        <v>3696</v>
      </c>
      <c r="B1528" s="139" t="s">
        <v>3694</v>
      </c>
      <c r="C1528" s="139" t="s">
        <v>112</v>
      </c>
      <c r="D1528" s="139" t="s">
        <v>3697</v>
      </c>
    </row>
    <row r="1529" spans="1:4" x14ac:dyDescent="0.25">
      <c r="A1529" s="139" t="s">
        <v>3698</v>
      </c>
      <c r="B1529" s="139" t="s">
        <v>3699</v>
      </c>
      <c r="C1529" s="139" t="s">
        <v>112</v>
      </c>
      <c r="D1529" s="139" t="s">
        <v>3700</v>
      </c>
    </row>
    <row r="1530" spans="1:4" x14ac:dyDescent="0.25">
      <c r="A1530" s="139" t="s">
        <v>3701</v>
      </c>
      <c r="B1530" s="139" t="s">
        <v>3699</v>
      </c>
      <c r="C1530" s="139" t="s">
        <v>112</v>
      </c>
      <c r="D1530" s="139" t="s">
        <v>3702</v>
      </c>
    </row>
    <row r="1531" spans="1:4" x14ac:dyDescent="0.25">
      <c r="A1531" s="139" t="s">
        <v>3703</v>
      </c>
      <c r="B1531" s="139" t="s">
        <v>3704</v>
      </c>
      <c r="C1531" s="139" t="s">
        <v>112</v>
      </c>
      <c r="D1531" s="139" t="s">
        <v>3705</v>
      </c>
    </row>
    <row r="1532" spans="1:4" x14ac:dyDescent="0.25">
      <c r="A1532" s="139" t="s">
        <v>3706</v>
      </c>
      <c r="B1532" s="139" t="s">
        <v>3704</v>
      </c>
      <c r="C1532" s="139" t="s">
        <v>112</v>
      </c>
      <c r="D1532" s="139" t="s">
        <v>3707</v>
      </c>
    </row>
    <row r="1533" spans="1:4" x14ac:dyDescent="0.25">
      <c r="A1533" s="139" t="s">
        <v>3708</v>
      </c>
      <c r="B1533" s="139" t="s">
        <v>3709</v>
      </c>
      <c r="C1533" s="139" t="s">
        <v>112</v>
      </c>
      <c r="D1533" s="139" t="s">
        <v>3710</v>
      </c>
    </row>
    <row r="1534" spans="1:4" x14ac:dyDescent="0.25">
      <c r="A1534" s="139" t="s">
        <v>3711</v>
      </c>
      <c r="B1534" s="139" t="s">
        <v>3709</v>
      </c>
      <c r="C1534" s="139" t="s">
        <v>112</v>
      </c>
      <c r="D1534" s="139" t="s">
        <v>3712</v>
      </c>
    </row>
    <row r="1535" spans="1:4" x14ac:dyDescent="0.25">
      <c r="A1535" s="139" t="s">
        <v>3713</v>
      </c>
      <c r="B1535" s="139" t="s">
        <v>3714</v>
      </c>
      <c r="C1535" s="139" t="s">
        <v>112</v>
      </c>
      <c r="D1535" s="139" t="s">
        <v>3715</v>
      </c>
    </row>
    <row r="1536" spans="1:4" x14ac:dyDescent="0.25">
      <c r="A1536" s="139" t="s">
        <v>3716</v>
      </c>
      <c r="B1536" s="139" t="s">
        <v>3714</v>
      </c>
      <c r="C1536" s="139" t="s">
        <v>112</v>
      </c>
      <c r="D1536" s="139" t="s">
        <v>3717</v>
      </c>
    </row>
    <row r="1537" spans="1:4" x14ac:dyDescent="0.25">
      <c r="A1537" s="139" t="s">
        <v>3718</v>
      </c>
      <c r="B1537" s="139" t="s">
        <v>3719</v>
      </c>
      <c r="C1537" s="139" t="s">
        <v>65</v>
      </c>
      <c r="D1537" s="139" t="s">
        <v>3720</v>
      </c>
    </row>
    <row r="1538" spans="1:4" x14ac:dyDescent="0.25">
      <c r="A1538" s="139" t="s">
        <v>3721</v>
      </c>
      <c r="B1538" s="139" t="s">
        <v>3719</v>
      </c>
      <c r="C1538" s="139" t="s">
        <v>65</v>
      </c>
      <c r="D1538" s="139" t="s">
        <v>3722</v>
      </c>
    </row>
    <row r="1539" spans="1:4" x14ac:dyDescent="0.25">
      <c r="A1539" s="139" t="s">
        <v>3723</v>
      </c>
      <c r="B1539" s="139" t="s">
        <v>3724</v>
      </c>
      <c r="C1539" s="139" t="s">
        <v>65</v>
      </c>
      <c r="D1539" s="139" t="s">
        <v>3725</v>
      </c>
    </row>
    <row r="1540" spans="1:4" x14ac:dyDescent="0.25">
      <c r="A1540" s="139" t="s">
        <v>3726</v>
      </c>
      <c r="B1540" s="139" t="s">
        <v>3724</v>
      </c>
      <c r="C1540" s="139" t="s">
        <v>65</v>
      </c>
      <c r="D1540" s="139" t="s">
        <v>3727</v>
      </c>
    </row>
    <row r="1541" spans="1:4" x14ac:dyDescent="0.25">
      <c r="A1541" s="139" t="s">
        <v>3728</v>
      </c>
      <c r="B1541" s="139" t="s">
        <v>3729</v>
      </c>
      <c r="C1541" s="139" t="s">
        <v>658</v>
      </c>
      <c r="D1541" s="139" t="s">
        <v>3730</v>
      </c>
    </row>
    <row r="1542" spans="1:4" x14ac:dyDescent="0.25">
      <c r="A1542" s="139" t="s">
        <v>3731</v>
      </c>
      <c r="B1542" s="139" t="s">
        <v>3729</v>
      </c>
      <c r="C1542" s="139" t="s">
        <v>658</v>
      </c>
      <c r="D1542" s="139" t="s">
        <v>3732</v>
      </c>
    </row>
    <row r="1543" spans="1:4" x14ac:dyDescent="0.25">
      <c r="A1543" s="139" t="s">
        <v>3733</v>
      </c>
      <c r="B1543" s="139" t="s">
        <v>3734</v>
      </c>
      <c r="C1543" s="139" t="s">
        <v>658</v>
      </c>
      <c r="D1543" s="139" t="s">
        <v>3735</v>
      </c>
    </row>
    <row r="1544" spans="1:4" x14ac:dyDescent="0.25">
      <c r="A1544" s="139" t="s">
        <v>3736</v>
      </c>
      <c r="B1544" s="139" t="s">
        <v>3734</v>
      </c>
      <c r="C1544" s="139" t="s">
        <v>658</v>
      </c>
      <c r="D1544" s="139" t="s">
        <v>3737</v>
      </c>
    </row>
    <row r="1545" spans="1:4" x14ac:dyDescent="0.25">
      <c r="A1545" s="139" t="s">
        <v>3738</v>
      </c>
      <c r="B1545" s="139" t="s">
        <v>3739</v>
      </c>
      <c r="C1545" s="139" t="s">
        <v>127</v>
      </c>
      <c r="D1545" s="139" t="s">
        <v>3740</v>
      </c>
    </row>
    <row r="1546" spans="1:4" x14ac:dyDescent="0.25">
      <c r="A1546" s="139" t="s">
        <v>3741</v>
      </c>
      <c r="B1546" s="139" t="s">
        <v>3739</v>
      </c>
      <c r="C1546" s="139" t="s">
        <v>127</v>
      </c>
      <c r="D1546" s="139" t="s">
        <v>3742</v>
      </c>
    </row>
    <row r="1547" spans="1:4" x14ac:dyDescent="0.25">
      <c r="A1547" s="139" t="s">
        <v>3743</v>
      </c>
      <c r="B1547" s="139" t="s">
        <v>3744</v>
      </c>
      <c r="C1547" s="139" t="s">
        <v>127</v>
      </c>
      <c r="D1547" s="139" t="s">
        <v>3745</v>
      </c>
    </row>
    <row r="1548" spans="1:4" x14ac:dyDescent="0.25">
      <c r="A1548" s="139" t="s">
        <v>3746</v>
      </c>
      <c r="B1548" s="139" t="s">
        <v>3744</v>
      </c>
      <c r="C1548" s="139" t="s">
        <v>127</v>
      </c>
      <c r="D1548" s="139" t="s">
        <v>3747</v>
      </c>
    </row>
    <row r="1549" spans="1:4" x14ac:dyDescent="0.25">
      <c r="A1549" s="139" t="s">
        <v>3748</v>
      </c>
      <c r="B1549" s="139" t="s">
        <v>3749</v>
      </c>
      <c r="C1549" s="139" t="s">
        <v>127</v>
      </c>
      <c r="D1549" s="139" t="s">
        <v>3750</v>
      </c>
    </row>
    <row r="1550" spans="1:4" x14ac:dyDescent="0.25">
      <c r="A1550" s="139" t="s">
        <v>3751</v>
      </c>
      <c r="B1550" s="139" t="s">
        <v>3749</v>
      </c>
      <c r="C1550" s="139" t="s">
        <v>127</v>
      </c>
      <c r="D1550" s="139" t="s">
        <v>3752</v>
      </c>
    </row>
    <row r="1551" spans="1:4" x14ac:dyDescent="0.25">
      <c r="A1551" s="139" t="s">
        <v>3753</v>
      </c>
      <c r="B1551" s="139" t="s">
        <v>3754</v>
      </c>
      <c r="C1551" s="139" t="s">
        <v>127</v>
      </c>
      <c r="D1551" s="139" t="s">
        <v>3755</v>
      </c>
    </row>
    <row r="1552" spans="1:4" x14ac:dyDescent="0.25">
      <c r="A1552" s="139" t="s">
        <v>3756</v>
      </c>
      <c r="B1552" s="139" t="s">
        <v>3754</v>
      </c>
      <c r="C1552" s="139" t="s">
        <v>127</v>
      </c>
      <c r="D1552" s="139" t="s">
        <v>3757</v>
      </c>
    </row>
    <row r="1553" spans="1:4" x14ac:dyDescent="0.25">
      <c r="A1553" s="139" t="s">
        <v>3758</v>
      </c>
      <c r="B1553" s="139" t="s">
        <v>1469</v>
      </c>
      <c r="C1553" s="139" t="s">
        <v>65</v>
      </c>
      <c r="D1553" s="139" t="s">
        <v>3759</v>
      </c>
    </row>
    <row r="1554" spans="1:4" x14ac:dyDescent="0.25">
      <c r="A1554" s="139" t="s">
        <v>3760</v>
      </c>
      <c r="B1554" s="139" t="s">
        <v>1469</v>
      </c>
      <c r="C1554" s="139" t="s">
        <v>65</v>
      </c>
      <c r="D1554" s="139" t="s">
        <v>3761</v>
      </c>
    </row>
    <row r="1555" spans="1:4" x14ac:dyDescent="0.25">
      <c r="A1555" s="139" t="s">
        <v>3762</v>
      </c>
      <c r="B1555" s="139" t="s">
        <v>1233</v>
      </c>
      <c r="C1555" s="139" t="s">
        <v>65</v>
      </c>
      <c r="D1555" s="139" t="s">
        <v>3763</v>
      </c>
    </row>
    <row r="1556" spans="1:4" x14ac:dyDescent="0.25">
      <c r="A1556" s="139" t="s">
        <v>3764</v>
      </c>
      <c r="B1556" s="139" t="s">
        <v>1233</v>
      </c>
      <c r="C1556" s="139" t="s">
        <v>65</v>
      </c>
      <c r="D1556" s="139" t="s">
        <v>3765</v>
      </c>
    </row>
    <row r="1557" spans="1:4" x14ac:dyDescent="0.25">
      <c r="A1557" s="139" t="s">
        <v>3766</v>
      </c>
      <c r="B1557" s="139" t="s">
        <v>3767</v>
      </c>
      <c r="C1557" s="139" t="s">
        <v>65</v>
      </c>
      <c r="D1557" s="139" t="s">
        <v>3768</v>
      </c>
    </row>
    <row r="1558" spans="1:4" x14ac:dyDescent="0.25">
      <c r="A1558" s="139" t="s">
        <v>3769</v>
      </c>
      <c r="B1558" s="139" t="s">
        <v>3767</v>
      </c>
      <c r="C1558" s="139" t="s">
        <v>65</v>
      </c>
      <c r="D1558" s="139" t="s">
        <v>3770</v>
      </c>
    </row>
    <row r="1559" spans="1:4" x14ac:dyDescent="0.25">
      <c r="A1559" s="139" t="s">
        <v>3771</v>
      </c>
      <c r="B1559" s="139" t="s">
        <v>3772</v>
      </c>
      <c r="C1559" s="139" t="s">
        <v>33</v>
      </c>
      <c r="D1559" s="139" t="s">
        <v>3773</v>
      </c>
    </row>
    <row r="1560" spans="1:4" x14ac:dyDescent="0.25">
      <c r="A1560" s="139" t="s">
        <v>3774</v>
      </c>
      <c r="B1560" s="139" t="s">
        <v>3772</v>
      </c>
      <c r="C1560" s="139" t="s">
        <v>33</v>
      </c>
      <c r="D1560" s="139" t="s">
        <v>3775</v>
      </c>
    </row>
    <row r="1561" spans="1:4" x14ac:dyDescent="0.25">
      <c r="A1561" s="139" t="s">
        <v>3776</v>
      </c>
      <c r="B1561" s="139" t="s">
        <v>3777</v>
      </c>
      <c r="C1561" s="139" t="s">
        <v>33</v>
      </c>
      <c r="D1561" s="139" t="s">
        <v>3778</v>
      </c>
    </row>
    <row r="1562" spans="1:4" x14ac:dyDescent="0.25">
      <c r="A1562" s="139" t="s">
        <v>3779</v>
      </c>
      <c r="B1562" s="139" t="s">
        <v>3777</v>
      </c>
      <c r="C1562" s="139" t="s">
        <v>33</v>
      </c>
      <c r="D1562" s="139" t="s">
        <v>3780</v>
      </c>
    </row>
    <row r="1563" spans="1:4" x14ac:dyDescent="0.25">
      <c r="A1563" s="139" t="s">
        <v>3781</v>
      </c>
      <c r="B1563" s="139" t="s">
        <v>3782</v>
      </c>
      <c r="C1563" s="139" t="s">
        <v>33</v>
      </c>
      <c r="D1563" s="139" t="s">
        <v>3783</v>
      </c>
    </row>
    <row r="1564" spans="1:4" x14ac:dyDescent="0.25">
      <c r="A1564" s="139" t="s">
        <v>3784</v>
      </c>
      <c r="B1564" s="139" t="s">
        <v>3782</v>
      </c>
      <c r="C1564" s="139" t="s">
        <v>33</v>
      </c>
      <c r="D1564" s="139" t="s">
        <v>3785</v>
      </c>
    </row>
    <row r="1565" spans="1:4" x14ac:dyDescent="0.25">
      <c r="A1565" s="139" t="s">
        <v>3786</v>
      </c>
      <c r="B1565" s="139" t="s">
        <v>3787</v>
      </c>
      <c r="C1565" s="139" t="s">
        <v>33</v>
      </c>
      <c r="D1565" s="139" t="s">
        <v>3788</v>
      </c>
    </row>
    <row r="1566" spans="1:4" x14ac:dyDescent="0.25">
      <c r="A1566" s="139" t="s">
        <v>3789</v>
      </c>
      <c r="B1566" s="139" t="s">
        <v>3787</v>
      </c>
      <c r="C1566" s="139" t="s">
        <v>33</v>
      </c>
      <c r="D1566" s="139" t="s">
        <v>3790</v>
      </c>
    </row>
    <row r="1567" spans="1:4" x14ac:dyDescent="0.25">
      <c r="A1567" s="139" t="s">
        <v>3791</v>
      </c>
      <c r="B1567" s="139" t="s">
        <v>3792</v>
      </c>
      <c r="C1567" s="139" t="s">
        <v>33</v>
      </c>
      <c r="D1567" s="139" t="s">
        <v>3793</v>
      </c>
    </row>
    <row r="1568" spans="1:4" x14ac:dyDescent="0.25">
      <c r="A1568" s="139" t="s">
        <v>3794</v>
      </c>
      <c r="B1568" s="139" t="s">
        <v>3792</v>
      </c>
      <c r="C1568" s="139" t="s">
        <v>33</v>
      </c>
      <c r="D1568" s="139" t="s">
        <v>3795</v>
      </c>
    </row>
    <row r="1569" spans="1:4" x14ac:dyDescent="0.25">
      <c r="A1569" s="139" t="s">
        <v>3796</v>
      </c>
      <c r="B1569" s="139" t="s">
        <v>3797</v>
      </c>
      <c r="C1569" s="139" t="s">
        <v>33</v>
      </c>
      <c r="D1569" s="139" t="s">
        <v>3798</v>
      </c>
    </row>
    <row r="1570" spans="1:4" x14ac:dyDescent="0.25">
      <c r="A1570" s="139" t="s">
        <v>3799</v>
      </c>
      <c r="B1570" s="139" t="s">
        <v>3797</v>
      </c>
      <c r="C1570" s="139" t="s">
        <v>33</v>
      </c>
      <c r="D1570" s="139" t="s">
        <v>3800</v>
      </c>
    </row>
    <row r="1571" spans="1:4" x14ac:dyDescent="0.25">
      <c r="A1571" s="139" t="s">
        <v>3801</v>
      </c>
      <c r="B1571" s="139" t="s">
        <v>3802</v>
      </c>
      <c r="C1571" s="139" t="s">
        <v>33</v>
      </c>
      <c r="D1571" s="139" t="s">
        <v>3803</v>
      </c>
    </row>
    <row r="1572" spans="1:4" x14ac:dyDescent="0.25">
      <c r="A1572" s="139" t="s">
        <v>3804</v>
      </c>
      <c r="B1572" s="139" t="s">
        <v>3802</v>
      </c>
      <c r="C1572" s="139" t="s">
        <v>33</v>
      </c>
      <c r="D1572" s="139" t="s">
        <v>3805</v>
      </c>
    </row>
    <row r="1573" spans="1:4" x14ac:dyDescent="0.25">
      <c r="A1573" s="139" t="s">
        <v>3806</v>
      </c>
      <c r="B1573" s="139" t="s">
        <v>3807</v>
      </c>
      <c r="C1573" s="139" t="s">
        <v>33</v>
      </c>
      <c r="D1573" s="139" t="s">
        <v>3808</v>
      </c>
    </row>
    <row r="1574" spans="1:4" x14ac:dyDescent="0.25">
      <c r="A1574" s="139" t="s">
        <v>3809</v>
      </c>
      <c r="B1574" s="139" t="s">
        <v>3807</v>
      </c>
      <c r="C1574" s="139" t="s">
        <v>33</v>
      </c>
      <c r="D1574" s="139" t="s">
        <v>3810</v>
      </c>
    </row>
    <row r="1575" spans="1:4" x14ac:dyDescent="0.25">
      <c r="A1575" s="139" t="s">
        <v>3811</v>
      </c>
      <c r="B1575" s="139" t="s">
        <v>3812</v>
      </c>
      <c r="C1575" s="139" t="s">
        <v>33</v>
      </c>
      <c r="D1575" s="139" t="s">
        <v>3813</v>
      </c>
    </row>
    <row r="1576" spans="1:4" x14ac:dyDescent="0.25">
      <c r="A1576" s="139" t="s">
        <v>3814</v>
      </c>
      <c r="B1576" s="139" t="s">
        <v>3812</v>
      </c>
      <c r="C1576" s="139" t="s">
        <v>33</v>
      </c>
      <c r="D1576" s="139" t="s">
        <v>3815</v>
      </c>
    </row>
    <row r="1577" spans="1:4" x14ac:dyDescent="0.25">
      <c r="A1577" s="139" t="s">
        <v>3816</v>
      </c>
      <c r="B1577" s="139" t="s">
        <v>3817</v>
      </c>
      <c r="C1577" s="139" t="s">
        <v>33</v>
      </c>
      <c r="D1577" s="139" t="s">
        <v>3818</v>
      </c>
    </row>
    <row r="1578" spans="1:4" x14ac:dyDescent="0.25">
      <c r="A1578" s="139" t="s">
        <v>3819</v>
      </c>
      <c r="B1578" s="139" t="s">
        <v>3817</v>
      </c>
      <c r="C1578" s="139" t="s">
        <v>33</v>
      </c>
      <c r="D1578" s="139" t="s">
        <v>3820</v>
      </c>
    </row>
    <row r="1579" spans="1:4" x14ac:dyDescent="0.25">
      <c r="A1579" s="139" t="s">
        <v>3821</v>
      </c>
      <c r="B1579" s="139" t="s">
        <v>3822</v>
      </c>
      <c r="C1579" s="139" t="s">
        <v>33</v>
      </c>
      <c r="D1579" s="139" t="s">
        <v>3823</v>
      </c>
    </row>
    <row r="1580" spans="1:4" x14ac:dyDescent="0.25">
      <c r="A1580" s="139" t="s">
        <v>3824</v>
      </c>
      <c r="B1580" s="139" t="s">
        <v>3822</v>
      </c>
      <c r="C1580" s="139" t="s">
        <v>33</v>
      </c>
      <c r="D1580" s="139" t="s">
        <v>3825</v>
      </c>
    </row>
    <row r="1581" spans="1:4" x14ac:dyDescent="0.25">
      <c r="A1581" s="139" t="s">
        <v>3826</v>
      </c>
      <c r="B1581" s="139" t="s">
        <v>3827</v>
      </c>
      <c r="C1581" s="139" t="s">
        <v>33</v>
      </c>
      <c r="D1581" s="139" t="s">
        <v>3828</v>
      </c>
    </row>
    <row r="1582" spans="1:4" x14ac:dyDescent="0.25">
      <c r="A1582" s="139" t="s">
        <v>3829</v>
      </c>
      <c r="B1582" s="139" t="s">
        <v>3827</v>
      </c>
      <c r="C1582" s="139" t="s">
        <v>33</v>
      </c>
      <c r="D1582" s="139" t="s">
        <v>3830</v>
      </c>
    </row>
    <row r="1583" spans="1:4" x14ac:dyDescent="0.25">
      <c r="A1583" s="139" t="s">
        <v>3831</v>
      </c>
      <c r="B1583" s="139" t="s">
        <v>3832</v>
      </c>
      <c r="C1583" s="139" t="s">
        <v>33</v>
      </c>
      <c r="D1583" s="139" t="s">
        <v>3833</v>
      </c>
    </row>
    <row r="1584" spans="1:4" x14ac:dyDescent="0.25">
      <c r="A1584" s="139" t="s">
        <v>3834</v>
      </c>
      <c r="B1584" s="139" t="s">
        <v>3832</v>
      </c>
      <c r="C1584" s="139" t="s">
        <v>33</v>
      </c>
      <c r="D1584" s="139" t="s">
        <v>3835</v>
      </c>
    </row>
    <row r="1585" spans="1:4" x14ac:dyDescent="0.25">
      <c r="A1585" s="139" t="s">
        <v>3836</v>
      </c>
      <c r="B1585" s="139" t="s">
        <v>3837</v>
      </c>
      <c r="C1585" s="139" t="s">
        <v>33</v>
      </c>
      <c r="D1585" s="139" t="s">
        <v>3838</v>
      </c>
    </row>
    <row r="1586" spans="1:4" x14ac:dyDescent="0.25">
      <c r="A1586" s="139" t="s">
        <v>3839</v>
      </c>
      <c r="B1586" s="139" t="s">
        <v>3837</v>
      </c>
      <c r="C1586" s="139" t="s">
        <v>33</v>
      </c>
      <c r="D1586" s="139" t="s">
        <v>3840</v>
      </c>
    </row>
    <row r="1587" spans="1:4" x14ac:dyDescent="0.25">
      <c r="A1587" s="139" t="s">
        <v>3841</v>
      </c>
      <c r="B1587" s="139" t="s">
        <v>3842</v>
      </c>
      <c r="C1587" s="139" t="s">
        <v>33</v>
      </c>
      <c r="D1587" s="139" t="s">
        <v>3843</v>
      </c>
    </row>
    <row r="1588" spans="1:4" x14ac:dyDescent="0.25">
      <c r="A1588" s="139" t="s">
        <v>3844</v>
      </c>
      <c r="B1588" s="139" t="s">
        <v>3842</v>
      </c>
      <c r="C1588" s="139" t="s">
        <v>33</v>
      </c>
      <c r="D1588" s="139" t="s">
        <v>3845</v>
      </c>
    </row>
    <row r="1589" spans="1:4" x14ac:dyDescent="0.25">
      <c r="A1589" s="139" t="s">
        <v>3846</v>
      </c>
      <c r="B1589" s="139" t="s">
        <v>3847</v>
      </c>
      <c r="C1589" s="139" t="s">
        <v>33</v>
      </c>
      <c r="D1589" s="139" t="s">
        <v>3848</v>
      </c>
    </row>
    <row r="1590" spans="1:4" x14ac:dyDescent="0.25">
      <c r="A1590" s="139" t="s">
        <v>3849</v>
      </c>
      <c r="B1590" s="139" t="s">
        <v>3847</v>
      </c>
      <c r="C1590" s="139" t="s">
        <v>33</v>
      </c>
      <c r="D1590" s="139" t="s">
        <v>3850</v>
      </c>
    </row>
    <row r="1591" spans="1:4" x14ac:dyDescent="0.25">
      <c r="A1591" s="139" t="s">
        <v>3851</v>
      </c>
      <c r="B1591" s="139" t="s">
        <v>3852</v>
      </c>
      <c r="C1591" s="139" t="s">
        <v>33</v>
      </c>
      <c r="D1591" s="139" t="s">
        <v>3853</v>
      </c>
    </row>
    <row r="1592" spans="1:4" x14ac:dyDescent="0.25">
      <c r="A1592" s="139" t="s">
        <v>3854</v>
      </c>
      <c r="B1592" s="139" t="s">
        <v>3852</v>
      </c>
      <c r="C1592" s="139" t="s">
        <v>33</v>
      </c>
      <c r="D1592" s="139" t="s">
        <v>3855</v>
      </c>
    </row>
    <row r="1593" spans="1:4" x14ac:dyDescent="0.25">
      <c r="A1593" s="139" t="s">
        <v>3856</v>
      </c>
      <c r="B1593" s="139" t="s">
        <v>3857</v>
      </c>
      <c r="C1593" s="139" t="s">
        <v>33</v>
      </c>
      <c r="D1593" s="139" t="s">
        <v>3858</v>
      </c>
    </row>
    <row r="1594" spans="1:4" x14ac:dyDescent="0.25">
      <c r="A1594" s="139" t="s">
        <v>3859</v>
      </c>
      <c r="B1594" s="139" t="s">
        <v>3857</v>
      </c>
      <c r="C1594" s="139" t="s">
        <v>33</v>
      </c>
      <c r="D1594" s="139" t="s">
        <v>3860</v>
      </c>
    </row>
    <row r="1595" spans="1:4" x14ac:dyDescent="0.25">
      <c r="A1595" s="139" t="s">
        <v>3861</v>
      </c>
      <c r="B1595" s="139" t="s">
        <v>3862</v>
      </c>
      <c r="C1595" s="139" t="s">
        <v>127</v>
      </c>
      <c r="D1595" s="139" t="s">
        <v>3863</v>
      </c>
    </row>
    <row r="1596" spans="1:4" x14ac:dyDescent="0.25">
      <c r="A1596" s="139" t="s">
        <v>3864</v>
      </c>
      <c r="B1596" s="139" t="s">
        <v>3862</v>
      </c>
      <c r="C1596" s="139" t="s">
        <v>127</v>
      </c>
      <c r="D1596" s="139" t="s">
        <v>3865</v>
      </c>
    </row>
    <row r="1597" spans="1:4" x14ac:dyDescent="0.25">
      <c r="A1597" s="139" t="s">
        <v>3866</v>
      </c>
      <c r="B1597" s="139" t="s">
        <v>3867</v>
      </c>
      <c r="C1597" s="139" t="s">
        <v>127</v>
      </c>
      <c r="D1597" s="139" t="s">
        <v>3868</v>
      </c>
    </row>
    <row r="1598" spans="1:4" x14ac:dyDescent="0.25">
      <c r="A1598" s="139" t="s">
        <v>3869</v>
      </c>
      <c r="B1598" s="139" t="s">
        <v>3867</v>
      </c>
      <c r="C1598" s="139" t="s">
        <v>127</v>
      </c>
      <c r="D1598" s="139" t="s">
        <v>3870</v>
      </c>
    </row>
    <row r="1599" spans="1:4" x14ac:dyDescent="0.25">
      <c r="A1599" s="139" t="s">
        <v>3871</v>
      </c>
      <c r="B1599" s="139" t="s">
        <v>3872</v>
      </c>
      <c r="C1599" s="139" t="s">
        <v>127</v>
      </c>
      <c r="D1599" s="139" t="s">
        <v>3873</v>
      </c>
    </row>
    <row r="1600" spans="1:4" x14ac:dyDescent="0.25">
      <c r="A1600" s="139" t="s">
        <v>3874</v>
      </c>
      <c r="B1600" s="139" t="s">
        <v>3872</v>
      </c>
      <c r="C1600" s="139" t="s">
        <v>127</v>
      </c>
      <c r="D1600" s="139" t="s">
        <v>3875</v>
      </c>
    </row>
    <row r="1601" spans="1:4" x14ac:dyDescent="0.25">
      <c r="A1601" s="139" t="s">
        <v>3876</v>
      </c>
      <c r="B1601" s="139" t="s">
        <v>3877</v>
      </c>
      <c r="C1601" s="139" t="s">
        <v>127</v>
      </c>
      <c r="D1601" s="139" t="s">
        <v>3878</v>
      </c>
    </row>
    <row r="1602" spans="1:4" x14ac:dyDescent="0.25">
      <c r="A1602" s="139" t="s">
        <v>3879</v>
      </c>
      <c r="B1602" s="139" t="s">
        <v>3877</v>
      </c>
      <c r="C1602" s="139" t="s">
        <v>127</v>
      </c>
      <c r="D1602" s="139" t="s">
        <v>3880</v>
      </c>
    </row>
    <row r="1603" spans="1:4" x14ac:dyDescent="0.25">
      <c r="A1603" s="139" t="s">
        <v>3881</v>
      </c>
      <c r="B1603" s="139" t="s">
        <v>1039</v>
      </c>
      <c r="C1603" s="139" t="s">
        <v>127</v>
      </c>
      <c r="D1603" s="139" t="s">
        <v>3882</v>
      </c>
    </row>
    <row r="1604" spans="1:4" x14ac:dyDescent="0.25">
      <c r="A1604" s="139" t="s">
        <v>3883</v>
      </c>
      <c r="B1604" s="139" t="s">
        <v>1039</v>
      </c>
      <c r="C1604" s="139" t="s">
        <v>127</v>
      </c>
      <c r="D1604" s="139" t="s">
        <v>3884</v>
      </c>
    </row>
    <row r="1605" spans="1:4" x14ac:dyDescent="0.25">
      <c r="A1605" s="139" t="s">
        <v>3885</v>
      </c>
      <c r="B1605" s="139" t="s">
        <v>3886</v>
      </c>
      <c r="C1605" s="139" t="s">
        <v>127</v>
      </c>
      <c r="D1605" s="139" t="s">
        <v>3887</v>
      </c>
    </row>
    <row r="1606" spans="1:4" x14ac:dyDescent="0.25">
      <c r="A1606" s="139" t="s">
        <v>3888</v>
      </c>
      <c r="B1606" s="139" t="s">
        <v>3886</v>
      </c>
      <c r="C1606" s="139" t="s">
        <v>127</v>
      </c>
      <c r="D1606" s="139" t="s">
        <v>3889</v>
      </c>
    </row>
    <row r="1607" spans="1:4" x14ac:dyDescent="0.25">
      <c r="A1607" s="139" t="s">
        <v>3890</v>
      </c>
      <c r="B1607" s="139" t="s">
        <v>3891</v>
      </c>
      <c r="C1607" s="139" t="s">
        <v>65</v>
      </c>
      <c r="D1607" s="139" t="s">
        <v>3892</v>
      </c>
    </row>
    <row r="1608" spans="1:4" x14ac:dyDescent="0.25">
      <c r="A1608" s="139" t="s">
        <v>3893</v>
      </c>
      <c r="B1608" s="139" t="s">
        <v>3891</v>
      </c>
      <c r="C1608" s="139" t="s">
        <v>65</v>
      </c>
      <c r="D1608" s="139" t="s">
        <v>3894</v>
      </c>
    </row>
    <row r="1609" spans="1:4" x14ac:dyDescent="0.25">
      <c r="A1609" s="139" t="s">
        <v>3895</v>
      </c>
      <c r="B1609" s="139" t="s">
        <v>3896</v>
      </c>
      <c r="C1609" s="139" t="s">
        <v>65</v>
      </c>
      <c r="D1609" s="139" t="s">
        <v>3897</v>
      </c>
    </row>
    <row r="1610" spans="1:4" x14ac:dyDescent="0.25">
      <c r="A1610" s="139" t="s">
        <v>3898</v>
      </c>
      <c r="B1610" s="139" t="s">
        <v>3896</v>
      </c>
      <c r="C1610" s="139" t="s">
        <v>65</v>
      </c>
      <c r="D1610" s="139" t="s">
        <v>3899</v>
      </c>
    </row>
    <row r="1611" spans="1:4" x14ac:dyDescent="0.25">
      <c r="A1611" s="139" t="s">
        <v>3900</v>
      </c>
      <c r="B1611" s="139" t="s">
        <v>3901</v>
      </c>
      <c r="C1611" s="139" t="s">
        <v>65</v>
      </c>
      <c r="D1611" s="139" t="s">
        <v>3902</v>
      </c>
    </row>
    <row r="1612" spans="1:4" x14ac:dyDescent="0.25">
      <c r="A1612" s="139" t="s">
        <v>3903</v>
      </c>
      <c r="B1612" s="139" t="s">
        <v>3901</v>
      </c>
      <c r="C1612" s="139" t="s">
        <v>65</v>
      </c>
      <c r="D1612" s="139" t="s">
        <v>3904</v>
      </c>
    </row>
    <row r="1613" spans="1:4" x14ac:dyDescent="0.25">
      <c r="A1613" s="139" t="s">
        <v>3905</v>
      </c>
      <c r="B1613" s="139" t="s">
        <v>3906</v>
      </c>
      <c r="C1613" s="139" t="s">
        <v>65</v>
      </c>
      <c r="D1613" s="139" t="s">
        <v>3907</v>
      </c>
    </row>
    <row r="1614" spans="1:4" x14ac:dyDescent="0.25">
      <c r="A1614" s="139" t="s">
        <v>3908</v>
      </c>
      <c r="B1614" s="139" t="s">
        <v>3906</v>
      </c>
      <c r="C1614" s="139" t="s">
        <v>65</v>
      </c>
      <c r="D1614" s="139" t="s">
        <v>3909</v>
      </c>
    </row>
    <row r="1615" spans="1:4" x14ac:dyDescent="0.25">
      <c r="A1615" s="139" t="s">
        <v>3910</v>
      </c>
      <c r="B1615" s="139" t="s">
        <v>3911</v>
      </c>
      <c r="C1615" s="139" t="s">
        <v>65</v>
      </c>
      <c r="D1615" s="139" t="s">
        <v>3912</v>
      </c>
    </row>
    <row r="1616" spans="1:4" x14ac:dyDescent="0.25">
      <c r="A1616" s="139" t="s">
        <v>3913</v>
      </c>
      <c r="B1616" s="139" t="s">
        <v>3911</v>
      </c>
      <c r="C1616" s="139" t="s">
        <v>65</v>
      </c>
      <c r="D1616" s="139" t="s">
        <v>3914</v>
      </c>
    </row>
    <row r="1617" spans="1:4" x14ac:dyDescent="0.25">
      <c r="A1617" s="139" t="s">
        <v>3915</v>
      </c>
      <c r="B1617" s="139" t="s">
        <v>3916</v>
      </c>
      <c r="C1617" s="139" t="s">
        <v>65</v>
      </c>
      <c r="D1617" s="139" t="s">
        <v>3917</v>
      </c>
    </row>
    <row r="1618" spans="1:4" x14ac:dyDescent="0.25">
      <c r="A1618" s="139" t="s">
        <v>3918</v>
      </c>
      <c r="B1618" s="139" t="s">
        <v>3916</v>
      </c>
      <c r="C1618" s="139" t="s">
        <v>65</v>
      </c>
      <c r="D1618" s="139" t="s">
        <v>3919</v>
      </c>
    </row>
    <row r="1619" spans="1:4" x14ac:dyDescent="0.25">
      <c r="A1619" s="139" t="s">
        <v>3920</v>
      </c>
      <c r="B1619" s="139" t="s">
        <v>3921</v>
      </c>
      <c r="C1619" s="139" t="s">
        <v>65</v>
      </c>
      <c r="D1619" s="139" t="s">
        <v>3922</v>
      </c>
    </row>
    <row r="1620" spans="1:4" x14ac:dyDescent="0.25">
      <c r="A1620" s="139" t="s">
        <v>3923</v>
      </c>
      <c r="B1620" s="139" t="s">
        <v>3921</v>
      </c>
      <c r="C1620" s="139" t="s">
        <v>65</v>
      </c>
      <c r="D1620" s="139" t="s">
        <v>3924</v>
      </c>
    </row>
    <row r="1621" spans="1:4" x14ac:dyDescent="0.25">
      <c r="A1621" s="139" t="s">
        <v>3925</v>
      </c>
      <c r="B1621" s="139" t="s">
        <v>3926</v>
      </c>
      <c r="C1621" s="139" t="s">
        <v>65</v>
      </c>
      <c r="D1621" s="139" t="s">
        <v>3927</v>
      </c>
    </row>
    <row r="1622" spans="1:4" x14ac:dyDescent="0.25">
      <c r="A1622" s="139" t="s">
        <v>3928</v>
      </c>
      <c r="B1622" s="139" t="s">
        <v>3926</v>
      </c>
      <c r="C1622" s="139" t="s">
        <v>65</v>
      </c>
      <c r="D1622" s="139" t="s">
        <v>3929</v>
      </c>
    </row>
    <row r="1623" spans="1:4" x14ac:dyDescent="0.25">
      <c r="A1623" s="139" t="s">
        <v>3930</v>
      </c>
      <c r="B1623" s="139" t="s">
        <v>3931</v>
      </c>
      <c r="C1623" s="139" t="s">
        <v>65</v>
      </c>
      <c r="D1623" s="139" t="s">
        <v>3932</v>
      </c>
    </row>
    <row r="1624" spans="1:4" x14ac:dyDescent="0.25">
      <c r="A1624" s="139" t="s">
        <v>3933</v>
      </c>
      <c r="B1624" s="139" t="s">
        <v>3931</v>
      </c>
      <c r="C1624" s="139" t="s">
        <v>65</v>
      </c>
      <c r="D1624" s="139" t="s">
        <v>3934</v>
      </c>
    </row>
    <row r="1625" spans="1:4" x14ac:dyDescent="0.25">
      <c r="A1625" s="139" t="s">
        <v>3935</v>
      </c>
      <c r="B1625" s="139" t="s">
        <v>3936</v>
      </c>
      <c r="C1625" s="139" t="s">
        <v>65</v>
      </c>
      <c r="D1625" s="139" t="s">
        <v>3937</v>
      </c>
    </row>
    <row r="1626" spans="1:4" x14ac:dyDescent="0.25">
      <c r="A1626" s="139" t="s">
        <v>3938</v>
      </c>
      <c r="B1626" s="139" t="s">
        <v>3936</v>
      </c>
      <c r="C1626" s="139" t="s">
        <v>65</v>
      </c>
      <c r="D1626" s="139" t="s">
        <v>3939</v>
      </c>
    </row>
    <row r="1627" spans="1:4" x14ac:dyDescent="0.25">
      <c r="A1627" s="139" t="s">
        <v>3940</v>
      </c>
      <c r="B1627" s="139" t="s">
        <v>3941</v>
      </c>
      <c r="C1627" s="139" t="s">
        <v>65</v>
      </c>
      <c r="D1627" s="139" t="s">
        <v>3942</v>
      </c>
    </row>
    <row r="1628" spans="1:4" x14ac:dyDescent="0.25">
      <c r="A1628" s="139" t="s">
        <v>3943</v>
      </c>
      <c r="B1628" s="139" t="s">
        <v>3941</v>
      </c>
      <c r="C1628" s="139" t="s">
        <v>65</v>
      </c>
      <c r="D1628" s="139" t="s">
        <v>3944</v>
      </c>
    </row>
    <row r="1629" spans="1:4" x14ac:dyDescent="0.25">
      <c r="A1629" s="139" t="s">
        <v>3945</v>
      </c>
      <c r="B1629" s="139" t="s">
        <v>3946</v>
      </c>
      <c r="C1629" s="139" t="s">
        <v>65</v>
      </c>
      <c r="D1629" s="139" t="s">
        <v>3947</v>
      </c>
    </row>
    <row r="1630" spans="1:4" x14ac:dyDescent="0.25">
      <c r="A1630" s="139" t="s">
        <v>3948</v>
      </c>
      <c r="B1630" s="139" t="s">
        <v>3946</v>
      </c>
      <c r="C1630" s="139" t="s">
        <v>65</v>
      </c>
      <c r="D1630" s="139" t="s">
        <v>3949</v>
      </c>
    </row>
    <row r="1631" spans="1:4" x14ac:dyDescent="0.25">
      <c r="A1631" s="139" t="s">
        <v>3950</v>
      </c>
      <c r="B1631" s="139" t="s">
        <v>3951</v>
      </c>
      <c r="C1631" s="139" t="s">
        <v>65</v>
      </c>
      <c r="D1631" s="139" t="s">
        <v>3952</v>
      </c>
    </row>
    <row r="1632" spans="1:4" x14ac:dyDescent="0.25">
      <c r="A1632" s="139" t="s">
        <v>3953</v>
      </c>
      <c r="B1632" s="139" t="s">
        <v>3951</v>
      </c>
      <c r="C1632" s="139" t="s">
        <v>65</v>
      </c>
      <c r="D1632" s="139" t="s">
        <v>3954</v>
      </c>
    </row>
    <row r="1633" spans="1:4" x14ac:dyDescent="0.25">
      <c r="A1633" s="139" t="s">
        <v>3955</v>
      </c>
      <c r="B1633" s="139" t="s">
        <v>3956</v>
      </c>
      <c r="C1633" s="139" t="s">
        <v>65</v>
      </c>
      <c r="D1633" s="139" t="s">
        <v>3957</v>
      </c>
    </row>
    <row r="1634" spans="1:4" x14ac:dyDescent="0.25">
      <c r="A1634" s="139" t="s">
        <v>3958</v>
      </c>
      <c r="B1634" s="139" t="s">
        <v>3956</v>
      </c>
      <c r="C1634" s="139" t="s">
        <v>65</v>
      </c>
      <c r="D1634" s="139" t="s">
        <v>3959</v>
      </c>
    </row>
    <row r="1635" spans="1:4" x14ac:dyDescent="0.25">
      <c r="A1635" s="139" t="s">
        <v>3960</v>
      </c>
      <c r="B1635" s="139" t="s">
        <v>3961</v>
      </c>
      <c r="C1635" s="139" t="s">
        <v>65</v>
      </c>
      <c r="D1635" s="139" t="s">
        <v>3962</v>
      </c>
    </row>
    <row r="1636" spans="1:4" x14ac:dyDescent="0.25">
      <c r="A1636" s="139" t="s">
        <v>3963</v>
      </c>
      <c r="B1636" s="139" t="s">
        <v>3961</v>
      </c>
      <c r="C1636" s="139" t="s">
        <v>65</v>
      </c>
      <c r="D1636" s="139" t="s">
        <v>3964</v>
      </c>
    </row>
    <row r="1637" spans="1:4" x14ac:dyDescent="0.25">
      <c r="A1637" s="139" t="s">
        <v>3965</v>
      </c>
      <c r="B1637" s="139" t="s">
        <v>3966</v>
      </c>
      <c r="C1637" s="139" t="s">
        <v>65</v>
      </c>
      <c r="D1637" s="139" t="s">
        <v>3967</v>
      </c>
    </row>
    <row r="1638" spans="1:4" x14ac:dyDescent="0.25">
      <c r="A1638" s="139" t="s">
        <v>3968</v>
      </c>
      <c r="B1638" s="139" t="s">
        <v>3966</v>
      </c>
      <c r="C1638" s="139" t="s">
        <v>65</v>
      </c>
      <c r="D1638" s="139" t="s">
        <v>3969</v>
      </c>
    </row>
    <row r="1639" spans="1:4" x14ac:dyDescent="0.25">
      <c r="A1639" s="139" t="s">
        <v>3970</v>
      </c>
      <c r="B1639" s="139" t="s">
        <v>3971</v>
      </c>
      <c r="C1639" s="139" t="s">
        <v>65</v>
      </c>
      <c r="D1639" s="139" t="s">
        <v>3972</v>
      </c>
    </row>
    <row r="1640" spans="1:4" x14ac:dyDescent="0.25">
      <c r="A1640" s="139" t="s">
        <v>3973</v>
      </c>
      <c r="B1640" s="139" t="s">
        <v>3971</v>
      </c>
      <c r="C1640" s="139" t="s">
        <v>65</v>
      </c>
      <c r="D1640" s="139" t="s">
        <v>3974</v>
      </c>
    </row>
    <row r="1641" spans="1:4" x14ac:dyDescent="0.25">
      <c r="A1641" s="139" t="s">
        <v>3975</v>
      </c>
      <c r="B1641" s="139" t="s">
        <v>3976</v>
      </c>
      <c r="C1641" s="139" t="s">
        <v>65</v>
      </c>
      <c r="D1641" s="139" t="s">
        <v>3977</v>
      </c>
    </row>
    <row r="1642" spans="1:4" x14ac:dyDescent="0.25">
      <c r="A1642" s="139" t="s">
        <v>3978</v>
      </c>
      <c r="B1642" s="139" t="s">
        <v>3976</v>
      </c>
      <c r="C1642" s="139" t="s">
        <v>65</v>
      </c>
      <c r="D1642" s="139" t="s">
        <v>3979</v>
      </c>
    </row>
    <row r="1643" spans="1:4" x14ac:dyDescent="0.25">
      <c r="A1643" s="139" t="s">
        <v>3980</v>
      </c>
      <c r="B1643" s="139" t="s">
        <v>3981</v>
      </c>
      <c r="C1643" s="139" t="s">
        <v>65</v>
      </c>
      <c r="D1643" s="139" t="s">
        <v>3982</v>
      </c>
    </row>
    <row r="1644" spans="1:4" x14ac:dyDescent="0.25">
      <c r="A1644" s="139" t="s">
        <v>3983</v>
      </c>
      <c r="B1644" s="139" t="s">
        <v>3981</v>
      </c>
      <c r="C1644" s="139" t="s">
        <v>65</v>
      </c>
      <c r="D1644" s="139" t="s">
        <v>3984</v>
      </c>
    </row>
    <row r="1645" spans="1:4" x14ac:dyDescent="0.25">
      <c r="A1645" s="139" t="s">
        <v>3985</v>
      </c>
      <c r="B1645" s="139" t="s">
        <v>3986</v>
      </c>
      <c r="C1645" s="139" t="s">
        <v>65</v>
      </c>
      <c r="D1645" s="139" t="s">
        <v>3987</v>
      </c>
    </row>
    <row r="1646" spans="1:4" x14ac:dyDescent="0.25">
      <c r="A1646" s="139" t="s">
        <v>3988</v>
      </c>
      <c r="B1646" s="139" t="s">
        <v>3986</v>
      </c>
      <c r="C1646" s="139" t="s">
        <v>65</v>
      </c>
      <c r="D1646" s="139" t="s">
        <v>3989</v>
      </c>
    </row>
    <row r="1647" spans="1:4" x14ac:dyDescent="0.25">
      <c r="A1647" s="139" t="s">
        <v>3990</v>
      </c>
      <c r="B1647" s="139" t="s">
        <v>3991</v>
      </c>
      <c r="C1647" s="139" t="s">
        <v>65</v>
      </c>
      <c r="D1647" s="139" t="s">
        <v>3992</v>
      </c>
    </row>
    <row r="1648" spans="1:4" x14ac:dyDescent="0.25">
      <c r="A1648" s="139" t="s">
        <v>3993</v>
      </c>
      <c r="B1648" s="139" t="s">
        <v>3991</v>
      </c>
      <c r="C1648" s="139" t="s">
        <v>65</v>
      </c>
      <c r="D1648" s="139" t="s">
        <v>3994</v>
      </c>
    </row>
    <row r="1649" spans="1:4" x14ac:dyDescent="0.25">
      <c r="A1649" s="139" t="s">
        <v>3995</v>
      </c>
      <c r="B1649" s="139" t="s">
        <v>3996</v>
      </c>
      <c r="C1649" s="139" t="s">
        <v>65</v>
      </c>
      <c r="D1649" s="139" t="s">
        <v>3997</v>
      </c>
    </row>
    <row r="1650" spans="1:4" x14ac:dyDescent="0.25">
      <c r="A1650" s="139" t="s">
        <v>3998</v>
      </c>
      <c r="B1650" s="139" t="s">
        <v>3996</v>
      </c>
      <c r="C1650" s="139" t="s">
        <v>65</v>
      </c>
      <c r="D1650" s="139" t="s">
        <v>3999</v>
      </c>
    </row>
    <row r="1651" spans="1:4" x14ac:dyDescent="0.25">
      <c r="A1651" s="139" t="s">
        <v>4000</v>
      </c>
      <c r="B1651" s="139" t="s">
        <v>4001</v>
      </c>
      <c r="C1651" s="139" t="s">
        <v>65</v>
      </c>
      <c r="D1651" s="139" t="s">
        <v>4002</v>
      </c>
    </row>
    <row r="1652" spans="1:4" x14ac:dyDescent="0.25">
      <c r="A1652" s="139" t="s">
        <v>4003</v>
      </c>
      <c r="B1652" s="139" t="s">
        <v>4001</v>
      </c>
      <c r="C1652" s="139" t="s">
        <v>65</v>
      </c>
      <c r="D1652" s="139" t="s">
        <v>4004</v>
      </c>
    </row>
    <row r="1653" spans="1:4" x14ac:dyDescent="0.25">
      <c r="A1653" s="139" t="s">
        <v>4005</v>
      </c>
      <c r="B1653" s="139" t="s">
        <v>4006</v>
      </c>
      <c r="C1653" s="139" t="s">
        <v>65</v>
      </c>
      <c r="D1653" s="139" t="s">
        <v>4007</v>
      </c>
    </row>
    <row r="1654" spans="1:4" x14ac:dyDescent="0.25">
      <c r="A1654" s="139" t="s">
        <v>4008</v>
      </c>
      <c r="B1654" s="139" t="s">
        <v>4006</v>
      </c>
      <c r="C1654" s="139" t="s">
        <v>65</v>
      </c>
      <c r="D1654" s="139" t="s">
        <v>4009</v>
      </c>
    </row>
    <row r="1655" spans="1:4" x14ac:dyDescent="0.25">
      <c r="A1655" s="139" t="s">
        <v>4010</v>
      </c>
      <c r="B1655" s="139" t="s">
        <v>1039</v>
      </c>
      <c r="C1655" s="139" t="s">
        <v>65</v>
      </c>
      <c r="D1655" s="139" t="s">
        <v>4011</v>
      </c>
    </row>
    <row r="1656" spans="1:4" x14ac:dyDescent="0.25">
      <c r="A1656" s="139" t="s">
        <v>4012</v>
      </c>
      <c r="B1656" s="139" t="s">
        <v>1039</v>
      </c>
      <c r="C1656" s="139" t="s">
        <v>65</v>
      </c>
      <c r="D1656" s="139" t="s">
        <v>4013</v>
      </c>
    </row>
    <row r="1657" spans="1:4" x14ac:dyDescent="0.25">
      <c r="A1657" s="139" t="s">
        <v>4014</v>
      </c>
      <c r="B1657" s="139" t="s">
        <v>4015</v>
      </c>
      <c r="C1657" s="139" t="s">
        <v>123</v>
      </c>
      <c r="D1657" s="139" t="s">
        <v>4016</v>
      </c>
    </row>
    <row r="1658" spans="1:4" x14ac:dyDescent="0.25">
      <c r="A1658" s="139" t="s">
        <v>4017</v>
      </c>
      <c r="B1658" s="139" t="s">
        <v>4015</v>
      </c>
      <c r="C1658" s="139" t="s">
        <v>123</v>
      </c>
      <c r="D1658" s="139" t="s">
        <v>4018</v>
      </c>
    </row>
    <row r="1659" spans="1:4" x14ac:dyDescent="0.25">
      <c r="A1659" s="139" t="s">
        <v>4019</v>
      </c>
      <c r="B1659" s="139" t="s">
        <v>1677</v>
      </c>
      <c r="C1659" s="139" t="s">
        <v>123</v>
      </c>
      <c r="D1659" s="139" t="s">
        <v>4020</v>
      </c>
    </row>
    <row r="1660" spans="1:4" x14ac:dyDescent="0.25">
      <c r="A1660" s="139" t="s">
        <v>4021</v>
      </c>
      <c r="B1660" s="139" t="s">
        <v>1677</v>
      </c>
      <c r="C1660" s="139" t="s">
        <v>123</v>
      </c>
      <c r="D1660" s="139" t="s">
        <v>4022</v>
      </c>
    </row>
    <row r="1661" spans="1:4" x14ac:dyDescent="0.25">
      <c r="A1661" s="139" t="s">
        <v>4023</v>
      </c>
      <c r="B1661" s="139" t="s">
        <v>4024</v>
      </c>
      <c r="C1661" s="139" t="s">
        <v>123</v>
      </c>
      <c r="D1661" s="139" t="s">
        <v>4025</v>
      </c>
    </row>
    <row r="1662" spans="1:4" x14ac:dyDescent="0.25">
      <c r="A1662" s="139" t="s">
        <v>4026</v>
      </c>
      <c r="B1662" s="139" t="s">
        <v>4024</v>
      </c>
      <c r="C1662" s="139" t="s">
        <v>123</v>
      </c>
      <c r="D1662" s="139" t="s">
        <v>4027</v>
      </c>
    </row>
    <row r="1663" spans="1:4" x14ac:dyDescent="0.25">
      <c r="A1663" s="139" t="s">
        <v>4028</v>
      </c>
      <c r="B1663" s="139" t="s">
        <v>4029</v>
      </c>
      <c r="C1663" s="139" t="s">
        <v>123</v>
      </c>
      <c r="D1663" s="139" t="s">
        <v>4030</v>
      </c>
    </row>
    <row r="1664" spans="1:4" x14ac:dyDescent="0.25">
      <c r="A1664" s="139" t="s">
        <v>4031</v>
      </c>
      <c r="B1664" s="139" t="s">
        <v>4029</v>
      </c>
      <c r="C1664" s="139" t="s">
        <v>123</v>
      </c>
      <c r="D1664" s="139" t="s">
        <v>4032</v>
      </c>
    </row>
    <row r="1665" spans="1:4" x14ac:dyDescent="0.25">
      <c r="A1665" s="139" t="s">
        <v>4033</v>
      </c>
      <c r="B1665" s="139" t="s">
        <v>4034</v>
      </c>
      <c r="C1665" s="139" t="s">
        <v>123</v>
      </c>
      <c r="D1665" s="139" t="s">
        <v>4035</v>
      </c>
    </row>
    <row r="1666" spans="1:4" x14ac:dyDescent="0.25">
      <c r="A1666" s="139" t="s">
        <v>4036</v>
      </c>
      <c r="B1666" s="139" t="s">
        <v>4034</v>
      </c>
      <c r="C1666" s="139" t="s">
        <v>123</v>
      </c>
      <c r="D1666" s="139" t="s">
        <v>4037</v>
      </c>
    </row>
    <row r="1667" spans="1:4" x14ac:dyDescent="0.25">
      <c r="A1667" s="139" t="s">
        <v>4038</v>
      </c>
      <c r="B1667" s="139" t="s">
        <v>4039</v>
      </c>
      <c r="C1667" s="139" t="s">
        <v>123</v>
      </c>
      <c r="D1667" s="139" t="s">
        <v>4040</v>
      </c>
    </row>
    <row r="1668" spans="1:4" x14ac:dyDescent="0.25">
      <c r="A1668" s="139" t="s">
        <v>4041</v>
      </c>
      <c r="B1668" s="139" t="s">
        <v>4039</v>
      </c>
      <c r="C1668" s="139" t="s">
        <v>123</v>
      </c>
      <c r="D1668" s="139" t="s">
        <v>4042</v>
      </c>
    </row>
    <row r="1669" spans="1:4" x14ac:dyDescent="0.25">
      <c r="A1669" s="139" t="s">
        <v>4043</v>
      </c>
      <c r="B1669" s="139" t="s">
        <v>4044</v>
      </c>
      <c r="C1669" s="139" t="s">
        <v>123</v>
      </c>
      <c r="D1669" s="139" t="s">
        <v>4045</v>
      </c>
    </row>
    <row r="1670" spans="1:4" x14ac:dyDescent="0.25">
      <c r="A1670" s="139" t="s">
        <v>4046</v>
      </c>
      <c r="B1670" s="139" t="s">
        <v>4044</v>
      </c>
      <c r="C1670" s="139" t="s">
        <v>123</v>
      </c>
      <c r="D1670" s="139" t="s">
        <v>4047</v>
      </c>
    </row>
    <row r="1671" spans="1:4" x14ac:dyDescent="0.25">
      <c r="A1671" s="139" t="s">
        <v>4048</v>
      </c>
      <c r="B1671" s="139" t="s">
        <v>4049</v>
      </c>
      <c r="C1671" s="139" t="s">
        <v>123</v>
      </c>
      <c r="D1671" s="139" t="s">
        <v>4050</v>
      </c>
    </row>
    <row r="1672" spans="1:4" x14ac:dyDescent="0.25">
      <c r="A1672" s="139" t="s">
        <v>4051</v>
      </c>
      <c r="B1672" s="139" t="s">
        <v>4049</v>
      </c>
      <c r="C1672" s="139" t="s">
        <v>123</v>
      </c>
      <c r="D1672" s="139" t="s">
        <v>4052</v>
      </c>
    </row>
    <row r="1673" spans="1:4" x14ac:dyDescent="0.25">
      <c r="A1673" s="139" t="s">
        <v>4053</v>
      </c>
      <c r="B1673" s="139" t="s">
        <v>4054</v>
      </c>
      <c r="C1673" s="139" t="s">
        <v>123</v>
      </c>
      <c r="D1673" s="139" t="s">
        <v>4055</v>
      </c>
    </row>
    <row r="1674" spans="1:4" x14ac:dyDescent="0.25">
      <c r="A1674" s="139" t="s">
        <v>4056</v>
      </c>
      <c r="B1674" s="139" t="s">
        <v>4054</v>
      </c>
      <c r="C1674" s="139" t="s">
        <v>123</v>
      </c>
      <c r="D1674" s="139" t="s">
        <v>4057</v>
      </c>
    </row>
    <row r="1675" spans="1:4" x14ac:dyDescent="0.25">
      <c r="A1675" s="139" t="s">
        <v>4058</v>
      </c>
      <c r="B1675" s="139" t="s">
        <v>4059</v>
      </c>
      <c r="C1675" s="139" t="s">
        <v>123</v>
      </c>
      <c r="D1675" s="139" t="s">
        <v>4060</v>
      </c>
    </row>
    <row r="1676" spans="1:4" x14ac:dyDescent="0.25">
      <c r="A1676" s="139" t="s">
        <v>4061</v>
      </c>
      <c r="B1676" s="139" t="s">
        <v>4059</v>
      </c>
      <c r="C1676" s="139" t="s">
        <v>123</v>
      </c>
      <c r="D1676" s="139" t="s">
        <v>4062</v>
      </c>
    </row>
    <row r="1677" spans="1:4" x14ac:dyDescent="0.25">
      <c r="A1677" s="139" t="s">
        <v>4063</v>
      </c>
      <c r="B1677" s="139" t="s">
        <v>4064</v>
      </c>
      <c r="C1677" s="139" t="s">
        <v>123</v>
      </c>
      <c r="D1677" s="139" t="s">
        <v>4065</v>
      </c>
    </row>
    <row r="1678" spans="1:4" x14ac:dyDescent="0.25">
      <c r="A1678" s="139" t="s">
        <v>4066</v>
      </c>
      <c r="B1678" s="139" t="s">
        <v>4064</v>
      </c>
      <c r="C1678" s="139" t="s">
        <v>123</v>
      </c>
      <c r="D1678" s="139" t="s">
        <v>4067</v>
      </c>
    </row>
    <row r="1679" spans="1:4" x14ac:dyDescent="0.25">
      <c r="A1679" s="139" t="s">
        <v>4068</v>
      </c>
      <c r="B1679" s="139" t="s">
        <v>196</v>
      </c>
      <c r="C1679" s="139" t="s">
        <v>123</v>
      </c>
      <c r="D1679" s="139" t="s">
        <v>4069</v>
      </c>
    </row>
    <row r="1680" spans="1:4" x14ac:dyDescent="0.25">
      <c r="A1680" s="139" t="s">
        <v>4070</v>
      </c>
      <c r="B1680" s="139" t="s">
        <v>196</v>
      </c>
      <c r="C1680" s="139" t="s">
        <v>123</v>
      </c>
      <c r="D1680" s="139" t="s">
        <v>4071</v>
      </c>
    </row>
    <row r="1681" spans="1:4" x14ac:dyDescent="0.25">
      <c r="A1681" s="139" t="s">
        <v>4072</v>
      </c>
      <c r="B1681" s="139" t="s">
        <v>4073</v>
      </c>
      <c r="C1681" s="139" t="s">
        <v>123</v>
      </c>
      <c r="D1681" s="139" t="s">
        <v>4074</v>
      </c>
    </row>
    <row r="1682" spans="1:4" x14ac:dyDescent="0.25">
      <c r="A1682" s="139" t="s">
        <v>4075</v>
      </c>
      <c r="B1682" s="139" t="s">
        <v>4073</v>
      </c>
      <c r="C1682" s="139" t="s">
        <v>123</v>
      </c>
      <c r="D1682" s="139" t="s">
        <v>4076</v>
      </c>
    </row>
    <row r="1683" spans="1:4" x14ac:dyDescent="0.25">
      <c r="A1683" s="139" t="s">
        <v>4077</v>
      </c>
      <c r="B1683" s="139" t="s">
        <v>702</v>
      </c>
      <c r="C1683" s="139" t="s">
        <v>123</v>
      </c>
      <c r="D1683" s="139" t="s">
        <v>4078</v>
      </c>
    </row>
    <row r="1684" spans="1:4" x14ac:dyDescent="0.25">
      <c r="A1684" s="139" t="s">
        <v>4079</v>
      </c>
      <c r="B1684" s="139" t="s">
        <v>702</v>
      </c>
      <c r="C1684" s="139" t="s">
        <v>123</v>
      </c>
      <c r="D1684" s="139" t="s">
        <v>4080</v>
      </c>
    </row>
    <row r="1685" spans="1:4" x14ac:dyDescent="0.25">
      <c r="A1685" s="139" t="s">
        <v>4081</v>
      </c>
      <c r="B1685" s="139" t="s">
        <v>201</v>
      </c>
      <c r="C1685" s="139" t="s">
        <v>123</v>
      </c>
      <c r="D1685" s="139" t="s">
        <v>4082</v>
      </c>
    </row>
    <row r="1686" spans="1:4" x14ac:dyDescent="0.25">
      <c r="A1686" s="139" t="s">
        <v>4083</v>
      </c>
      <c r="B1686" s="139" t="s">
        <v>201</v>
      </c>
      <c r="C1686" s="139" t="s">
        <v>123</v>
      </c>
      <c r="D1686" s="139" t="s">
        <v>4084</v>
      </c>
    </row>
    <row r="1687" spans="1:4" x14ac:dyDescent="0.25">
      <c r="A1687" s="139" t="s">
        <v>4085</v>
      </c>
      <c r="B1687" s="139" t="s">
        <v>4086</v>
      </c>
      <c r="C1687" s="139" t="s">
        <v>123</v>
      </c>
      <c r="D1687" s="139" t="s">
        <v>4087</v>
      </c>
    </row>
    <row r="1688" spans="1:4" x14ac:dyDescent="0.25">
      <c r="A1688" s="139" t="s">
        <v>4088</v>
      </c>
      <c r="B1688" s="139" t="s">
        <v>4086</v>
      </c>
      <c r="C1688" s="139" t="s">
        <v>123</v>
      </c>
      <c r="D1688" s="139" t="s">
        <v>4089</v>
      </c>
    </row>
    <row r="1689" spans="1:4" x14ac:dyDescent="0.25">
      <c r="A1689" s="139" t="s">
        <v>4090</v>
      </c>
      <c r="B1689" s="139" t="s">
        <v>206</v>
      </c>
      <c r="C1689" s="139" t="s">
        <v>123</v>
      </c>
      <c r="D1689" s="139" t="s">
        <v>4091</v>
      </c>
    </row>
    <row r="1690" spans="1:4" x14ac:dyDescent="0.25">
      <c r="A1690" s="139" t="s">
        <v>4092</v>
      </c>
      <c r="B1690" s="139" t="s">
        <v>206</v>
      </c>
      <c r="C1690" s="139" t="s">
        <v>123</v>
      </c>
      <c r="D1690" s="139" t="s">
        <v>4093</v>
      </c>
    </row>
    <row r="1691" spans="1:4" x14ac:dyDescent="0.25">
      <c r="A1691" s="139" t="s">
        <v>4094</v>
      </c>
      <c r="B1691" s="139" t="s">
        <v>4095</v>
      </c>
      <c r="C1691" s="139" t="s">
        <v>123</v>
      </c>
      <c r="D1691" s="139" t="s">
        <v>4096</v>
      </c>
    </row>
    <row r="1692" spans="1:4" x14ac:dyDescent="0.25">
      <c r="A1692" s="139" t="s">
        <v>4097</v>
      </c>
      <c r="B1692" s="139" t="s">
        <v>4095</v>
      </c>
      <c r="C1692" s="139" t="s">
        <v>123</v>
      </c>
      <c r="D1692" s="139" t="s">
        <v>4098</v>
      </c>
    </row>
    <row r="1693" spans="1:4" x14ac:dyDescent="0.25">
      <c r="A1693" s="139" t="s">
        <v>4099</v>
      </c>
      <c r="B1693" s="139" t="s">
        <v>343</v>
      </c>
      <c r="C1693" s="139" t="s">
        <v>123</v>
      </c>
      <c r="D1693" s="139" t="s">
        <v>4100</v>
      </c>
    </row>
    <row r="1694" spans="1:4" x14ac:dyDescent="0.25">
      <c r="A1694" s="139" t="s">
        <v>4101</v>
      </c>
      <c r="B1694" s="139" t="s">
        <v>343</v>
      </c>
      <c r="C1694" s="139" t="s">
        <v>123</v>
      </c>
      <c r="D1694" s="139" t="s">
        <v>4102</v>
      </c>
    </row>
    <row r="1695" spans="1:4" x14ac:dyDescent="0.25">
      <c r="A1695" s="139" t="s">
        <v>4103</v>
      </c>
      <c r="B1695" s="139" t="s">
        <v>4104</v>
      </c>
      <c r="C1695" s="139" t="s">
        <v>123</v>
      </c>
      <c r="D1695" s="139" t="s">
        <v>4105</v>
      </c>
    </row>
    <row r="1696" spans="1:4" x14ac:dyDescent="0.25">
      <c r="A1696" s="139" t="s">
        <v>4106</v>
      </c>
      <c r="B1696" s="139" t="s">
        <v>4104</v>
      </c>
      <c r="C1696" s="139" t="s">
        <v>123</v>
      </c>
      <c r="D1696" s="139" t="s">
        <v>4107</v>
      </c>
    </row>
    <row r="1697" spans="1:4" x14ac:dyDescent="0.25">
      <c r="A1697" s="139" t="s">
        <v>4108</v>
      </c>
      <c r="B1697" s="139" t="s">
        <v>4109</v>
      </c>
      <c r="C1697" s="139" t="s">
        <v>123</v>
      </c>
      <c r="D1697" s="139" t="s">
        <v>4110</v>
      </c>
    </row>
    <row r="1698" spans="1:4" x14ac:dyDescent="0.25">
      <c r="A1698" s="139" t="s">
        <v>4111</v>
      </c>
      <c r="B1698" s="139" t="s">
        <v>4109</v>
      </c>
      <c r="C1698" s="139" t="s">
        <v>123</v>
      </c>
      <c r="D1698" s="139" t="s">
        <v>4112</v>
      </c>
    </row>
    <row r="1699" spans="1:4" x14ac:dyDescent="0.25">
      <c r="A1699" s="139" t="s">
        <v>4113</v>
      </c>
      <c r="B1699" s="139" t="s">
        <v>2844</v>
      </c>
      <c r="C1699" s="139" t="s">
        <v>123</v>
      </c>
      <c r="D1699" s="139" t="s">
        <v>4114</v>
      </c>
    </row>
    <row r="1700" spans="1:4" x14ac:dyDescent="0.25">
      <c r="A1700" s="139" t="s">
        <v>4115</v>
      </c>
      <c r="B1700" s="139" t="s">
        <v>2844</v>
      </c>
      <c r="C1700" s="139" t="s">
        <v>123</v>
      </c>
      <c r="D1700" s="139" t="s">
        <v>4116</v>
      </c>
    </row>
    <row r="1701" spans="1:4" x14ac:dyDescent="0.25">
      <c r="A1701" s="139" t="s">
        <v>4117</v>
      </c>
      <c r="B1701" s="139" t="s">
        <v>340</v>
      </c>
      <c r="C1701" s="139" t="s">
        <v>123</v>
      </c>
      <c r="D1701" s="139" t="s">
        <v>4118</v>
      </c>
    </row>
    <row r="1702" spans="1:4" x14ac:dyDescent="0.25">
      <c r="A1702" s="139" t="s">
        <v>4119</v>
      </c>
      <c r="B1702" s="139" t="s">
        <v>340</v>
      </c>
      <c r="C1702" s="139" t="s">
        <v>123</v>
      </c>
      <c r="D1702" s="139" t="s">
        <v>4120</v>
      </c>
    </row>
    <row r="1703" spans="1:4" x14ac:dyDescent="0.25">
      <c r="A1703" s="139" t="s">
        <v>4121</v>
      </c>
      <c r="B1703" s="139" t="s">
        <v>54</v>
      </c>
      <c r="C1703" s="139" t="s">
        <v>123</v>
      </c>
      <c r="D1703" s="139" t="s">
        <v>4122</v>
      </c>
    </row>
    <row r="1704" spans="1:4" x14ac:dyDescent="0.25">
      <c r="A1704" s="139" t="s">
        <v>4123</v>
      </c>
      <c r="B1704" s="139" t="s">
        <v>54</v>
      </c>
      <c r="C1704" s="139" t="s">
        <v>123</v>
      </c>
      <c r="D1704" s="139" t="s">
        <v>4124</v>
      </c>
    </row>
    <row r="1705" spans="1:4" x14ac:dyDescent="0.25">
      <c r="A1705" s="139" t="s">
        <v>4125</v>
      </c>
      <c r="B1705" s="139" t="s">
        <v>4126</v>
      </c>
      <c r="C1705" s="139" t="s">
        <v>123</v>
      </c>
      <c r="D1705" s="139" t="s">
        <v>4127</v>
      </c>
    </row>
    <row r="1706" spans="1:4" x14ac:dyDescent="0.25">
      <c r="A1706" s="139" t="s">
        <v>4128</v>
      </c>
      <c r="B1706" s="139" t="s">
        <v>4126</v>
      </c>
      <c r="C1706" s="139" t="s">
        <v>123</v>
      </c>
      <c r="D1706" s="139" t="s">
        <v>4129</v>
      </c>
    </row>
    <row r="1707" spans="1:4" x14ac:dyDescent="0.25">
      <c r="A1707" s="139" t="s">
        <v>4130</v>
      </c>
      <c r="B1707" s="139" t="s">
        <v>4131</v>
      </c>
      <c r="C1707" s="139" t="s">
        <v>123</v>
      </c>
      <c r="D1707" s="139" t="s">
        <v>4132</v>
      </c>
    </row>
    <row r="1708" spans="1:4" x14ac:dyDescent="0.25">
      <c r="A1708" s="139" t="s">
        <v>4133</v>
      </c>
      <c r="B1708" s="139" t="s">
        <v>4131</v>
      </c>
      <c r="C1708" s="139" t="s">
        <v>123</v>
      </c>
      <c r="D1708" s="139" t="s">
        <v>4134</v>
      </c>
    </row>
    <row r="1709" spans="1:4" x14ac:dyDescent="0.25">
      <c r="A1709" s="139" t="s">
        <v>4135</v>
      </c>
      <c r="B1709" s="139" t="s">
        <v>4136</v>
      </c>
      <c r="C1709" s="139" t="s">
        <v>65</v>
      </c>
      <c r="D1709" s="139" t="s">
        <v>4137</v>
      </c>
    </row>
    <row r="1710" spans="1:4" x14ac:dyDescent="0.25">
      <c r="A1710" s="139" t="s">
        <v>4138</v>
      </c>
      <c r="B1710" s="139" t="s">
        <v>4139</v>
      </c>
      <c r="C1710" s="139" t="s">
        <v>65</v>
      </c>
      <c r="D1710" s="139" t="s">
        <v>4140</v>
      </c>
    </row>
    <row r="1711" spans="1:4" x14ac:dyDescent="0.25">
      <c r="A1711" s="139" t="s">
        <v>4141</v>
      </c>
      <c r="B1711" s="139" t="s">
        <v>4039</v>
      </c>
      <c r="C1711" s="139" t="s">
        <v>65</v>
      </c>
      <c r="D1711" s="139" t="s">
        <v>4142</v>
      </c>
    </row>
    <row r="1712" spans="1:4" x14ac:dyDescent="0.25">
      <c r="A1712" s="139" t="s">
        <v>4143</v>
      </c>
      <c r="B1712" s="139" t="s">
        <v>4144</v>
      </c>
      <c r="C1712" s="139" t="s">
        <v>65</v>
      </c>
      <c r="D1712" s="139" t="s">
        <v>4145</v>
      </c>
    </row>
    <row r="1713" spans="1:4" x14ac:dyDescent="0.25">
      <c r="A1713" s="139" t="s">
        <v>4146</v>
      </c>
      <c r="B1713" s="139" t="s">
        <v>4147</v>
      </c>
      <c r="C1713" s="139" t="s">
        <v>65</v>
      </c>
      <c r="D1713" s="139" t="s">
        <v>4148</v>
      </c>
    </row>
    <row r="1714" spans="1:4" x14ac:dyDescent="0.25">
      <c r="A1714" s="139" t="s">
        <v>4149</v>
      </c>
      <c r="B1714" s="139" t="s">
        <v>4150</v>
      </c>
      <c r="C1714" s="139" t="s">
        <v>112</v>
      </c>
      <c r="D1714" s="139" t="s">
        <v>4151</v>
      </c>
    </row>
    <row r="1715" spans="1:4" x14ac:dyDescent="0.25">
      <c r="A1715" s="139" t="s">
        <v>4152</v>
      </c>
      <c r="B1715" s="139" t="s">
        <v>4153</v>
      </c>
      <c r="C1715" s="139" t="s">
        <v>112</v>
      </c>
      <c r="D1715" s="139" t="s">
        <v>4154</v>
      </c>
    </row>
    <row r="1716" spans="1:4" x14ac:dyDescent="0.25">
      <c r="A1716" s="139" t="s">
        <v>4155</v>
      </c>
      <c r="B1716" s="139" t="s">
        <v>4156</v>
      </c>
      <c r="C1716" s="139" t="s">
        <v>112</v>
      </c>
      <c r="D1716" s="139" t="s">
        <v>4157</v>
      </c>
    </row>
    <row r="1717" spans="1:4" x14ac:dyDescent="0.25">
      <c r="A1717" s="139" t="s">
        <v>4158</v>
      </c>
      <c r="B1717" s="139" t="s">
        <v>895</v>
      </c>
      <c r="C1717" s="139" t="s">
        <v>112</v>
      </c>
      <c r="D1717" s="139" t="s">
        <v>4159</v>
      </c>
    </row>
    <row r="1718" spans="1:4" x14ac:dyDescent="0.25">
      <c r="A1718" s="139" t="s">
        <v>4160</v>
      </c>
      <c r="B1718" s="139" t="s">
        <v>4161</v>
      </c>
      <c r="C1718" s="139" t="s">
        <v>112</v>
      </c>
      <c r="D1718" s="139" t="s">
        <v>4162</v>
      </c>
    </row>
    <row r="1719" spans="1:4" x14ac:dyDescent="0.25">
      <c r="A1719" s="139" t="s">
        <v>4163</v>
      </c>
      <c r="B1719" s="139" t="s">
        <v>4164</v>
      </c>
      <c r="C1719" s="139" t="s">
        <v>112</v>
      </c>
      <c r="D1719" s="139" t="s">
        <v>4165</v>
      </c>
    </row>
    <row r="1720" spans="1:4" x14ac:dyDescent="0.25">
      <c r="A1720" s="139" t="s">
        <v>4166</v>
      </c>
      <c r="B1720" s="139" t="s">
        <v>4167</v>
      </c>
      <c r="C1720" s="139" t="s">
        <v>112</v>
      </c>
      <c r="D1720" s="139" t="s">
        <v>4168</v>
      </c>
    </row>
    <row r="1721" spans="1:4" x14ac:dyDescent="0.25">
      <c r="A1721" s="139" t="s">
        <v>4169</v>
      </c>
      <c r="B1721" s="139" t="s">
        <v>4170</v>
      </c>
      <c r="C1721" s="139" t="s">
        <v>112</v>
      </c>
      <c r="D1721" s="139" t="s">
        <v>4171</v>
      </c>
    </row>
    <row r="1722" spans="1:4" x14ac:dyDescent="0.25">
      <c r="A1722" s="139" t="s">
        <v>4172</v>
      </c>
      <c r="B1722" s="139" t="s">
        <v>4173</v>
      </c>
      <c r="C1722" s="139" t="s">
        <v>112</v>
      </c>
      <c r="D1722" s="139" t="s">
        <v>4174</v>
      </c>
    </row>
    <row r="1723" spans="1:4" x14ac:dyDescent="0.25">
      <c r="A1723" s="139" t="s">
        <v>4175</v>
      </c>
      <c r="B1723" s="139" t="s">
        <v>4176</v>
      </c>
      <c r="C1723" s="139" t="s">
        <v>112</v>
      </c>
      <c r="D1723" s="139" t="s">
        <v>4177</v>
      </c>
    </row>
    <row r="1724" spans="1:4" x14ac:dyDescent="0.25">
      <c r="A1724" s="139" t="s">
        <v>4178</v>
      </c>
      <c r="B1724" s="139" t="s">
        <v>4179</v>
      </c>
      <c r="C1724" s="139" t="s">
        <v>112</v>
      </c>
      <c r="D1724" s="139" t="s">
        <v>4180</v>
      </c>
    </row>
    <row r="1725" spans="1:4" x14ac:dyDescent="0.25">
      <c r="A1725" s="139" t="s">
        <v>4181</v>
      </c>
      <c r="B1725" s="139" t="s">
        <v>4182</v>
      </c>
      <c r="C1725" s="139" t="s">
        <v>112</v>
      </c>
      <c r="D1725" s="139" t="s">
        <v>4183</v>
      </c>
    </row>
    <row r="1726" spans="1:4" x14ac:dyDescent="0.25">
      <c r="A1726" s="139" t="s">
        <v>4184</v>
      </c>
      <c r="B1726" s="139" t="s">
        <v>4185</v>
      </c>
      <c r="C1726" s="139" t="s">
        <v>112</v>
      </c>
      <c r="D1726" s="139" t="s">
        <v>4186</v>
      </c>
    </row>
    <row r="1727" spans="1:4" x14ac:dyDescent="0.25">
      <c r="A1727" s="139" t="s">
        <v>4187</v>
      </c>
      <c r="B1727" s="139" t="s">
        <v>1833</v>
      </c>
      <c r="C1727" s="139" t="s">
        <v>112</v>
      </c>
      <c r="D1727" s="139" t="s">
        <v>4188</v>
      </c>
    </row>
    <row r="1728" spans="1:4" x14ac:dyDescent="0.25">
      <c r="A1728" s="139" t="s">
        <v>4189</v>
      </c>
      <c r="B1728" s="139" t="s">
        <v>4190</v>
      </c>
      <c r="C1728" s="139" t="s">
        <v>112</v>
      </c>
      <c r="D1728" s="139" t="s">
        <v>4191</v>
      </c>
    </row>
    <row r="1729" spans="1:4" x14ac:dyDescent="0.25">
      <c r="A1729" s="139" t="s">
        <v>4192</v>
      </c>
      <c r="B1729" s="139" t="s">
        <v>4193</v>
      </c>
      <c r="C1729" s="139" t="s">
        <v>44</v>
      </c>
      <c r="D1729" s="139" t="s">
        <v>4194</v>
      </c>
    </row>
    <row r="1730" spans="1:4" x14ac:dyDescent="0.25">
      <c r="A1730" s="139" t="s">
        <v>4195</v>
      </c>
      <c r="B1730" s="139" t="s">
        <v>4196</v>
      </c>
      <c r="C1730" s="139" t="s">
        <v>44</v>
      </c>
      <c r="D1730" s="139" t="s">
        <v>4197</v>
      </c>
    </row>
    <row r="1731" spans="1:4" x14ac:dyDescent="0.25">
      <c r="A1731" s="139" t="s">
        <v>4198</v>
      </c>
      <c r="B1731" s="139" t="s">
        <v>4199</v>
      </c>
      <c r="C1731" s="139" t="s">
        <v>44</v>
      </c>
      <c r="D1731" s="139" t="s">
        <v>4200</v>
      </c>
    </row>
    <row r="1732" spans="1:4" x14ac:dyDescent="0.25">
      <c r="A1732" s="139" t="s">
        <v>4201</v>
      </c>
      <c r="B1732" s="139" t="s">
        <v>4156</v>
      </c>
      <c r="C1732" s="139" t="s">
        <v>658</v>
      </c>
      <c r="D1732" s="139" t="s">
        <v>4202</v>
      </c>
    </row>
    <row r="1733" spans="1:4" x14ac:dyDescent="0.25">
      <c r="A1733" s="139" t="s">
        <v>4203</v>
      </c>
      <c r="B1733" s="139" t="s">
        <v>4204</v>
      </c>
      <c r="C1733" s="139" t="s">
        <v>65</v>
      </c>
      <c r="D1733" s="139" t="s">
        <v>4205</v>
      </c>
    </row>
    <row r="1734" spans="1:4" x14ac:dyDescent="0.25">
      <c r="A1734" s="139" t="s">
        <v>4206</v>
      </c>
      <c r="B1734" s="139" t="s">
        <v>4207</v>
      </c>
      <c r="C1734" s="139" t="s">
        <v>65</v>
      </c>
      <c r="D1734" s="139" t="s">
        <v>4208</v>
      </c>
    </row>
    <row r="1735" spans="1:4" x14ac:dyDescent="0.25">
      <c r="A1735" s="139" t="s">
        <v>4209</v>
      </c>
      <c r="B1735" s="139" t="s">
        <v>4196</v>
      </c>
      <c r="C1735" s="139" t="s">
        <v>1683</v>
      </c>
      <c r="D1735" s="139" t="s">
        <v>4210</v>
      </c>
    </row>
    <row r="1736" spans="1:4" x14ac:dyDescent="0.25">
      <c r="A1736" s="139" t="s">
        <v>4211</v>
      </c>
      <c r="B1736" s="139" t="s">
        <v>2325</v>
      </c>
      <c r="C1736" s="139" t="s">
        <v>1683</v>
      </c>
      <c r="D1736" s="139" t="s">
        <v>4212</v>
      </c>
    </row>
    <row r="1737" spans="1:4" x14ac:dyDescent="0.25">
      <c r="A1737" s="139" t="s">
        <v>4213</v>
      </c>
      <c r="B1737" s="139" t="s">
        <v>4214</v>
      </c>
      <c r="C1737" s="139" t="s">
        <v>1683</v>
      </c>
      <c r="D1737" s="139" t="s">
        <v>4215</v>
      </c>
    </row>
    <row r="1738" spans="1:4" x14ac:dyDescent="0.25">
      <c r="A1738" s="139" t="s">
        <v>4216</v>
      </c>
      <c r="B1738" s="139" t="s">
        <v>904</v>
      </c>
      <c r="C1738" s="139" t="s">
        <v>1683</v>
      </c>
      <c r="D1738" s="139" t="s">
        <v>4217</v>
      </c>
    </row>
    <row r="1739" spans="1:4" x14ac:dyDescent="0.25">
      <c r="A1739" s="139" t="s">
        <v>4218</v>
      </c>
      <c r="B1739" s="139" t="s">
        <v>2493</v>
      </c>
      <c r="C1739" s="139" t="s">
        <v>1683</v>
      </c>
      <c r="D1739" s="139" t="s">
        <v>4219</v>
      </c>
    </row>
    <row r="1740" spans="1:4" x14ac:dyDescent="0.25">
      <c r="A1740" s="139" t="s">
        <v>4220</v>
      </c>
      <c r="B1740" s="139" t="s">
        <v>354</v>
      </c>
      <c r="C1740" s="139" t="s">
        <v>1683</v>
      </c>
      <c r="D1740" s="139" t="s">
        <v>4221</v>
      </c>
    </row>
    <row r="1741" spans="1:4" x14ac:dyDescent="0.25">
      <c r="A1741" s="139" t="s">
        <v>4222</v>
      </c>
      <c r="B1741" s="139" t="s">
        <v>142</v>
      </c>
      <c r="C1741" s="139" t="s">
        <v>1683</v>
      </c>
      <c r="D1741" s="139" t="s">
        <v>4223</v>
      </c>
    </row>
    <row r="1742" spans="1:4" x14ac:dyDescent="0.25">
      <c r="A1742" s="139" t="s">
        <v>4224</v>
      </c>
      <c r="B1742" s="139" t="s">
        <v>675</v>
      </c>
      <c r="C1742" s="139" t="s">
        <v>658</v>
      </c>
      <c r="D1742" s="139" t="s">
        <v>4225</v>
      </c>
    </row>
    <row r="1743" spans="1:4" x14ac:dyDescent="0.25">
      <c r="A1743" s="139" t="s">
        <v>4226</v>
      </c>
      <c r="B1743" s="139" t="s">
        <v>4227</v>
      </c>
      <c r="C1743" s="139" t="s">
        <v>658</v>
      </c>
      <c r="D1743" s="139" t="s">
        <v>4228</v>
      </c>
    </row>
    <row r="1744" spans="1:4" x14ac:dyDescent="0.25">
      <c r="A1744" s="139" t="s">
        <v>4229</v>
      </c>
      <c r="B1744" s="139" t="s">
        <v>895</v>
      </c>
      <c r="C1744" s="139" t="s">
        <v>658</v>
      </c>
      <c r="D1744" s="139" t="s">
        <v>4230</v>
      </c>
    </row>
    <row r="1745" spans="1:4" x14ac:dyDescent="0.25">
      <c r="A1745" s="139" t="s">
        <v>4231</v>
      </c>
      <c r="B1745" s="139" t="s">
        <v>4227</v>
      </c>
      <c r="C1745" s="139" t="s">
        <v>658</v>
      </c>
      <c r="D1745" s="139" t="s">
        <v>4232</v>
      </c>
    </row>
    <row r="1746" spans="1:4" x14ac:dyDescent="0.25">
      <c r="A1746" s="139" t="s">
        <v>4233</v>
      </c>
      <c r="B1746" s="139" t="s">
        <v>675</v>
      </c>
      <c r="C1746" s="139" t="s">
        <v>658</v>
      </c>
      <c r="D1746" s="139" t="s">
        <v>4234</v>
      </c>
    </row>
    <row r="1747" spans="1:4" x14ac:dyDescent="0.25">
      <c r="A1747" s="139" t="s">
        <v>4235</v>
      </c>
      <c r="B1747" s="139" t="s">
        <v>142</v>
      </c>
      <c r="C1747" s="139" t="s">
        <v>1683</v>
      </c>
      <c r="D1747" s="139" t="s">
        <v>4236</v>
      </c>
    </row>
    <row r="1748" spans="1:4" x14ac:dyDescent="0.25">
      <c r="A1748" s="139" t="s">
        <v>4237</v>
      </c>
      <c r="B1748" s="139" t="s">
        <v>354</v>
      </c>
      <c r="C1748" s="139" t="s">
        <v>1683</v>
      </c>
      <c r="D1748" s="139" t="s">
        <v>4238</v>
      </c>
    </row>
    <row r="1749" spans="1:4" x14ac:dyDescent="0.25">
      <c r="A1749" s="139" t="s">
        <v>4239</v>
      </c>
      <c r="B1749" s="139" t="s">
        <v>2493</v>
      </c>
      <c r="C1749" s="139" t="s">
        <v>1683</v>
      </c>
      <c r="D1749" s="139" t="s">
        <v>4240</v>
      </c>
    </row>
    <row r="1750" spans="1:4" x14ac:dyDescent="0.25">
      <c r="A1750" s="139" t="s">
        <v>4241</v>
      </c>
      <c r="B1750" s="139" t="s">
        <v>904</v>
      </c>
      <c r="C1750" s="139" t="s">
        <v>1683</v>
      </c>
      <c r="D1750" s="139" t="s">
        <v>4242</v>
      </c>
    </row>
    <row r="1751" spans="1:4" x14ac:dyDescent="0.25">
      <c r="A1751" s="139" t="s">
        <v>4243</v>
      </c>
      <c r="B1751" s="139" t="s">
        <v>4214</v>
      </c>
      <c r="C1751" s="139" t="s">
        <v>1683</v>
      </c>
      <c r="D1751" s="139" t="s">
        <v>4244</v>
      </c>
    </row>
    <row r="1752" spans="1:4" x14ac:dyDescent="0.25">
      <c r="A1752" s="139" t="s">
        <v>4245</v>
      </c>
      <c r="B1752" s="139" t="s">
        <v>2325</v>
      </c>
      <c r="C1752" s="139" t="s">
        <v>1683</v>
      </c>
      <c r="D1752" s="139" t="s">
        <v>4246</v>
      </c>
    </row>
    <row r="1753" spans="1:4" x14ac:dyDescent="0.25">
      <c r="A1753" s="139" t="s">
        <v>4247</v>
      </c>
      <c r="B1753" s="139" t="s">
        <v>4196</v>
      </c>
      <c r="C1753" s="139" t="s">
        <v>1683</v>
      </c>
      <c r="D1753" s="139" t="s">
        <v>4248</v>
      </c>
    </row>
    <row r="1754" spans="1:4" x14ac:dyDescent="0.25">
      <c r="A1754" s="139" t="s">
        <v>4249</v>
      </c>
      <c r="B1754" s="139" t="s">
        <v>4207</v>
      </c>
      <c r="C1754" s="139" t="s">
        <v>65</v>
      </c>
      <c r="D1754" s="139" t="s">
        <v>4250</v>
      </c>
    </row>
    <row r="1755" spans="1:4" x14ac:dyDescent="0.25">
      <c r="A1755" s="139" t="s">
        <v>4251</v>
      </c>
      <c r="B1755" s="139" t="s">
        <v>4204</v>
      </c>
      <c r="C1755" s="139" t="s">
        <v>65</v>
      </c>
      <c r="D1755" s="139" t="s">
        <v>4252</v>
      </c>
    </row>
    <row r="1756" spans="1:4" x14ac:dyDescent="0.25">
      <c r="A1756" s="139" t="s">
        <v>4253</v>
      </c>
      <c r="B1756" s="139" t="s">
        <v>895</v>
      </c>
      <c r="C1756" s="139" t="s">
        <v>658</v>
      </c>
      <c r="D1756" s="139" t="s">
        <v>4254</v>
      </c>
    </row>
    <row r="1757" spans="1:4" x14ac:dyDescent="0.25">
      <c r="A1757" s="139" t="s">
        <v>4255</v>
      </c>
      <c r="B1757" s="139" t="s">
        <v>4156</v>
      </c>
      <c r="C1757" s="139" t="s">
        <v>658</v>
      </c>
      <c r="D1757" s="139" t="s">
        <v>4256</v>
      </c>
    </row>
    <row r="1758" spans="1:4" x14ac:dyDescent="0.25">
      <c r="A1758" s="139" t="s">
        <v>4257</v>
      </c>
      <c r="B1758" s="139" t="s">
        <v>4199</v>
      </c>
      <c r="C1758" s="139" t="s">
        <v>44</v>
      </c>
      <c r="D1758" s="139" t="s">
        <v>4258</v>
      </c>
    </row>
    <row r="1759" spans="1:4" x14ac:dyDescent="0.25">
      <c r="A1759" s="139" t="s">
        <v>4259</v>
      </c>
      <c r="B1759" s="139" t="s">
        <v>4196</v>
      </c>
      <c r="C1759" s="139" t="s">
        <v>44</v>
      </c>
      <c r="D1759" s="139" t="s">
        <v>4260</v>
      </c>
    </row>
    <row r="1760" spans="1:4" x14ac:dyDescent="0.25">
      <c r="A1760" s="139" t="s">
        <v>4261</v>
      </c>
      <c r="B1760" s="139" t="s">
        <v>4193</v>
      </c>
      <c r="C1760" s="139" t="s">
        <v>44</v>
      </c>
      <c r="D1760" s="139" t="s">
        <v>4262</v>
      </c>
    </row>
    <row r="1761" spans="1:4" x14ac:dyDescent="0.25">
      <c r="A1761" s="139" t="s">
        <v>4263</v>
      </c>
      <c r="B1761" s="139" t="s">
        <v>4182</v>
      </c>
      <c r="C1761" s="139" t="s">
        <v>112</v>
      </c>
      <c r="D1761" s="139" t="s">
        <v>4264</v>
      </c>
    </row>
    <row r="1762" spans="1:4" x14ac:dyDescent="0.25">
      <c r="A1762" s="139" t="s">
        <v>4265</v>
      </c>
      <c r="B1762" s="139" t="s">
        <v>4179</v>
      </c>
      <c r="C1762" s="139" t="s">
        <v>112</v>
      </c>
      <c r="D1762" s="139" t="s">
        <v>4266</v>
      </c>
    </row>
    <row r="1763" spans="1:4" x14ac:dyDescent="0.25">
      <c r="A1763" s="139" t="s">
        <v>4267</v>
      </c>
      <c r="B1763" s="139" t="s">
        <v>4176</v>
      </c>
      <c r="C1763" s="139" t="s">
        <v>112</v>
      </c>
      <c r="D1763" s="139" t="s">
        <v>4268</v>
      </c>
    </row>
    <row r="1764" spans="1:4" x14ac:dyDescent="0.25">
      <c r="A1764" s="139" t="s">
        <v>4269</v>
      </c>
      <c r="B1764" s="139" t="s">
        <v>4173</v>
      </c>
      <c r="C1764" s="139" t="s">
        <v>112</v>
      </c>
      <c r="D1764" s="139" t="s">
        <v>4270</v>
      </c>
    </row>
    <row r="1765" spans="1:4" x14ac:dyDescent="0.25">
      <c r="A1765" s="139" t="s">
        <v>4271</v>
      </c>
      <c r="B1765" s="139" t="s">
        <v>4170</v>
      </c>
      <c r="C1765" s="139" t="s">
        <v>112</v>
      </c>
      <c r="D1765" s="139" t="s">
        <v>4272</v>
      </c>
    </row>
    <row r="1766" spans="1:4" x14ac:dyDescent="0.25">
      <c r="A1766" s="139" t="s">
        <v>4273</v>
      </c>
      <c r="B1766" s="139" t="s">
        <v>4167</v>
      </c>
      <c r="C1766" s="139" t="s">
        <v>112</v>
      </c>
      <c r="D1766" s="139" t="s">
        <v>4274</v>
      </c>
    </row>
    <row r="1767" spans="1:4" x14ac:dyDescent="0.25">
      <c r="A1767" s="139" t="s">
        <v>4275</v>
      </c>
      <c r="B1767" s="139" t="s">
        <v>4156</v>
      </c>
      <c r="C1767" s="139" t="s">
        <v>112</v>
      </c>
      <c r="D1767" s="139" t="s">
        <v>4276</v>
      </c>
    </row>
    <row r="1768" spans="1:4" x14ac:dyDescent="0.25">
      <c r="A1768" s="139" t="s">
        <v>4277</v>
      </c>
      <c r="B1768" s="139" t="s">
        <v>4153</v>
      </c>
      <c r="C1768" s="139" t="s">
        <v>112</v>
      </c>
      <c r="D1768" s="139" t="s">
        <v>4278</v>
      </c>
    </row>
    <row r="1769" spans="1:4" x14ac:dyDescent="0.25">
      <c r="A1769" s="139" t="s">
        <v>4279</v>
      </c>
      <c r="B1769" s="139" t="s">
        <v>4150</v>
      </c>
      <c r="C1769" s="139" t="s">
        <v>112</v>
      </c>
      <c r="D1769" s="139" t="s">
        <v>4280</v>
      </c>
    </row>
    <row r="1770" spans="1:4" x14ac:dyDescent="0.25">
      <c r="A1770" s="139" t="s">
        <v>4281</v>
      </c>
      <c r="B1770" s="139" t="s">
        <v>4147</v>
      </c>
      <c r="C1770" s="139" t="s">
        <v>65</v>
      </c>
      <c r="D1770" s="139" t="s">
        <v>4282</v>
      </c>
    </row>
    <row r="1771" spans="1:4" x14ac:dyDescent="0.25">
      <c r="A1771" s="139" t="s">
        <v>4283</v>
      </c>
      <c r="B1771" s="139" t="s">
        <v>4144</v>
      </c>
      <c r="C1771" s="139" t="s">
        <v>65</v>
      </c>
      <c r="D1771" s="139" t="s">
        <v>4284</v>
      </c>
    </row>
    <row r="1772" spans="1:4" x14ac:dyDescent="0.25">
      <c r="A1772" s="139" t="s">
        <v>4285</v>
      </c>
      <c r="B1772" s="139" t="s">
        <v>4039</v>
      </c>
      <c r="C1772" s="139" t="s">
        <v>65</v>
      </c>
      <c r="D1772" s="139" t="s">
        <v>4286</v>
      </c>
    </row>
    <row r="1773" spans="1:4" x14ac:dyDescent="0.25">
      <c r="A1773" s="139" t="s">
        <v>4287</v>
      </c>
      <c r="B1773" s="139" t="s">
        <v>4139</v>
      </c>
      <c r="C1773" s="139" t="s">
        <v>65</v>
      </c>
      <c r="D1773" s="139" t="s">
        <v>4288</v>
      </c>
    </row>
    <row r="1774" spans="1:4" x14ac:dyDescent="0.25">
      <c r="A1774" s="139" t="s">
        <v>4289</v>
      </c>
      <c r="B1774" s="139" t="s">
        <v>4136</v>
      </c>
      <c r="C1774" s="139" t="s">
        <v>65</v>
      </c>
      <c r="D1774" s="139" t="s">
        <v>4290</v>
      </c>
    </row>
    <row r="1775" spans="1:4" x14ac:dyDescent="0.25">
      <c r="A1775" s="139" t="s">
        <v>4291</v>
      </c>
      <c r="B1775" s="139" t="s">
        <v>4190</v>
      </c>
      <c r="C1775" s="139" t="s">
        <v>112</v>
      </c>
      <c r="D1775" s="139" t="s">
        <v>4292</v>
      </c>
    </row>
    <row r="1776" spans="1:4" x14ac:dyDescent="0.25">
      <c r="A1776" s="139" t="s">
        <v>4293</v>
      </c>
      <c r="B1776" s="139" t="s">
        <v>1833</v>
      </c>
      <c r="C1776" s="139" t="s">
        <v>112</v>
      </c>
      <c r="D1776" s="139" t="s">
        <v>4294</v>
      </c>
    </row>
    <row r="1777" spans="1:4" x14ac:dyDescent="0.25">
      <c r="A1777" s="139" t="s">
        <v>4295</v>
      </c>
      <c r="B1777" s="139" t="s">
        <v>4185</v>
      </c>
      <c r="C1777" s="139" t="s">
        <v>112</v>
      </c>
      <c r="D1777" s="139" t="s">
        <v>4296</v>
      </c>
    </row>
    <row r="1778" spans="1:4" x14ac:dyDescent="0.25">
      <c r="A1778" s="139" t="s">
        <v>4297</v>
      </c>
      <c r="B1778" s="139" t="s">
        <v>4164</v>
      </c>
      <c r="C1778" s="139" t="s">
        <v>112</v>
      </c>
      <c r="D1778" s="139" t="s">
        <v>4298</v>
      </c>
    </row>
    <row r="1779" spans="1:4" x14ac:dyDescent="0.25">
      <c r="A1779" s="139" t="s">
        <v>4299</v>
      </c>
      <c r="B1779" s="139" t="s">
        <v>4161</v>
      </c>
      <c r="C1779" s="139" t="s">
        <v>112</v>
      </c>
      <c r="D1779" s="139" t="s">
        <v>4300</v>
      </c>
    </row>
    <row r="1780" spans="1:4" x14ac:dyDescent="0.25">
      <c r="A1780" s="139" t="s">
        <v>4301</v>
      </c>
      <c r="B1780" s="139" t="s">
        <v>895</v>
      </c>
      <c r="C1780" s="139" t="s">
        <v>112</v>
      </c>
      <c r="D1780" s="139" t="s">
        <v>4302</v>
      </c>
    </row>
    <row r="1781" spans="1:4" x14ac:dyDescent="0.25">
      <c r="A1781" s="139" t="s">
        <v>4303</v>
      </c>
      <c r="B1781" s="139" t="s">
        <v>4304</v>
      </c>
      <c r="C1781" s="139" t="s">
        <v>65</v>
      </c>
      <c r="D1781" s="139" t="s">
        <v>4305</v>
      </c>
    </row>
    <row r="1782" spans="1:4" x14ac:dyDescent="0.25">
      <c r="A1782" s="139" t="s">
        <v>4306</v>
      </c>
      <c r="B1782" s="139" t="s">
        <v>4304</v>
      </c>
      <c r="C1782" s="139" t="s">
        <v>65</v>
      </c>
      <c r="D1782" s="139" t="s">
        <v>4307</v>
      </c>
    </row>
    <row r="1783" spans="1:4" x14ac:dyDescent="0.25">
      <c r="A1783" s="139" t="s">
        <v>4308</v>
      </c>
      <c r="B1783" s="139" t="s">
        <v>4309</v>
      </c>
      <c r="C1783" s="139" t="s">
        <v>112</v>
      </c>
      <c r="D1783" s="139" t="s">
        <v>4310</v>
      </c>
    </row>
    <row r="1784" spans="1:4" x14ac:dyDescent="0.25">
      <c r="A1784" s="139" t="s">
        <v>4311</v>
      </c>
      <c r="B1784" s="139" t="s">
        <v>4309</v>
      </c>
      <c r="C1784" s="139" t="s">
        <v>112</v>
      </c>
      <c r="D1784" s="139" t="s">
        <v>4312</v>
      </c>
    </row>
    <row r="1785" spans="1:4" x14ac:dyDescent="0.25">
      <c r="A1785" s="139" t="s">
        <v>4313</v>
      </c>
      <c r="B1785" s="139" t="s">
        <v>4314</v>
      </c>
      <c r="C1785" s="139" t="s">
        <v>112</v>
      </c>
      <c r="D1785" s="139" t="s">
        <v>4315</v>
      </c>
    </row>
    <row r="1786" spans="1:4" x14ac:dyDescent="0.25">
      <c r="A1786" s="139" t="s">
        <v>4316</v>
      </c>
      <c r="B1786" s="139" t="s">
        <v>4314</v>
      </c>
      <c r="C1786" s="139" t="s">
        <v>112</v>
      </c>
      <c r="D1786" s="139" t="s">
        <v>4317</v>
      </c>
    </row>
    <row r="1787" spans="1:4" x14ac:dyDescent="0.25">
      <c r="A1787" s="139" t="s">
        <v>4318</v>
      </c>
      <c r="B1787" s="139" t="s">
        <v>3667</v>
      </c>
      <c r="C1787" s="139" t="s">
        <v>65</v>
      </c>
      <c r="D1787" s="139" t="s">
        <v>4319</v>
      </c>
    </row>
    <row r="1788" spans="1:4" x14ac:dyDescent="0.25">
      <c r="A1788" s="139" t="s">
        <v>4320</v>
      </c>
      <c r="B1788" s="139" t="s">
        <v>3667</v>
      </c>
      <c r="C1788" s="139" t="s">
        <v>65</v>
      </c>
      <c r="D1788" s="139" t="s">
        <v>4321</v>
      </c>
    </row>
    <row r="1789" spans="1:4" x14ac:dyDescent="0.25">
      <c r="A1789" s="139" t="s">
        <v>4322</v>
      </c>
      <c r="B1789" s="139" t="s">
        <v>1657</v>
      </c>
      <c r="C1789" s="139" t="s">
        <v>65</v>
      </c>
      <c r="D1789" s="139" t="s">
        <v>4323</v>
      </c>
    </row>
    <row r="1790" spans="1:4" x14ac:dyDescent="0.25">
      <c r="A1790" s="139" t="s">
        <v>4324</v>
      </c>
      <c r="B1790" s="139" t="s">
        <v>1657</v>
      </c>
      <c r="C1790" s="139" t="s">
        <v>65</v>
      </c>
      <c r="D1790" s="139" t="s">
        <v>4325</v>
      </c>
    </row>
    <row r="1791" spans="1:4" x14ac:dyDescent="0.25">
      <c r="A1791" s="139" t="s">
        <v>4326</v>
      </c>
      <c r="B1791" s="139" t="s">
        <v>4327</v>
      </c>
      <c r="C1791" s="139" t="s">
        <v>112</v>
      </c>
      <c r="D1791" s="139" t="s">
        <v>4328</v>
      </c>
    </row>
    <row r="1792" spans="1:4" x14ac:dyDescent="0.25">
      <c r="A1792" s="139" t="s">
        <v>4329</v>
      </c>
      <c r="B1792" s="139" t="s">
        <v>4327</v>
      </c>
      <c r="C1792" s="139" t="s">
        <v>112</v>
      </c>
      <c r="D1792" s="139" t="s">
        <v>4330</v>
      </c>
    </row>
    <row r="1793" spans="1:4" x14ac:dyDescent="0.25">
      <c r="A1793" s="139" t="s">
        <v>4331</v>
      </c>
      <c r="B1793" s="139" t="s">
        <v>4332</v>
      </c>
      <c r="C1793" s="139" t="s">
        <v>112</v>
      </c>
      <c r="D1793" s="139" t="s">
        <v>4333</v>
      </c>
    </row>
    <row r="1794" spans="1:4" x14ac:dyDescent="0.25">
      <c r="A1794" s="139" t="s">
        <v>4334</v>
      </c>
      <c r="B1794" s="139" t="s">
        <v>4332</v>
      </c>
      <c r="C1794" s="139" t="s">
        <v>112</v>
      </c>
      <c r="D1794" s="139" t="s">
        <v>4335</v>
      </c>
    </row>
    <row r="1795" spans="1:4" x14ac:dyDescent="0.25">
      <c r="A1795" s="139" t="s">
        <v>4336</v>
      </c>
      <c r="B1795" s="139" t="s">
        <v>4337</v>
      </c>
      <c r="C1795" s="139" t="s">
        <v>112</v>
      </c>
      <c r="D1795" s="139" t="s">
        <v>4338</v>
      </c>
    </row>
    <row r="1796" spans="1:4" x14ac:dyDescent="0.25">
      <c r="A1796" s="139" t="s">
        <v>4339</v>
      </c>
      <c r="B1796" s="139" t="s">
        <v>4337</v>
      </c>
      <c r="C1796" s="139" t="s">
        <v>112</v>
      </c>
      <c r="D1796" s="139" t="s">
        <v>4340</v>
      </c>
    </row>
    <row r="1797" spans="1:4" x14ac:dyDescent="0.25">
      <c r="A1797" s="139" t="s">
        <v>4341</v>
      </c>
      <c r="B1797" s="139" t="s">
        <v>4342</v>
      </c>
      <c r="C1797" s="139" t="s">
        <v>65</v>
      </c>
      <c r="D1797" s="139" t="s">
        <v>4343</v>
      </c>
    </row>
    <row r="1798" spans="1:4" x14ac:dyDescent="0.25">
      <c r="A1798" s="139" t="s">
        <v>4344</v>
      </c>
      <c r="B1798" s="139" t="s">
        <v>4342</v>
      </c>
      <c r="C1798" s="139" t="s">
        <v>65</v>
      </c>
      <c r="D1798" s="139" t="s">
        <v>4345</v>
      </c>
    </row>
    <row r="1799" spans="1:4" x14ac:dyDescent="0.25">
      <c r="A1799" s="139" t="s">
        <v>4346</v>
      </c>
      <c r="B1799" s="139" t="s">
        <v>4347</v>
      </c>
      <c r="C1799" s="139" t="s">
        <v>112</v>
      </c>
      <c r="D1799" s="139" t="s">
        <v>4348</v>
      </c>
    </row>
    <row r="1800" spans="1:4" x14ac:dyDescent="0.25">
      <c r="A1800" s="139" t="s">
        <v>4349</v>
      </c>
      <c r="B1800" s="139" t="s">
        <v>4347</v>
      </c>
      <c r="C1800" s="139" t="s">
        <v>112</v>
      </c>
      <c r="D1800" s="139" t="s">
        <v>4350</v>
      </c>
    </row>
    <row r="1801" spans="1:4" x14ac:dyDescent="0.25">
      <c r="A1801" s="139" t="s">
        <v>4351</v>
      </c>
      <c r="B1801" s="139" t="s">
        <v>4352</v>
      </c>
      <c r="C1801" s="139" t="s">
        <v>65</v>
      </c>
      <c r="D1801" s="139" t="s">
        <v>4353</v>
      </c>
    </row>
    <row r="1802" spans="1:4" x14ac:dyDescent="0.25">
      <c r="A1802" s="139" t="s">
        <v>4354</v>
      </c>
      <c r="B1802" s="139" t="s">
        <v>4352</v>
      </c>
      <c r="C1802" s="139" t="s">
        <v>65</v>
      </c>
      <c r="D1802" s="139" t="s">
        <v>4355</v>
      </c>
    </row>
    <row r="1803" spans="1:4" x14ac:dyDescent="0.25">
      <c r="A1803" s="139" t="s">
        <v>4356</v>
      </c>
      <c r="B1803" s="139" t="s">
        <v>4357</v>
      </c>
      <c r="C1803" s="139" t="s">
        <v>65</v>
      </c>
      <c r="D1803" s="139" t="s">
        <v>4358</v>
      </c>
    </row>
    <row r="1804" spans="1:4" x14ac:dyDescent="0.25">
      <c r="A1804" s="139" t="s">
        <v>4359</v>
      </c>
      <c r="B1804" s="139" t="s">
        <v>4357</v>
      </c>
      <c r="C1804" s="139" t="s">
        <v>65</v>
      </c>
      <c r="D1804" s="139" t="s">
        <v>4360</v>
      </c>
    </row>
    <row r="1805" spans="1:4" x14ac:dyDescent="0.25">
      <c r="A1805" s="139" t="s">
        <v>4361</v>
      </c>
      <c r="B1805" s="139" t="s">
        <v>2880</v>
      </c>
      <c r="C1805" s="139" t="s">
        <v>112</v>
      </c>
      <c r="D1805" s="139" t="s">
        <v>4362</v>
      </c>
    </row>
    <row r="1806" spans="1:4" x14ac:dyDescent="0.25">
      <c r="A1806" s="139" t="s">
        <v>4363</v>
      </c>
      <c r="B1806" s="139" t="s">
        <v>2880</v>
      </c>
      <c r="C1806" s="139" t="s">
        <v>112</v>
      </c>
      <c r="D1806" s="139" t="s">
        <v>4364</v>
      </c>
    </row>
    <row r="1807" spans="1:4" x14ac:dyDescent="0.25">
      <c r="A1807" s="139" t="s">
        <v>4365</v>
      </c>
      <c r="B1807" s="139" t="s">
        <v>4366</v>
      </c>
      <c r="C1807" s="139" t="s">
        <v>658</v>
      </c>
      <c r="D1807" s="139" t="s">
        <v>4367</v>
      </c>
    </row>
    <row r="1808" spans="1:4" x14ac:dyDescent="0.25">
      <c r="A1808" s="139" t="s">
        <v>4368</v>
      </c>
      <c r="B1808" s="139" t="s">
        <v>4366</v>
      </c>
      <c r="C1808" s="139" t="s">
        <v>658</v>
      </c>
      <c r="D1808" s="139" t="s">
        <v>4369</v>
      </c>
    </row>
    <row r="1809" spans="1:4" x14ac:dyDescent="0.25">
      <c r="A1809" s="139" t="s">
        <v>4370</v>
      </c>
      <c r="B1809" s="139" t="s">
        <v>4371</v>
      </c>
      <c r="C1809" s="139" t="s">
        <v>658</v>
      </c>
      <c r="D1809" s="139" t="s">
        <v>4372</v>
      </c>
    </row>
    <row r="1810" spans="1:4" x14ac:dyDescent="0.25">
      <c r="A1810" s="139" t="s">
        <v>4373</v>
      </c>
      <c r="B1810" s="139" t="s">
        <v>4371</v>
      </c>
      <c r="C1810" s="139" t="s">
        <v>658</v>
      </c>
      <c r="D1810" s="139" t="s">
        <v>4374</v>
      </c>
    </row>
    <row r="1811" spans="1:4" x14ac:dyDescent="0.25">
      <c r="A1811" s="139" t="s">
        <v>4375</v>
      </c>
      <c r="B1811" s="139" t="s">
        <v>4376</v>
      </c>
      <c r="C1811" s="139" t="s">
        <v>65</v>
      </c>
      <c r="D1811" s="139" t="s">
        <v>4377</v>
      </c>
    </row>
    <row r="1812" spans="1:4" x14ac:dyDescent="0.25">
      <c r="A1812" s="139" t="s">
        <v>4378</v>
      </c>
      <c r="B1812" s="139" t="s">
        <v>4376</v>
      </c>
      <c r="C1812" s="139" t="s">
        <v>65</v>
      </c>
      <c r="D1812" s="139" t="s">
        <v>4379</v>
      </c>
    </row>
    <row r="1813" spans="1:4" x14ac:dyDescent="0.25">
      <c r="A1813" s="139" t="s">
        <v>4380</v>
      </c>
      <c r="B1813" s="139" t="s">
        <v>4381</v>
      </c>
      <c r="C1813" s="139" t="s">
        <v>65</v>
      </c>
      <c r="D1813" s="139" t="s">
        <v>4382</v>
      </c>
    </row>
    <row r="1814" spans="1:4" x14ac:dyDescent="0.25">
      <c r="A1814" s="139" t="s">
        <v>4383</v>
      </c>
      <c r="B1814" s="139" t="s">
        <v>4381</v>
      </c>
      <c r="C1814" s="139" t="s">
        <v>65</v>
      </c>
      <c r="D1814" s="139" t="s">
        <v>4384</v>
      </c>
    </row>
    <row r="1815" spans="1:4" x14ac:dyDescent="0.25">
      <c r="A1815" s="139" t="s">
        <v>4385</v>
      </c>
      <c r="B1815" s="139" t="s">
        <v>4386</v>
      </c>
      <c r="C1815" s="139" t="s">
        <v>127</v>
      </c>
      <c r="D1815" s="139" t="s">
        <v>4387</v>
      </c>
    </row>
    <row r="1816" spans="1:4" x14ac:dyDescent="0.25">
      <c r="A1816" s="139" t="s">
        <v>4388</v>
      </c>
      <c r="B1816" s="139" t="s">
        <v>4386</v>
      </c>
      <c r="C1816" s="139" t="s">
        <v>127</v>
      </c>
      <c r="D1816" s="139" t="s">
        <v>4389</v>
      </c>
    </row>
    <row r="1817" spans="1:4" x14ac:dyDescent="0.25">
      <c r="A1817" s="139" t="s">
        <v>4390</v>
      </c>
      <c r="B1817" s="139" t="s">
        <v>4391</v>
      </c>
      <c r="C1817" s="139" t="s">
        <v>127</v>
      </c>
      <c r="D1817" s="139" t="s">
        <v>4392</v>
      </c>
    </row>
    <row r="1818" spans="1:4" x14ac:dyDescent="0.25">
      <c r="A1818" s="139" t="s">
        <v>4393</v>
      </c>
      <c r="B1818" s="139" t="s">
        <v>4391</v>
      </c>
      <c r="C1818" s="139" t="s">
        <v>127</v>
      </c>
      <c r="D1818" s="139" t="s">
        <v>4394</v>
      </c>
    </row>
    <row r="1819" spans="1:4" x14ac:dyDescent="0.25">
      <c r="A1819" s="139" t="s">
        <v>4395</v>
      </c>
      <c r="B1819" s="139" t="s">
        <v>4396</v>
      </c>
      <c r="C1819" s="139" t="s">
        <v>127</v>
      </c>
      <c r="D1819" s="139" t="s">
        <v>4397</v>
      </c>
    </row>
    <row r="1820" spans="1:4" x14ac:dyDescent="0.25">
      <c r="A1820" s="139" t="s">
        <v>4398</v>
      </c>
      <c r="B1820" s="139" t="s">
        <v>4396</v>
      </c>
      <c r="C1820" s="139" t="s">
        <v>127</v>
      </c>
      <c r="D1820" s="139" t="s">
        <v>4399</v>
      </c>
    </row>
    <row r="1821" spans="1:4" x14ac:dyDescent="0.25">
      <c r="A1821" s="139" t="s">
        <v>4400</v>
      </c>
      <c r="B1821" s="139" t="s">
        <v>4401</v>
      </c>
      <c r="C1821" s="139" t="s">
        <v>127</v>
      </c>
      <c r="D1821" s="139" t="s">
        <v>4402</v>
      </c>
    </row>
    <row r="1822" spans="1:4" x14ac:dyDescent="0.25">
      <c r="A1822" s="139" t="s">
        <v>4403</v>
      </c>
      <c r="B1822" s="139" t="s">
        <v>4401</v>
      </c>
      <c r="C1822" s="139" t="s">
        <v>127</v>
      </c>
      <c r="D1822" s="139" t="s">
        <v>4404</v>
      </c>
    </row>
    <row r="1823" spans="1:4" x14ac:dyDescent="0.25">
      <c r="A1823" s="139" t="s">
        <v>4405</v>
      </c>
      <c r="B1823" s="139" t="s">
        <v>4406</v>
      </c>
      <c r="C1823" s="139" t="s">
        <v>65</v>
      </c>
      <c r="D1823" s="139" t="s">
        <v>4407</v>
      </c>
    </row>
    <row r="1824" spans="1:4" x14ac:dyDescent="0.25">
      <c r="A1824" s="139" t="s">
        <v>4408</v>
      </c>
      <c r="B1824" s="139" t="s">
        <v>4406</v>
      </c>
      <c r="C1824" s="139" t="s">
        <v>65</v>
      </c>
      <c r="D1824" s="139" t="s">
        <v>4409</v>
      </c>
    </row>
    <row r="1825" spans="1:4" x14ac:dyDescent="0.25">
      <c r="A1825" s="139" t="s">
        <v>4410</v>
      </c>
      <c r="B1825" s="139" t="s">
        <v>837</v>
      </c>
      <c r="C1825" s="139" t="s">
        <v>65</v>
      </c>
      <c r="D1825" s="139" t="s">
        <v>4411</v>
      </c>
    </row>
    <row r="1826" spans="1:4" x14ac:dyDescent="0.25">
      <c r="A1826" s="139" t="s">
        <v>4412</v>
      </c>
      <c r="B1826" s="139" t="s">
        <v>837</v>
      </c>
      <c r="C1826" s="139" t="s">
        <v>65</v>
      </c>
      <c r="D1826" s="139" t="s">
        <v>4413</v>
      </c>
    </row>
    <row r="1827" spans="1:4" x14ac:dyDescent="0.25">
      <c r="A1827" s="139" t="s">
        <v>4414</v>
      </c>
      <c r="B1827" s="139" t="s">
        <v>4415</v>
      </c>
      <c r="C1827" s="139" t="s">
        <v>65</v>
      </c>
      <c r="D1827" s="139" t="s">
        <v>4416</v>
      </c>
    </row>
    <row r="1828" spans="1:4" x14ac:dyDescent="0.25">
      <c r="A1828" s="139" t="s">
        <v>4417</v>
      </c>
      <c r="B1828" s="139" t="s">
        <v>4415</v>
      </c>
      <c r="C1828" s="139" t="s">
        <v>65</v>
      </c>
      <c r="D1828" s="139" t="s">
        <v>4418</v>
      </c>
    </row>
    <row r="1829" spans="1:4" x14ac:dyDescent="0.25">
      <c r="A1829" s="139" t="s">
        <v>4419</v>
      </c>
      <c r="B1829" s="139" t="s">
        <v>32</v>
      </c>
      <c r="C1829" s="139" t="s">
        <v>65</v>
      </c>
      <c r="D1829" s="139" t="s">
        <v>4420</v>
      </c>
    </row>
    <row r="1830" spans="1:4" x14ac:dyDescent="0.25">
      <c r="A1830" s="139" t="s">
        <v>4421</v>
      </c>
      <c r="B1830" s="139" t="s">
        <v>32</v>
      </c>
      <c r="C1830" s="139" t="s">
        <v>65</v>
      </c>
      <c r="D1830" s="139" t="s">
        <v>4422</v>
      </c>
    </row>
    <row r="1831" spans="1:4" x14ac:dyDescent="0.25">
      <c r="A1831" s="139" t="s">
        <v>4423</v>
      </c>
      <c r="B1831" s="139" t="s">
        <v>4139</v>
      </c>
      <c r="C1831" s="139" t="s">
        <v>65</v>
      </c>
      <c r="D1831" s="139" t="s">
        <v>4424</v>
      </c>
    </row>
    <row r="1832" spans="1:4" x14ac:dyDescent="0.25">
      <c r="A1832" s="139" t="s">
        <v>4425</v>
      </c>
      <c r="B1832" s="139" t="s">
        <v>4139</v>
      </c>
      <c r="C1832" s="139" t="s">
        <v>65</v>
      </c>
      <c r="D1832" s="139" t="s">
        <v>4426</v>
      </c>
    </row>
    <row r="1833" spans="1:4" x14ac:dyDescent="0.25">
      <c r="A1833" s="139" t="s">
        <v>4427</v>
      </c>
      <c r="B1833" s="139" t="s">
        <v>1039</v>
      </c>
      <c r="C1833" s="139" t="s">
        <v>65</v>
      </c>
      <c r="D1833" s="139" t="s">
        <v>4428</v>
      </c>
    </row>
    <row r="1834" spans="1:4" x14ac:dyDescent="0.25">
      <c r="A1834" s="139" t="s">
        <v>4429</v>
      </c>
      <c r="B1834" s="139" t="s">
        <v>1039</v>
      </c>
      <c r="C1834" s="139" t="s">
        <v>65</v>
      </c>
      <c r="D1834" s="139" t="s">
        <v>4430</v>
      </c>
    </row>
    <row r="1835" spans="1:4" x14ac:dyDescent="0.25">
      <c r="A1835" s="139" t="s">
        <v>4431</v>
      </c>
      <c r="B1835" s="139" t="s">
        <v>4432</v>
      </c>
      <c r="C1835" s="139" t="s">
        <v>316</v>
      </c>
      <c r="D1835" s="139" t="s">
        <v>4433</v>
      </c>
    </row>
    <row r="1836" spans="1:4" x14ac:dyDescent="0.25">
      <c r="A1836" s="139" t="s">
        <v>4434</v>
      </c>
      <c r="B1836" s="139" t="s">
        <v>4432</v>
      </c>
      <c r="C1836" s="139" t="s">
        <v>316</v>
      </c>
      <c r="D1836" s="139" t="s">
        <v>4435</v>
      </c>
    </row>
    <row r="1837" spans="1:4" x14ac:dyDescent="0.25">
      <c r="A1837" s="139" t="s">
        <v>4436</v>
      </c>
      <c r="B1837" s="139" t="s">
        <v>4437</v>
      </c>
      <c r="C1837" s="139" t="s">
        <v>316</v>
      </c>
      <c r="D1837" s="139" t="s">
        <v>4438</v>
      </c>
    </row>
    <row r="1838" spans="1:4" x14ac:dyDescent="0.25">
      <c r="A1838" s="139" t="s">
        <v>4439</v>
      </c>
      <c r="B1838" s="139" t="s">
        <v>4437</v>
      </c>
      <c r="C1838" s="139" t="s">
        <v>316</v>
      </c>
      <c r="D1838" s="139" t="s">
        <v>4440</v>
      </c>
    </row>
    <row r="1839" spans="1:4" x14ac:dyDescent="0.25">
      <c r="A1839" s="139" t="s">
        <v>4441</v>
      </c>
      <c r="B1839" s="139" t="s">
        <v>4442</v>
      </c>
      <c r="C1839" s="139" t="s">
        <v>316</v>
      </c>
      <c r="D1839" s="139" t="s">
        <v>4443</v>
      </c>
    </row>
    <row r="1840" spans="1:4" x14ac:dyDescent="0.25">
      <c r="A1840" s="139" t="s">
        <v>4444</v>
      </c>
      <c r="B1840" s="139" t="s">
        <v>4442</v>
      </c>
      <c r="C1840" s="139" t="s">
        <v>316</v>
      </c>
      <c r="D1840" s="139" t="s">
        <v>4445</v>
      </c>
    </row>
    <row r="1841" spans="1:4" x14ac:dyDescent="0.25">
      <c r="A1841" s="139" t="s">
        <v>4446</v>
      </c>
      <c r="B1841" s="139" t="s">
        <v>4447</v>
      </c>
      <c r="C1841" s="139" t="s">
        <v>65</v>
      </c>
      <c r="D1841" s="139" t="s">
        <v>4448</v>
      </c>
    </row>
    <row r="1842" spans="1:4" x14ac:dyDescent="0.25">
      <c r="A1842" s="139" t="s">
        <v>4449</v>
      </c>
      <c r="B1842" s="139" t="s">
        <v>4447</v>
      </c>
      <c r="C1842" s="139" t="s">
        <v>65</v>
      </c>
      <c r="D1842" s="139" t="s">
        <v>4450</v>
      </c>
    </row>
    <row r="1843" spans="1:4" x14ac:dyDescent="0.25">
      <c r="A1843" s="139" t="s">
        <v>4451</v>
      </c>
      <c r="B1843" s="139" t="s">
        <v>541</v>
      </c>
      <c r="C1843" s="139" t="s">
        <v>4452</v>
      </c>
      <c r="D1843" s="139" t="s">
        <v>4453</v>
      </c>
    </row>
    <row r="1844" spans="1:4" x14ac:dyDescent="0.25">
      <c r="A1844" s="139" t="s">
        <v>4454</v>
      </c>
      <c r="B1844" s="139" t="s">
        <v>541</v>
      </c>
      <c r="C1844" s="139" t="s">
        <v>4452</v>
      </c>
      <c r="D1844" s="139" t="s">
        <v>4455</v>
      </c>
    </row>
    <row r="1845" spans="1:4" x14ac:dyDescent="0.25">
      <c r="A1845" s="139" t="s">
        <v>4456</v>
      </c>
      <c r="B1845" s="139" t="s">
        <v>4457</v>
      </c>
      <c r="C1845" s="139" t="s">
        <v>123</v>
      </c>
      <c r="D1845" s="139" t="s">
        <v>4458</v>
      </c>
    </row>
    <row r="1846" spans="1:4" x14ac:dyDescent="0.25">
      <c r="A1846" s="139" t="s">
        <v>4459</v>
      </c>
      <c r="B1846" s="139" t="s">
        <v>4457</v>
      </c>
      <c r="C1846" s="139" t="s">
        <v>123</v>
      </c>
      <c r="D1846" s="139" t="s">
        <v>4460</v>
      </c>
    </row>
    <row r="1847" spans="1:4" x14ac:dyDescent="0.25">
      <c r="A1847" s="139" t="s">
        <v>4461</v>
      </c>
      <c r="B1847" s="139" t="s">
        <v>4462</v>
      </c>
      <c r="C1847" s="139" t="s">
        <v>123</v>
      </c>
      <c r="D1847" s="139" t="s">
        <v>4463</v>
      </c>
    </row>
    <row r="1848" spans="1:4" x14ac:dyDescent="0.25">
      <c r="A1848" s="139" t="s">
        <v>4464</v>
      </c>
      <c r="B1848" s="139" t="s">
        <v>4462</v>
      </c>
      <c r="C1848" s="139" t="s">
        <v>123</v>
      </c>
      <c r="D1848" s="139" t="s">
        <v>4465</v>
      </c>
    </row>
    <row r="1849" spans="1:4" x14ac:dyDescent="0.25">
      <c r="A1849" s="139" t="s">
        <v>4466</v>
      </c>
      <c r="B1849" s="139" t="s">
        <v>4467</v>
      </c>
      <c r="C1849" s="139" t="s">
        <v>123</v>
      </c>
      <c r="D1849" s="139" t="s">
        <v>4468</v>
      </c>
    </row>
    <row r="1850" spans="1:4" x14ac:dyDescent="0.25">
      <c r="A1850" s="139" t="s">
        <v>4469</v>
      </c>
      <c r="B1850" s="139" t="s">
        <v>4467</v>
      </c>
      <c r="C1850" s="139" t="s">
        <v>123</v>
      </c>
      <c r="D1850" s="139" t="s">
        <v>4470</v>
      </c>
    </row>
    <row r="1851" spans="1:4" x14ac:dyDescent="0.25">
      <c r="A1851" s="139" t="s">
        <v>4471</v>
      </c>
      <c r="B1851" s="139" t="s">
        <v>4472</v>
      </c>
      <c r="C1851" s="139" t="s">
        <v>123</v>
      </c>
      <c r="D1851" s="139" t="s">
        <v>4473</v>
      </c>
    </row>
    <row r="1852" spans="1:4" x14ac:dyDescent="0.25">
      <c r="A1852" s="139" t="s">
        <v>4474</v>
      </c>
      <c r="B1852" s="139" t="s">
        <v>4472</v>
      </c>
      <c r="C1852" s="139" t="s">
        <v>123</v>
      </c>
      <c r="D1852" s="139" t="s">
        <v>4475</v>
      </c>
    </row>
    <row r="1853" spans="1:4" x14ac:dyDescent="0.25">
      <c r="A1853" s="139" t="s">
        <v>4476</v>
      </c>
      <c r="B1853" s="139" t="s">
        <v>4095</v>
      </c>
      <c r="C1853" s="139" t="s">
        <v>33</v>
      </c>
      <c r="D1853" s="139" t="s">
        <v>4477</v>
      </c>
    </row>
    <row r="1854" spans="1:4" x14ac:dyDescent="0.25">
      <c r="A1854" s="139" t="s">
        <v>4478</v>
      </c>
      <c r="B1854" s="139" t="s">
        <v>4095</v>
      </c>
      <c r="C1854" s="139" t="s">
        <v>33</v>
      </c>
      <c r="D1854" s="139" t="s">
        <v>4479</v>
      </c>
    </row>
    <row r="1855" spans="1:4" x14ac:dyDescent="0.25">
      <c r="A1855" s="139" t="s">
        <v>4480</v>
      </c>
      <c r="B1855" s="139" t="s">
        <v>4481</v>
      </c>
      <c r="C1855" s="139" t="s">
        <v>65</v>
      </c>
      <c r="D1855" s="139" t="s">
        <v>4482</v>
      </c>
    </row>
    <row r="1856" spans="1:4" x14ac:dyDescent="0.25">
      <c r="A1856" s="139" t="s">
        <v>4483</v>
      </c>
      <c r="B1856" s="139" t="s">
        <v>4481</v>
      </c>
      <c r="C1856" s="139" t="s">
        <v>65</v>
      </c>
      <c r="D1856" s="139" t="s">
        <v>4484</v>
      </c>
    </row>
    <row r="1857" spans="1:4" x14ac:dyDescent="0.25">
      <c r="A1857" s="139" t="s">
        <v>4485</v>
      </c>
      <c r="B1857" s="139" t="s">
        <v>4486</v>
      </c>
      <c r="C1857" s="139" t="s">
        <v>65</v>
      </c>
      <c r="D1857" s="139" t="s">
        <v>4487</v>
      </c>
    </row>
    <row r="1858" spans="1:4" x14ac:dyDescent="0.25">
      <c r="A1858" s="139" t="s">
        <v>4488</v>
      </c>
      <c r="B1858" s="139" t="s">
        <v>4486</v>
      </c>
      <c r="C1858" s="139" t="s">
        <v>65</v>
      </c>
      <c r="D1858" s="139" t="s">
        <v>4489</v>
      </c>
    </row>
    <row r="1859" spans="1:4" x14ac:dyDescent="0.25">
      <c r="A1859" s="139" t="s">
        <v>4490</v>
      </c>
      <c r="B1859" s="139" t="s">
        <v>4491</v>
      </c>
      <c r="C1859" s="139" t="s">
        <v>65</v>
      </c>
      <c r="D1859" s="139" t="s">
        <v>4492</v>
      </c>
    </row>
    <row r="1860" spans="1:4" x14ac:dyDescent="0.25">
      <c r="A1860" s="139" t="s">
        <v>4493</v>
      </c>
      <c r="B1860" s="139" t="s">
        <v>4491</v>
      </c>
      <c r="C1860" s="139" t="s">
        <v>65</v>
      </c>
      <c r="D1860" s="139" t="s">
        <v>4494</v>
      </c>
    </row>
    <row r="1861" spans="1:4" x14ac:dyDescent="0.25">
      <c r="A1861" s="139" t="s">
        <v>4495</v>
      </c>
      <c r="B1861" s="139" t="s">
        <v>374</v>
      </c>
      <c r="C1861" s="139" t="s">
        <v>33</v>
      </c>
      <c r="D1861" s="139" t="s">
        <v>4496</v>
      </c>
    </row>
    <row r="1862" spans="1:4" x14ac:dyDescent="0.25">
      <c r="A1862" s="139" t="s">
        <v>4497</v>
      </c>
      <c r="B1862" s="139" t="s">
        <v>374</v>
      </c>
      <c r="C1862" s="139" t="s">
        <v>33</v>
      </c>
      <c r="D1862" s="139" t="s">
        <v>4498</v>
      </c>
    </row>
    <row r="1863" spans="1:4" x14ac:dyDescent="0.25">
      <c r="A1863" s="139" t="s">
        <v>4499</v>
      </c>
      <c r="B1863" s="139" t="s">
        <v>310</v>
      </c>
      <c r="C1863" s="139" t="s">
        <v>65</v>
      </c>
      <c r="D1863" s="139" t="s">
        <v>4500</v>
      </c>
    </row>
    <row r="1864" spans="1:4" x14ac:dyDescent="0.25">
      <c r="A1864" s="139" t="s">
        <v>4501</v>
      </c>
      <c r="B1864" s="139" t="s">
        <v>310</v>
      </c>
      <c r="C1864" s="139" t="s">
        <v>65</v>
      </c>
      <c r="D1864" s="139" t="s">
        <v>4502</v>
      </c>
    </row>
    <row r="1865" spans="1:4" x14ac:dyDescent="0.25">
      <c r="A1865" s="139" t="s">
        <v>4503</v>
      </c>
      <c r="B1865" s="139" t="s">
        <v>4156</v>
      </c>
      <c r="C1865" s="139" t="s">
        <v>65</v>
      </c>
      <c r="D1865" s="139" t="s">
        <v>4504</v>
      </c>
    </row>
    <row r="1866" spans="1:4" x14ac:dyDescent="0.25">
      <c r="A1866" s="139" t="s">
        <v>4505</v>
      </c>
      <c r="B1866" s="139" t="s">
        <v>4156</v>
      </c>
      <c r="C1866" s="139" t="s">
        <v>65</v>
      </c>
      <c r="D1866" s="139" t="s">
        <v>4506</v>
      </c>
    </row>
    <row r="1867" spans="1:4" x14ac:dyDescent="0.25">
      <c r="A1867" s="139" t="s">
        <v>4507</v>
      </c>
      <c r="B1867" s="139" t="s">
        <v>1350</v>
      </c>
      <c r="C1867" s="139" t="s">
        <v>127</v>
      </c>
      <c r="D1867" s="139" t="s">
        <v>4508</v>
      </c>
    </row>
    <row r="1868" spans="1:4" x14ac:dyDescent="0.25">
      <c r="A1868" s="139" t="s">
        <v>4509</v>
      </c>
      <c r="B1868" s="139" t="s">
        <v>1350</v>
      </c>
      <c r="C1868" s="139" t="s">
        <v>127</v>
      </c>
      <c r="D1868" s="139" t="s">
        <v>4510</v>
      </c>
    </row>
    <row r="1869" spans="1:4" x14ac:dyDescent="0.25">
      <c r="A1869" s="139" t="s">
        <v>4511</v>
      </c>
      <c r="B1869" s="139" t="s">
        <v>4512</v>
      </c>
      <c r="C1869" s="139" t="s">
        <v>65</v>
      </c>
      <c r="D1869" s="139" t="s">
        <v>4513</v>
      </c>
    </row>
    <row r="1870" spans="1:4" x14ac:dyDescent="0.25">
      <c r="A1870" s="139" t="s">
        <v>4514</v>
      </c>
      <c r="B1870" s="139" t="s">
        <v>4512</v>
      </c>
      <c r="C1870" s="139" t="s">
        <v>65</v>
      </c>
      <c r="D1870" s="139" t="s">
        <v>4515</v>
      </c>
    </row>
    <row r="1871" spans="1:4" x14ac:dyDescent="0.25">
      <c r="A1871" s="139" t="s">
        <v>4516</v>
      </c>
      <c r="B1871" s="139" t="s">
        <v>4517</v>
      </c>
      <c r="C1871" s="139" t="s">
        <v>33</v>
      </c>
      <c r="D1871" s="139" t="s">
        <v>4518</v>
      </c>
    </row>
    <row r="1872" spans="1:4" x14ac:dyDescent="0.25">
      <c r="A1872" s="139" t="s">
        <v>4519</v>
      </c>
      <c r="B1872" s="139" t="s">
        <v>4517</v>
      </c>
      <c r="C1872" s="139" t="s">
        <v>33</v>
      </c>
      <c r="D1872" s="139" t="s">
        <v>4520</v>
      </c>
    </row>
    <row r="1873" spans="1:4" x14ac:dyDescent="0.25">
      <c r="A1873" s="139" t="s">
        <v>4521</v>
      </c>
      <c r="B1873" s="139" t="s">
        <v>4522</v>
      </c>
      <c r="C1873" s="139" t="s">
        <v>33</v>
      </c>
      <c r="D1873" s="139" t="s">
        <v>4523</v>
      </c>
    </row>
    <row r="1874" spans="1:4" x14ac:dyDescent="0.25">
      <c r="A1874" s="139" t="s">
        <v>4524</v>
      </c>
      <c r="B1874" s="139" t="s">
        <v>4522</v>
      </c>
      <c r="C1874" s="139" t="s">
        <v>33</v>
      </c>
      <c r="D1874" s="139" t="s">
        <v>4525</v>
      </c>
    </row>
    <row r="1875" spans="1:4" x14ac:dyDescent="0.25">
      <c r="A1875" s="139" t="s">
        <v>4526</v>
      </c>
      <c r="B1875" s="139" t="s">
        <v>4527</v>
      </c>
      <c r="C1875" s="139" t="s">
        <v>123</v>
      </c>
      <c r="D1875" s="139" t="s">
        <v>4528</v>
      </c>
    </row>
    <row r="1876" spans="1:4" x14ac:dyDescent="0.25">
      <c r="A1876" s="139" t="s">
        <v>4529</v>
      </c>
      <c r="B1876" s="139" t="s">
        <v>4527</v>
      </c>
      <c r="C1876" s="139" t="s">
        <v>123</v>
      </c>
      <c r="D1876" s="139" t="s">
        <v>4530</v>
      </c>
    </row>
    <row r="1877" spans="1:4" x14ac:dyDescent="0.25">
      <c r="A1877" s="139" t="s">
        <v>4531</v>
      </c>
      <c r="B1877" s="139" t="s">
        <v>4532</v>
      </c>
      <c r="C1877" s="139" t="s">
        <v>123</v>
      </c>
      <c r="D1877" s="139" t="s">
        <v>4533</v>
      </c>
    </row>
    <row r="1878" spans="1:4" x14ac:dyDescent="0.25">
      <c r="A1878" s="139" t="s">
        <v>4534</v>
      </c>
      <c r="B1878" s="139" t="s">
        <v>4532</v>
      </c>
      <c r="C1878" s="139" t="s">
        <v>123</v>
      </c>
      <c r="D1878" s="139" t="s">
        <v>4535</v>
      </c>
    </row>
    <row r="1879" spans="1:4" x14ac:dyDescent="0.25">
      <c r="A1879" s="139" t="s">
        <v>4536</v>
      </c>
      <c r="B1879" s="139" t="s">
        <v>4537</v>
      </c>
      <c r="C1879" s="139" t="s">
        <v>123</v>
      </c>
      <c r="D1879" s="139" t="s">
        <v>4538</v>
      </c>
    </row>
    <row r="1880" spans="1:4" x14ac:dyDescent="0.25">
      <c r="A1880" s="139" t="s">
        <v>4539</v>
      </c>
      <c r="B1880" s="139" t="s">
        <v>4537</v>
      </c>
      <c r="C1880" s="139" t="s">
        <v>123</v>
      </c>
      <c r="D1880" s="139" t="s">
        <v>4540</v>
      </c>
    </row>
    <row r="1881" spans="1:4" x14ac:dyDescent="0.25">
      <c r="A1881" s="139" t="s">
        <v>4541</v>
      </c>
      <c r="B1881" s="139" t="s">
        <v>4542</v>
      </c>
      <c r="C1881" s="139" t="s">
        <v>123</v>
      </c>
      <c r="D1881" s="139" t="s">
        <v>4543</v>
      </c>
    </row>
    <row r="1882" spans="1:4" x14ac:dyDescent="0.25">
      <c r="A1882" s="139" t="s">
        <v>4544</v>
      </c>
      <c r="B1882" s="139" t="s">
        <v>4542</v>
      </c>
      <c r="C1882" s="139" t="s">
        <v>123</v>
      </c>
      <c r="D1882" s="139" t="s">
        <v>4545</v>
      </c>
    </row>
    <row r="1883" spans="1:4" x14ac:dyDescent="0.25">
      <c r="A1883" s="139" t="s">
        <v>4546</v>
      </c>
      <c r="B1883" s="139" t="s">
        <v>4547</v>
      </c>
      <c r="C1883" s="139" t="s">
        <v>123</v>
      </c>
      <c r="D1883" s="139" t="s">
        <v>4548</v>
      </c>
    </row>
    <row r="1884" spans="1:4" x14ac:dyDescent="0.25">
      <c r="A1884" s="139" t="s">
        <v>4549</v>
      </c>
      <c r="B1884" s="139" t="s">
        <v>4547</v>
      </c>
      <c r="C1884" s="139" t="s">
        <v>123</v>
      </c>
      <c r="D1884" s="139" t="s">
        <v>4550</v>
      </c>
    </row>
    <row r="1885" spans="1:4" x14ac:dyDescent="0.25">
      <c r="A1885" s="139" t="s">
        <v>4551</v>
      </c>
      <c r="B1885" s="139" t="s">
        <v>4537</v>
      </c>
      <c r="C1885" s="139" t="s">
        <v>123</v>
      </c>
      <c r="D1885" s="139" t="s">
        <v>4552</v>
      </c>
    </row>
    <row r="1886" spans="1:4" x14ac:dyDescent="0.25">
      <c r="A1886" s="139" t="s">
        <v>4553</v>
      </c>
      <c r="B1886" s="139" t="s">
        <v>4537</v>
      </c>
      <c r="C1886" s="139" t="s">
        <v>123</v>
      </c>
      <c r="D1886" s="139" t="s">
        <v>4554</v>
      </c>
    </row>
    <row r="1887" spans="1:4" x14ac:dyDescent="0.25">
      <c r="A1887" s="139" t="s">
        <v>4555</v>
      </c>
      <c r="B1887" s="139" t="s">
        <v>3602</v>
      </c>
      <c r="C1887" s="139" t="s">
        <v>123</v>
      </c>
      <c r="D1887" s="139" t="s">
        <v>4556</v>
      </c>
    </row>
    <row r="1888" spans="1:4" x14ac:dyDescent="0.25">
      <c r="A1888" s="139" t="s">
        <v>4557</v>
      </c>
      <c r="B1888" s="139" t="s">
        <v>4558</v>
      </c>
      <c r="C1888" s="139" t="s">
        <v>33</v>
      </c>
      <c r="D1888" s="139" t="s">
        <v>4559</v>
      </c>
    </row>
    <row r="1889" spans="1:4" x14ac:dyDescent="0.25">
      <c r="A1889" s="139" t="s">
        <v>4560</v>
      </c>
      <c r="B1889" s="139" t="s">
        <v>4558</v>
      </c>
      <c r="C1889" s="139" t="s">
        <v>33</v>
      </c>
      <c r="D1889" s="139" t="s">
        <v>4561</v>
      </c>
    </row>
    <row r="1890" spans="1:4" x14ac:dyDescent="0.25">
      <c r="A1890" s="139" t="s">
        <v>4562</v>
      </c>
      <c r="B1890" s="139" t="s">
        <v>4563</v>
      </c>
      <c r="C1890" s="139" t="s">
        <v>65</v>
      </c>
      <c r="D1890" s="139" t="s">
        <v>4564</v>
      </c>
    </row>
    <row r="1891" spans="1:4" x14ac:dyDescent="0.25">
      <c r="A1891" s="139" t="s">
        <v>4565</v>
      </c>
      <c r="B1891" s="139" t="s">
        <v>4563</v>
      </c>
      <c r="C1891" s="139" t="s">
        <v>65</v>
      </c>
      <c r="D1891" s="139" t="s">
        <v>4566</v>
      </c>
    </row>
    <row r="1892" spans="1:4" x14ac:dyDescent="0.25">
      <c r="A1892" s="139" t="s">
        <v>4567</v>
      </c>
      <c r="B1892" s="139" t="s">
        <v>4568</v>
      </c>
      <c r="C1892" s="139" t="s">
        <v>33</v>
      </c>
      <c r="D1892" s="139" t="s">
        <v>4569</v>
      </c>
    </row>
    <row r="1893" spans="1:4" x14ac:dyDescent="0.25">
      <c r="A1893" s="139" t="s">
        <v>4570</v>
      </c>
      <c r="B1893" s="139" t="s">
        <v>4568</v>
      </c>
      <c r="C1893" s="139" t="s">
        <v>33</v>
      </c>
      <c r="D1893" s="139" t="s">
        <v>4571</v>
      </c>
    </row>
    <row r="1894" spans="1:4" x14ac:dyDescent="0.25">
      <c r="A1894" s="139" t="s">
        <v>4572</v>
      </c>
      <c r="B1894" s="139" t="s">
        <v>735</v>
      </c>
      <c r="C1894" s="139" t="s">
        <v>33</v>
      </c>
      <c r="D1894" s="139" t="s">
        <v>4573</v>
      </c>
    </row>
    <row r="1895" spans="1:4" x14ac:dyDescent="0.25">
      <c r="A1895" s="139" t="s">
        <v>4574</v>
      </c>
      <c r="B1895" s="139" t="s">
        <v>735</v>
      </c>
      <c r="C1895" s="139" t="s">
        <v>33</v>
      </c>
      <c r="D1895" s="139" t="s">
        <v>4575</v>
      </c>
    </row>
    <row r="1896" spans="1:4" x14ac:dyDescent="0.25">
      <c r="A1896" s="139" t="s">
        <v>4576</v>
      </c>
      <c r="B1896" s="139" t="s">
        <v>4577</v>
      </c>
      <c r="C1896" s="139" t="s">
        <v>33</v>
      </c>
      <c r="D1896" s="139" t="s">
        <v>4578</v>
      </c>
    </row>
    <row r="1897" spans="1:4" x14ac:dyDescent="0.25">
      <c r="A1897" s="139" t="s">
        <v>4579</v>
      </c>
      <c r="B1897" s="139" t="s">
        <v>4577</v>
      </c>
      <c r="C1897" s="139" t="s">
        <v>33</v>
      </c>
      <c r="D1897" s="139" t="s">
        <v>4580</v>
      </c>
    </row>
    <row r="1898" spans="1:4" x14ac:dyDescent="0.25">
      <c r="A1898" s="139" t="s">
        <v>4581</v>
      </c>
      <c r="B1898" s="139" t="s">
        <v>4582</v>
      </c>
      <c r="C1898" s="139" t="s">
        <v>33</v>
      </c>
      <c r="D1898" s="139" t="s">
        <v>4583</v>
      </c>
    </row>
    <row r="1899" spans="1:4" x14ac:dyDescent="0.25">
      <c r="A1899" s="139" t="s">
        <v>4584</v>
      </c>
      <c r="B1899" s="139" t="s">
        <v>4582</v>
      </c>
      <c r="C1899" s="139" t="s">
        <v>33</v>
      </c>
      <c r="D1899" s="139" t="s">
        <v>4585</v>
      </c>
    </row>
    <row r="1900" spans="1:4" x14ac:dyDescent="0.25">
      <c r="A1900" s="139" t="s">
        <v>4586</v>
      </c>
      <c r="B1900" s="139" t="s">
        <v>4587</v>
      </c>
      <c r="C1900" s="139" t="s">
        <v>33</v>
      </c>
      <c r="D1900" s="139" t="s">
        <v>4588</v>
      </c>
    </row>
    <row r="1901" spans="1:4" x14ac:dyDescent="0.25">
      <c r="A1901" s="139" t="s">
        <v>4589</v>
      </c>
      <c r="B1901" s="139" t="s">
        <v>4587</v>
      </c>
      <c r="C1901" s="139" t="s">
        <v>33</v>
      </c>
      <c r="D1901" s="139" t="s">
        <v>4590</v>
      </c>
    </row>
    <row r="1902" spans="1:4" x14ac:dyDescent="0.25">
      <c r="A1902" s="139" t="s">
        <v>4591</v>
      </c>
      <c r="B1902" s="139" t="s">
        <v>4592</v>
      </c>
      <c r="C1902" s="139" t="s">
        <v>33</v>
      </c>
      <c r="D1902" s="139" t="s">
        <v>4593</v>
      </c>
    </row>
    <row r="1903" spans="1:4" x14ac:dyDescent="0.25">
      <c r="A1903" s="139" t="s">
        <v>4594</v>
      </c>
      <c r="B1903" s="139" t="s">
        <v>4592</v>
      </c>
      <c r="C1903" s="139" t="s">
        <v>33</v>
      </c>
      <c r="D1903" s="139" t="s">
        <v>4595</v>
      </c>
    </row>
    <row r="1904" spans="1:4" x14ac:dyDescent="0.25">
      <c r="A1904" s="139" t="s">
        <v>4596</v>
      </c>
      <c r="B1904" s="139" t="s">
        <v>4597</v>
      </c>
      <c r="C1904" s="139" t="s">
        <v>33</v>
      </c>
      <c r="D1904" s="139" t="s">
        <v>4598</v>
      </c>
    </row>
    <row r="1905" spans="1:4" x14ac:dyDescent="0.25">
      <c r="A1905" s="139" t="s">
        <v>4599</v>
      </c>
      <c r="B1905" s="139" t="s">
        <v>4597</v>
      </c>
      <c r="C1905" s="139" t="s">
        <v>33</v>
      </c>
      <c r="D1905" s="139" t="s">
        <v>4600</v>
      </c>
    </row>
    <row r="1906" spans="1:4" x14ac:dyDescent="0.25">
      <c r="A1906" s="139" t="s">
        <v>4601</v>
      </c>
      <c r="B1906" s="139" t="s">
        <v>3189</v>
      </c>
      <c r="C1906" s="139" t="s">
        <v>33</v>
      </c>
      <c r="D1906" s="139" t="s">
        <v>4602</v>
      </c>
    </row>
    <row r="1907" spans="1:4" x14ac:dyDescent="0.25">
      <c r="A1907" s="139" t="s">
        <v>4603</v>
      </c>
      <c r="B1907" s="139" t="s">
        <v>3189</v>
      </c>
      <c r="C1907" s="139" t="s">
        <v>33</v>
      </c>
      <c r="D1907" s="139" t="s">
        <v>4604</v>
      </c>
    </row>
    <row r="1908" spans="1:4" x14ac:dyDescent="0.25">
      <c r="A1908" s="139" t="s">
        <v>4605</v>
      </c>
      <c r="B1908" s="139" t="s">
        <v>1833</v>
      </c>
      <c r="C1908" s="139" t="s">
        <v>65</v>
      </c>
      <c r="D1908" s="139" t="s">
        <v>4606</v>
      </c>
    </row>
    <row r="1909" spans="1:4" x14ac:dyDescent="0.25">
      <c r="A1909" s="139" t="s">
        <v>4607</v>
      </c>
      <c r="B1909" s="139" t="s">
        <v>1833</v>
      </c>
      <c r="C1909" s="139" t="s">
        <v>65</v>
      </c>
      <c r="D1909" s="139" t="s">
        <v>4608</v>
      </c>
    </row>
    <row r="1910" spans="1:4" x14ac:dyDescent="0.25">
      <c r="A1910" s="139" t="s">
        <v>4609</v>
      </c>
      <c r="B1910" s="139" t="s">
        <v>4610</v>
      </c>
      <c r="C1910" s="139" t="s">
        <v>65</v>
      </c>
      <c r="D1910" s="139" t="s">
        <v>4611</v>
      </c>
    </row>
    <row r="1911" spans="1:4" x14ac:dyDescent="0.25">
      <c r="A1911" s="139" t="s">
        <v>4612</v>
      </c>
      <c r="B1911" s="139" t="s">
        <v>4610</v>
      </c>
      <c r="C1911" s="139" t="s">
        <v>65</v>
      </c>
      <c r="D1911" s="139" t="s">
        <v>4613</v>
      </c>
    </row>
    <row r="1912" spans="1:4" x14ac:dyDescent="0.25">
      <c r="A1912" s="139" t="s">
        <v>4614</v>
      </c>
      <c r="B1912" s="139" t="s">
        <v>4615</v>
      </c>
      <c r="C1912" s="139" t="s">
        <v>65</v>
      </c>
      <c r="D1912" s="139" t="s">
        <v>4616</v>
      </c>
    </row>
    <row r="1913" spans="1:4" x14ac:dyDescent="0.25">
      <c r="A1913" s="139" t="s">
        <v>4617</v>
      </c>
      <c r="B1913" s="139" t="s">
        <v>4615</v>
      </c>
      <c r="C1913" s="139" t="s">
        <v>65</v>
      </c>
      <c r="D1913" s="139" t="s">
        <v>4618</v>
      </c>
    </row>
    <row r="1914" spans="1:4" x14ac:dyDescent="0.25">
      <c r="A1914" s="139" t="s">
        <v>4619</v>
      </c>
      <c r="B1914" s="139" t="s">
        <v>4620</v>
      </c>
      <c r="C1914" s="139" t="s">
        <v>65</v>
      </c>
      <c r="D1914" s="139" t="s">
        <v>4621</v>
      </c>
    </row>
    <row r="1915" spans="1:4" x14ac:dyDescent="0.25">
      <c r="A1915" s="139" t="s">
        <v>4622</v>
      </c>
      <c r="B1915" s="139" t="s">
        <v>4620</v>
      </c>
      <c r="C1915" s="139" t="s">
        <v>65</v>
      </c>
      <c r="D1915" s="139" t="s">
        <v>4623</v>
      </c>
    </row>
    <row r="1916" spans="1:4" x14ac:dyDescent="0.25">
      <c r="A1916" s="139" t="s">
        <v>4624</v>
      </c>
      <c r="B1916" s="139" t="s">
        <v>4625</v>
      </c>
      <c r="C1916" s="139" t="s">
        <v>65</v>
      </c>
      <c r="D1916" s="139" t="s">
        <v>4626</v>
      </c>
    </row>
    <row r="1917" spans="1:4" x14ac:dyDescent="0.25">
      <c r="A1917" s="139" t="s">
        <v>4627</v>
      </c>
      <c r="B1917" s="139" t="s">
        <v>4625</v>
      </c>
      <c r="C1917" s="139" t="s">
        <v>65</v>
      </c>
      <c r="D1917" s="139" t="s">
        <v>4628</v>
      </c>
    </row>
    <row r="1918" spans="1:4" x14ac:dyDescent="0.25">
      <c r="A1918" s="139" t="s">
        <v>4629</v>
      </c>
      <c r="B1918" s="139" t="s">
        <v>329</v>
      </c>
      <c r="C1918" s="139" t="s">
        <v>127</v>
      </c>
      <c r="D1918" s="139" t="s">
        <v>4630</v>
      </c>
    </row>
    <row r="1919" spans="1:4" x14ac:dyDescent="0.25">
      <c r="A1919" s="139" t="s">
        <v>4631</v>
      </c>
      <c r="B1919" s="139" t="s">
        <v>329</v>
      </c>
      <c r="C1919" s="139" t="s">
        <v>127</v>
      </c>
      <c r="D1919" s="139" t="s">
        <v>4632</v>
      </c>
    </row>
    <row r="1920" spans="1:4" x14ac:dyDescent="0.25">
      <c r="A1920" s="139" t="s">
        <v>4633</v>
      </c>
      <c r="B1920" s="139" t="s">
        <v>2945</v>
      </c>
      <c r="C1920" s="139" t="s">
        <v>65</v>
      </c>
      <c r="D1920" s="139" t="s">
        <v>4634</v>
      </c>
    </row>
    <row r="1921" spans="1:4" x14ac:dyDescent="0.25">
      <c r="A1921" s="139" t="s">
        <v>4635</v>
      </c>
      <c r="B1921" s="139" t="s">
        <v>2945</v>
      </c>
      <c r="C1921" s="139" t="s">
        <v>65</v>
      </c>
      <c r="D1921" s="139" t="s">
        <v>4636</v>
      </c>
    </row>
    <row r="1922" spans="1:4" x14ac:dyDescent="0.25">
      <c r="A1922" s="139" t="s">
        <v>4637</v>
      </c>
      <c r="B1922" s="139" t="s">
        <v>547</v>
      </c>
      <c r="C1922" s="139" t="s">
        <v>65</v>
      </c>
      <c r="D1922" s="139" t="s">
        <v>4638</v>
      </c>
    </row>
    <row r="1923" spans="1:4" x14ac:dyDescent="0.25">
      <c r="A1923" s="139" t="s">
        <v>4639</v>
      </c>
      <c r="B1923" s="139" t="s">
        <v>547</v>
      </c>
      <c r="C1923" s="139" t="s">
        <v>65</v>
      </c>
      <c r="D1923" s="139" t="s">
        <v>4640</v>
      </c>
    </row>
    <row r="1924" spans="1:4" x14ac:dyDescent="0.25">
      <c r="A1924" s="139" t="s">
        <v>4641</v>
      </c>
      <c r="B1924" s="139" t="s">
        <v>541</v>
      </c>
      <c r="C1924" s="139" t="s">
        <v>65</v>
      </c>
      <c r="D1924" s="139" t="s">
        <v>4642</v>
      </c>
    </row>
    <row r="1925" spans="1:4" x14ac:dyDescent="0.25">
      <c r="A1925" s="139" t="s">
        <v>4643</v>
      </c>
      <c r="B1925" s="139" t="s">
        <v>541</v>
      </c>
      <c r="C1925" s="139" t="s">
        <v>65</v>
      </c>
      <c r="D1925" s="139" t="s">
        <v>4644</v>
      </c>
    </row>
    <row r="1926" spans="1:4" x14ac:dyDescent="0.25">
      <c r="A1926" s="139" t="s">
        <v>4645</v>
      </c>
      <c r="B1926" s="139" t="s">
        <v>4646</v>
      </c>
      <c r="C1926" s="139" t="s">
        <v>112</v>
      </c>
      <c r="D1926" s="139" t="s">
        <v>4647</v>
      </c>
    </row>
    <row r="1927" spans="1:4" x14ac:dyDescent="0.25">
      <c r="A1927" s="139" t="s">
        <v>4648</v>
      </c>
      <c r="B1927" s="139" t="s">
        <v>4646</v>
      </c>
      <c r="C1927" s="139" t="s">
        <v>112</v>
      </c>
      <c r="D1927" s="139" t="s">
        <v>4649</v>
      </c>
    </row>
    <row r="1928" spans="1:4" x14ac:dyDescent="0.25">
      <c r="A1928" s="139" t="s">
        <v>4650</v>
      </c>
      <c r="B1928" s="139" t="s">
        <v>4651</v>
      </c>
      <c r="C1928" s="139" t="s">
        <v>112</v>
      </c>
      <c r="D1928" s="139" t="s">
        <v>4652</v>
      </c>
    </row>
    <row r="1929" spans="1:4" x14ac:dyDescent="0.25">
      <c r="A1929" s="139" t="s">
        <v>4653</v>
      </c>
      <c r="B1929" s="139" t="s">
        <v>4651</v>
      </c>
      <c r="C1929" s="139" t="s">
        <v>112</v>
      </c>
      <c r="D1929" s="139" t="s">
        <v>4654</v>
      </c>
    </row>
    <row r="1930" spans="1:4" x14ac:dyDescent="0.25">
      <c r="A1930" s="139" t="s">
        <v>4655</v>
      </c>
      <c r="B1930" s="139" t="s">
        <v>4656</v>
      </c>
      <c r="C1930" s="139" t="s">
        <v>112</v>
      </c>
      <c r="D1930" s="139" t="s">
        <v>4657</v>
      </c>
    </row>
    <row r="1931" spans="1:4" x14ac:dyDescent="0.25">
      <c r="A1931" s="139" t="s">
        <v>4658</v>
      </c>
      <c r="B1931" s="139" t="s">
        <v>4656</v>
      </c>
      <c r="C1931" s="139" t="s">
        <v>112</v>
      </c>
      <c r="D1931" s="139" t="s">
        <v>4659</v>
      </c>
    </row>
    <row r="1932" spans="1:4" x14ac:dyDescent="0.25">
      <c r="A1932" s="139" t="s">
        <v>4660</v>
      </c>
      <c r="B1932" s="139" t="s">
        <v>2493</v>
      </c>
      <c r="C1932" s="139" t="s">
        <v>112</v>
      </c>
      <c r="D1932" s="139" t="s">
        <v>4661</v>
      </c>
    </row>
    <row r="1933" spans="1:4" x14ac:dyDescent="0.25">
      <c r="A1933" s="139" t="s">
        <v>4662</v>
      </c>
      <c r="B1933" s="139" t="s">
        <v>2493</v>
      </c>
      <c r="C1933" s="139" t="s">
        <v>112</v>
      </c>
      <c r="D1933" s="139" t="s">
        <v>4663</v>
      </c>
    </row>
    <row r="1934" spans="1:4" x14ac:dyDescent="0.25">
      <c r="A1934" s="139" t="s">
        <v>4664</v>
      </c>
      <c r="B1934" s="139" t="s">
        <v>4665</v>
      </c>
      <c r="C1934" s="139" t="s">
        <v>112</v>
      </c>
      <c r="D1934" s="139" t="s">
        <v>4666</v>
      </c>
    </row>
    <row r="1935" spans="1:4" x14ac:dyDescent="0.25">
      <c r="A1935" s="139" t="s">
        <v>4667</v>
      </c>
      <c r="B1935" s="139" t="s">
        <v>4665</v>
      </c>
      <c r="C1935" s="139" t="s">
        <v>112</v>
      </c>
      <c r="D1935" s="139" t="s">
        <v>4668</v>
      </c>
    </row>
    <row r="1936" spans="1:4" x14ac:dyDescent="0.25">
      <c r="A1936" s="139" t="s">
        <v>4669</v>
      </c>
      <c r="B1936" s="139" t="s">
        <v>4670</v>
      </c>
      <c r="C1936" s="139" t="s">
        <v>112</v>
      </c>
      <c r="D1936" s="139" t="s">
        <v>4671</v>
      </c>
    </row>
    <row r="1937" spans="1:4" x14ac:dyDescent="0.25">
      <c r="A1937" s="139" t="s">
        <v>4672</v>
      </c>
      <c r="B1937" s="139" t="s">
        <v>4670</v>
      </c>
      <c r="C1937" s="139" t="s">
        <v>112</v>
      </c>
      <c r="D1937" s="139" t="s">
        <v>4673</v>
      </c>
    </row>
    <row r="1938" spans="1:4" x14ac:dyDescent="0.25">
      <c r="A1938" s="139" t="s">
        <v>4674</v>
      </c>
      <c r="B1938" s="139" t="s">
        <v>4675</v>
      </c>
      <c r="C1938" s="139" t="s">
        <v>112</v>
      </c>
      <c r="D1938" s="139" t="s">
        <v>4676</v>
      </c>
    </row>
    <row r="1939" spans="1:4" x14ac:dyDescent="0.25">
      <c r="A1939" s="139" t="s">
        <v>4677</v>
      </c>
      <c r="B1939" s="139" t="s">
        <v>4675</v>
      </c>
      <c r="C1939" s="139" t="s">
        <v>112</v>
      </c>
      <c r="D1939" s="139" t="s">
        <v>4678</v>
      </c>
    </row>
    <row r="1940" spans="1:4" x14ac:dyDescent="0.25">
      <c r="A1940" s="139" t="s">
        <v>4679</v>
      </c>
      <c r="B1940" s="139" t="s">
        <v>4680</v>
      </c>
      <c r="C1940" s="139" t="s">
        <v>112</v>
      </c>
      <c r="D1940" s="139" t="s">
        <v>4681</v>
      </c>
    </row>
    <row r="1941" spans="1:4" x14ac:dyDescent="0.25">
      <c r="A1941" s="139" t="s">
        <v>4682</v>
      </c>
      <c r="B1941" s="139" t="s">
        <v>4680</v>
      </c>
      <c r="C1941" s="139" t="s">
        <v>112</v>
      </c>
      <c r="D1941" s="139" t="s">
        <v>4683</v>
      </c>
    </row>
    <row r="1942" spans="1:4" x14ac:dyDescent="0.25">
      <c r="A1942" s="139" t="s">
        <v>4684</v>
      </c>
      <c r="B1942" s="139" t="s">
        <v>4685</v>
      </c>
      <c r="C1942" s="139" t="s">
        <v>112</v>
      </c>
      <c r="D1942" s="139" t="s">
        <v>4686</v>
      </c>
    </row>
    <row r="1943" spans="1:4" x14ac:dyDescent="0.25">
      <c r="A1943" s="139" t="s">
        <v>4687</v>
      </c>
      <c r="B1943" s="139" t="s">
        <v>4685</v>
      </c>
      <c r="C1943" s="139" t="s">
        <v>112</v>
      </c>
      <c r="D1943" s="139" t="s">
        <v>4688</v>
      </c>
    </row>
    <row r="1944" spans="1:4" x14ac:dyDescent="0.25">
      <c r="A1944" s="139" t="s">
        <v>4689</v>
      </c>
      <c r="B1944" s="139" t="s">
        <v>4690</v>
      </c>
      <c r="C1944" s="139" t="s">
        <v>112</v>
      </c>
      <c r="D1944" s="139" t="s">
        <v>4691</v>
      </c>
    </row>
    <row r="1945" spans="1:4" x14ac:dyDescent="0.25">
      <c r="A1945" s="139" t="s">
        <v>4692</v>
      </c>
      <c r="B1945" s="139" t="s">
        <v>4690</v>
      </c>
      <c r="C1945" s="139" t="s">
        <v>112</v>
      </c>
      <c r="D1945" s="139" t="s">
        <v>4693</v>
      </c>
    </row>
    <row r="1946" spans="1:4" x14ac:dyDescent="0.25">
      <c r="A1946" s="139" t="s">
        <v>4694</v>
      </c>
      <c r="B1946" s="139" t="s">
        <v>4695</v>
      </c>
      <c r="C1946" s="139" t="s">
        <v>112</v>
      </c>
      <c r="D1946" s="139" t="s">
        <v>4696</v>
      </c>
    </row>
    <row r="1947" spans="1:4" x14ac:dyDescent="0.25">
      <c r="A1947" s="139" t="s">
        <v>4697</v>
      </c>
      <c r="B1947" s="139" t="s">
        <v>4695</v>
      </c>
      <c r="C1947" s="139" t="s">
        <v>112</v>
      </c>
      <c r="D1947" s="139" t="s">
        <v>4698</v>
      </c>
    </row>
    <row r="1948" spans="1:4" x14ac:dyDescent="0.25">
      <c r="A1948" s="139" t="s">
        <v>4699</v>
      </c>
      <c r="B1948" s="139" t="s">
        <v>4700</v>
      </c>
      <c r="C1948" s="139" t="s">
        <v>112</v>
      </c>
      <c r="D1948" s="139" t="s">
        <v>4701</v>
      </c>
    </row>
    <row r="1949" spans="1:4" x14ac:dyDescent="0.25">
      <c r="A1949" s="139" t="s">
        <v>4702</v>
      </c>
      <c r="B1949" s="139" t="s">
        <v>4700</v>
      </c>
      <c r="C1949" s="139" t="s">
        <v>112</v>
      </c>
      <c r="D1949" s="139" t="s">
        <v>4703</v>
      </c>
    </row>
    <row r="1950" spans="1:4" x14ac:dyDescent="0.25">
      <c r="A1950" s="139" t="s">
        <v>4704</v>
      </c>
      <c r="B1950" s="139" t="s">
        <v>4705</v>
      </c>
      <c r="C1950" s="139" t="s">
        <v>112</v>
      </c>
      <c r="D1950" s="139" t="s">
        <v>4706</v>
      </c>
    </row>
    <row r="1951" spans="1:4" x14ac:dyDescent="0.25">
      <c r="A1951" s="139" t="s">
        <v>4707</v>
      </c>
      <c r="B1951" s="139" t="s">
        <v>4705</v>
      </c>
      <c r="C1951" s="139" t="s">
        <v>112</v>
      </c>
      <c r="D1951" s="139" t="s">
        <v>4708</v>
      </c>
    </row>
    <row r="1952" spans="1:4" x14ac:dyDescent="0.25">
      <c r="A1952" s="139" t="s">
        <v>4709</v>
      </c>
      <c r="B1952" s="139" t="s">
        <v>4710</v>
      </c>
      <c r="C1952" s="139" t="s">
        <v>112</v>
      </c>
      <c r="D1952" s="139" t="s">
        <v>4711</v>
      </c>
    </row>
    <row r="1953" spans="1:4" x14ac:dyDescent="0.25">
      <c r="A1953" s="139" t="s">
        <v>4712</v>
      </c>
      <c r="B1953" s="139" t="s">
        <v>4710</v>
      </c>
      <c r="C1953" s="139" t="s">
        <v>112</v>
      </c>
      <c r="D1953" s="139" t="s">
        <v>4713</v>
      </c>
    </row>
    <row r="1954" spans="1:4" x14ac:dyDescent="0.25">
      <c r="A1954" s="139" t="s">
        <v>4714</v>
      </c>
      <c r="B1954" s="139" t="s">
        <v>4715</v>
      </c>
      <c r="C1954" s="139" t="s">
        <v>112</v>
      </c>
      <c r="D1954" s="139" t="s">
        <v>4716</v>
      </c>
    </row>
    <row r="1955" spans="1:4" x14ac:dyDescent="0.25">
      <c r="A1955" s="139" t="s">
        <v>4717</v>
      </c>
      <c r="B1955" s="139" t="s">
        <v>4715</v>
      </c>
      <c r="C1955" s="139" t="s">
        <v>112</v>
      </c>
      <c r="D1955" s="139" t="s">
        <v>4718</v>
      </c>
    </row>
    <row r="1956" spans="1:4" x14ac:dyDescent="0.25">
      <c r="A1956" s="139" t="s">
        <v>4719</v>
      </c>
      <c r="B1956" s="139" t="s">
        <v>4720</v>
      </c>
      <c r="C1956" s="139" t="s">
        <v>112</v>
      </c>
      <c r="D1956" s="139" t="s">
        <v>4721</v>
      </c>
    </row>
    <row r="1957" spans="1:4" x14ac:dyDescent="0.25">
      <c r="A1957" s="139" t="s">
        <v>4722</v>
      </c>
      <c r="B1957" s="139" t="s">
        <v>4720</v>
      </c>
      <c r="C1957" s="139" t="s">
        <v>112</v>
      </c>
      <c r="D1957" s="139" t="s">
        <v>4723</v>
      </c>
    </row>
    <row r="1958" spans="1:4" x14ac:dyDescent="0.25">
      <c r="A1958" s="139" t="s">
        <v>4724</v>
      </c>
      <c r="B1958" s="139" t="s">
        <v>4725</v>
      </c>
      <c r="C1958" s="139" t="s">
        <v>112</v>
      </c>
      <c r="D1958" s="139" t="s">
        <v>4726</v>
      </c>
    </row>
    <row r="1959" spans="1:4" x14ac:dyDescent="0.25">
      <c r="A1959" s="139" t="s">
        <v>4727</v>
      </c>
      <c r="B1959" s="139" t="s">
        <v>4725</v>
      </c>
      <c r="C1959" s="139" t="s">
        <v>112</v>
      </c>
      <c r="D1959" s="139" t="s">
        <v>4728</v>
      </c>
    </row>
    <row r="1960" spans="1:4" x14ac:dyDescent="0.25">
      <c r="A1960" s="139" t="s">
        <v>4729</v>
      </c>
      <c r="B1960" s="139" t="s">
        <v>4730</v>
      </c>
      <c r="C1960" s="139" t="s">
        <v>112</v>
      </c>
      <c r="D1960" s="139" t="s">
        <v>4731</v>
      </c>
    </row>
    <row r="1961" spans="1:4" x14ac:dyDescent="0.25">
      <c r="A1961" s="139" t="s">
        <v>4732</v>
      </c>
      <c r="B1961" s="139" t="s">
        <v>4730</v>
      </c>
      <c r="C1961" s="139" t="s">
        <v>112</v>
      </c>
      <c r="D1961" s="139" t="s">
        <v>4733</v>
      </c>
    </row>
    <row r="1962" spans="1:4" x14ac:dyDescent="0.25">
      <c r="A1962" s="139" t="s">
        <v>4734</v>
      </c>
      <c r="B1962" s="139" t="s">
        <v>4735</v>
      </c>
      <c r="C1962" s="139" t="s">
        <v>112</v>
      </c>
      <c r="D1962" s="139" t="s">
        <v>4736</v>
      </c>
    </row>
    <row r="1963" spans="1:4" x14ac:dyDescent="0.25">
      <c r="A1963" s="139" t="s">
        <v>4737</v>
      </c>
      <c r="B1963" s="139" t="s">
        <v>4735</v>
      </c>
      <c r="C1963" s="139" t="s">
        <v>112</v>
      </c>
      <c r="D1963" s="139" t="s">
        <v>4738</v>
      </c>
    </row>
    <row r="1964" spans="1:4" x14ac:dyDescent="0.25">
      <c r="A1964" s="139" t="s">
        <v>4739</v>
      </c>
      <c r="B1964" s="139" t="s">
        <v>2374</v>
      </c>
      <c r="C1964" s="139" t="s">
        <v>112</v>
      </c>
      <c r="D1964" s="139" t="s">
        <v>4740</v>
      </c>
    </row>
    <row r="1965" spans="1:4" x14ac:dyDescent="0.25">
      <c r="A1965" s="139" t="s">
        <v>4741</v>
      </c>
      <c r="B1965" s="139" t="s">
        <v>2374</v>
      </c>
      <c r="C1965" s="139" t="s">
        <v>112</v>
      </c>
      <c r="D1965" s="139" t="s">
        <v>4742</v>
      </c>
    </row>
    <row r="1966" spans="1:4" x14ac:dyDescent="0.25">
      <c r="A1966" s="139" t="s">
        <v>4743</v>
      </c>
      <c r="B1966" s="139" t="s">
        <v>4744</v>
      </c>
      <c r="C1966" s="139" t="s">
        <v>112</v>
      </c>
      <c r="D1966" s="139" t="s">
        <v>4745</v>
      </c>
    </row>
    <row r="1967" spans="1:4" x14ac:dyDescent="0.25">
      <c r="A1967" s="139" t="s">
        <v>4746</v>
      </c>
      <c r="B1967" s="139" t="s">
        <v>4744</v>
      </c>
      <c r="C1967" s="139" t="s">
        <v>112</v>
      </c>
      <c r="D1967" s="139" t="s">
        <v>4747</v>
      </c>
    </row>
    <row r="1968" spans="1:4" x14ac:dyDescent="0.25">
      <c r="A1968" s="139" t="s">
        <v>4748</v>
      </c>
      <c r="B1968" s="139" t="s">
        <v>4749</v>
      </c>
      <c r="C1968" s="139" t="s">
        <v>112</v>
      </c>
      <c r="D1968" s="139" t="s">
        <v>4750</v>
      </c>
    </row>
    <row r="1969" spans="1:4" x14ac:dyDescent="0.25">
      <c r="A1969" s="139" t="s">
        <v>4751</v>
      </c>
      <c r="B1969" s="139" t="s">
        <v>4749</v>
      </c>
      <c r="C1969" s="139" t="s">
        <v>112</v>
      </c>
      <c r="D1969" s="139" t="s">
        <v>4752</v>
      </c>
    </row>
    <row r="1970" spans="1:4" x14ac:dyDescent="0.25">
      <c r="A1970" s="139" t="s">
        <v>4753</v>
      </c>
      <c r="B1970" s="139" t="s">
        <v>4754</v>
      </c>
      <c r="C1970" s="139" t="s">
        <v>112</v>
      </c>
      <c r="D1970" s="139" t="s">
        <v>4755</v>
      </c>
    </row>
    <row r="1971" spans="1:4" x14ac:dyDescent="0.25">
      <c r="A1971" s="139" t="s">
        <v>4756</v>
      </c>
      <c r="B1971" s="139" t="s">
        <v>4754</v>
      </c>
      <c r="C1971" s="139" t="s">
        <v>112</v>
      </c>
      <c r="D1971" s="139" t="s">
        <v>4757</v>
      </c>
    </row>
    <row r="1972" spans="1:4" x14ac:dyDescent="0.25">
      <c r="A1972" s="139" t="s">
        <v>4758</v>
      </c>
      <c r="B1972" s="139" t="s">
        <v>4759</v>
      </c>
      <c r="C1972" s="139" t="s">
        <v>112</v>
      </c>
      <c r="D1972" s="139" t="s">
        <v>4760</v>
      </c>
    </row>
    <row r="1973" spans="1:4" x14ac:dyDescent="0.25">
      <c r="A1973" s="139" t="s">
        <v>4761</v>
      </c>
      <c r="B1973" s="139" t="s">
        <v>4759</v>
      </c>
      <c r="C1973" s="139" t="s">
        <v>112</v>
      </c>
      <c r="D1973" s="139" t="s">
        <v>4762</v>
      </c>
    </row>
    <row r="1974" spans="1:4" x14ac:dyDescent="0.25">
      <c r="A1974" s="139" t="s">
        <v>4763</v>
      </c>
      <c r="B1974" s="139" t="s">
        <v>4764</v>
      </c>
      <c r="C1974" s="139" t="s">
        <v>112</v>
      </c>
      <c r="D1974" s="139" t="s">
        <v>4765</v>
      </c>
    </row>
    <row r="1975" spans="1:4" x14ac:dyDescent="0.25">
      <c r="A1975" s="139" t="s">
        <v>4766</v>
      </c>
      <c r="B1975" s="139" t="s">
        <v>4764</v>
      </c>
      <c r="C1975" s="139" t="s">
        <v>112</v>
      </c>
      <c r="D1975" s="139" t="s">
        <v>4767</v>
      </c>
    </row>
    <row r="1976" spans="1:4" x14ac:dyDescent="0.25">
      <c r="A1976" s="139" t="s">
        <v>4768</v>
      </c>
      <c r="B1976" s="139" t="s">
        <v>4769</v>
      </c>
      <c r="C1976" s="139" t="s">
        <v>112</v>
      </c>
      <c r="D1976" s="139" t="s">
        <v>4770</v>
      </c>
    </row>
    <row r="1977" spans="1:4" x14ac:dyDescent="0.25">
      <c r="A1977" s="139" t="s">
        <v>4771</v>
      </c>
      <c r="B1977" s="139" t="s">
        <v>4769</v>
      </c>
      <c r="C1977" s="139" t="s">
        <v>112</v>
      </c>
      <c r="D1977" s="139" t="s">
        <v>4772</v>
      </c>
    </row>
    <row r="1978" spans="1:4" x14ac:dyDescent="0.25">
      <c r="A1978" s="139" t="s">
        <v>4773</v>
      </c>
      <c r="B1978" s="139" t="s">
        <v>2455</v>
      </c>
      <c r="C1978" s="139" t="s">
        <v>112</v>
      </c>
      <c r="D1978" s="139" t="s">
        <v>4774</v>
      </c>
    </row>
    <row r="1979" spans="1:4" x14ac:dyDescent="0.25">
      <c r="A1979" s="139" t="s">
        <v>4775</v>
      </c>
      <c r="B1979" s="139" t="s">
        <v>2455</v>
      </c>
      <c r="C1979" s="139" t="s">
        <v>112</v>
      </c>
      <c r="D1979" s="139" t="s">
        <v>4776</v>
      </c>
    </row>
    <row r="1980" spans="1:4" x14ac:dyDescent="0.25">
      <c r="A1980" s="139" t="s">
        <v>4777</v>
      </c>
      <c r="B1980" s="139" t="s">
        <v>4778</v>
      </c>
      <c r="C1980" s="139" t="s">
        <v>112</v>
      </c>
      <c r="D1980" s="139" t="s">
        <v>4779</v>
      </c>
    </row>
    <row r="1981" spans="1:4" x14ac:dyDescent="0.25">
      <c r="A1981" s="139" t="s">
        <v>4780</v>
      </c>
      <c r="B1981" s="139" t="s">
        <v>4778</v>
      </c>
      <c r="C1981" s="139" t="s">
        <v>112</v>
      </c>
      <c r="D1981" s="139" t="s">
        <v>4781</v>
      </c>
    </row>
    <row r="1982" spans="1:4" x14ac:dyDescent="0.25">
      <c r="A1982" s="139" t="s">
        <v>4782</v>
      </c>
      <c r="B1982" s="139" t="s">
        <v>2461</v>
      </c>
      <c r="C1982" s="139" t="s">
        <v>112</v>
      </c>
      <c r="D1982" s="139" t="s">
        <v>4783</v>
      </c>
    </row>
    <row r="1983" spans="1:4" x14ac:dyDescent="0.25">
      <c r="A1983" s="139" t="s">
        <v>4784</v>
      </c>
      <c r="B1983" s="139" t="s">
        <v>2461</v>
      </c>
      <c r="C1983" s="139" t="s">
        <v>112</v>
      </c>
      <c r="D1983" s="139" t="s">
        <v>4785</v>
      </c>
    </row>
    <row r="1984" spans="1:4" x14ac:dyDescent="0.25">
      <c r="A1984" s="139" t="s">
        <v>4786</v>
      </c>
      <c r="B1984" s="139" t="s">
        <v>3202</v>
      </c>
      <c r="C1984" s="139" t="s">
        <v>112</v>
      </c>
      <c r="D1984" s="139" t="s">
        <v>4787</v>
      </c>
    </row>
    <row r="1985" spans="1:4" x14ac:dyDescent="0.25">
      <c r="A1985" s="139" t="s">
        <v>4788</v>
      </c>
      <c r="B1985" s="139" t="s">
        <v>3202</v>
      </c>
      <c r="C1985" s="139" t="s">
        <v>112</v>
      </c>
      <c r="D1985" s="139" t="s">
        <v>4789</v>
      </c>
    </row>
    <row r="1986" spans="1:4" x14ac:dyDescent="0.25">
      <c r="A1986" s="139" t="s">
        <v>4790</v>
      </c>
      <c r="B1986" s="139" t="s">
        <v>4791</v>
      </c>
      <c r="C1986" s="139" t="s">
        <v>112</v>
      </c>
      <c r="D1986" s="139" t="s">
        <v>4792</v>
      </c>
    </row>
    <row r="1987" spans="1:4" x14ac:dyDescent="0.25">
      <c r="A1987" s="139" t="s">
        <v>4793</v>
      </c>
      <c r="B1987" s="139" t="s">
        <v>4791</v>
      </c>
      <c r="C1987" s="139" t="s">
        <v>112</v>
      </c>
      <c r="D1987" s="139" t="s">
        <v>4794</v>
      </c>
    </row>
    <row r="1988" spans="1:4" x14ac:dyDescent="0.25">
      <c r="A1988" s="139" t="s">
        <v>4795</v>
      </c>
      <c r="B1988" s="139" t="s">
        <v>4796</v>
      </c>
      <c r="C1988" s="139" t="s">
        <v>112</v>
      </c>
      <c r="D1988" s="139" t="s">
        <v>4797</v>
      </c>
    </row>
    <row r="1989" spans="1:4" x14ac:dyDescent="0.25">
      <c r="A1989" s="139" t="s">
        <v>4798</v>
      </c>
      <c r="B1989" s="139" t="s">
        <v>4796</v>
      </c>
      <c r="C1989" s="139" t="s">
        <v>112</v>
      </c>
      <c r="D1989" s="139" t="s">
        <v>4799</v>
      </c>
    </row>
    <row r="1990" spans="1:4" x14ac:dyDescent="0.25">
      <c r="A1990" s="139" t="s">
        <v>4800</v>
      </c>
      <c r="B1990" s="139" t="s">
        <v>1598</v>
      </c>
      <c r="C1990" s="139" t="s">
        <v>112</v>
      </c>
      <c r="D1990" s="139" t="s">
        <v>4801</v>
      </c>
    </row>
    <row r="1991" spans="1:4" x14ac:dyDescent="0.25">
      <c r="A1991" s="139" t="s">
        <v>4802</v>
      </c>
      <c r="B1991" s="139" t="s">
        <v>1598</v>
      </c>
      <c r="C1991" s="139" t="s">
        <v>112</v>
      </c>
      <c r="D1991" s="139" t="s">
        <v>4803</v>
      </c>
    </row>
    <row r="1992" spans="1:4" x14ac:dyDescent="0.25">
      <c r="A1992" s="139" t="s">
        <v>4804</v>
      </c>
      <c r="B1992" s="139" t="s">
        <v>2399</v>
      </c>
      <c r="C1992" s="139" t="s">
        <v>112</v>
      </c>
      <c r="D1992" s="139" t="s">
        <v>4805</v>
      </c>
    </row>
    <row r="1993" spans="1:4" x14ac:dyDescent="0.25">
      <c r="A1993" s="139" t="s">
        <v>4806</v>
      </c>
      <c r="B1993" s="139" t="s">
        <v>2399</v>
      </c>
      <c r="C1993" s="139" t="s">
        <v>112</v>
      </c>
      <c r="D1993" s="139" t="s">
        <v>4807</v>
      </c>
    </row>
    <row r="1994" spans="1:4" x14ac:dyDescent="0.25">
      <c r="A1994" s="139" t="s">
        <v>4808</v>
      </c>
      <c r="B1994" s="139" t="s">
        <v>4176</v>
      </c>
      <c r="C1994" s="139" t="s">
        <v>112</v>
      </c>
      <c r="D1994" s="139" t="s">
        <v>4809</v>
      </c>
    </row>
    <row r="1995" spans="1:4" x14ac:dyDescent="0.25">
      <c r="A1995" s="139" t="s">
        <v>4810</v>
      </c>
      <c r="B1995" s="139" t="s">
        <v>4176</v>
      </c>
      <c r="C1995" s="139" t="s">
        <v>112</v>
      </c>
      <c r="D1995" s="139" t="s">
        <v>4811</v>
      </c>
    </row>
    <row r="1996" spans="1:4" x14ac:dyDescent="0.25">
      <c r="A1996" s="139" t="s">
        <v>4812</v>
      </c>
      <c r="B1996" s="139" t="s">
        <v>2309</v>
      </c>
      <c r="C1996" s="139" t="s">
        <v>112</v>
      </c>
      <c r="D1996" s="139" t="s">
        <v>4813</v>
      </c>
    </row>
    <row r="1997" spans="1:4" x14ac:dyDescent="0.25">
      <c r="A1997" s="139" t="s">
        <v>4814</v>
      </c>
      <c r="B1997" s="139" t="s">
        <v>2309</v>
      </c>
      <c r="C1997" s="139" t="s">
        <v>112</v>
      </c>
      <c r="D1997" s="139" t="s">
        <v>4815</v>
      </c>
    </row>
    <row r="1998" spans="1:4" x14ac:dyDescent="0.25">
      <c r="A1998" s="139" t="s">
        <v>4816</v>
      </c>
      <c r="B1998" s="139" t="s">
        <v>4817</v>
      </c>
      <c r="C1998" s="139" t="s">
        <v>112</v>
      </c>
      <c r="D1998" s="139" t="s">
        <v>4818</v>
      </c>
    </row>
    <row r="1999" spans="1:4" x14ac:dyDescent="0.25">
      <c r="A1999" s="139" t="s">
        <v>4819</v>
      </c>
      <c r="B1999" s="139" t="s">
        <v>4817</v>
      </c>
      <c r="C1999" s="139" t="s">
        <v>112</v>
      </c>
      <c r="D1999" s="139" t="s">
        <v>4820</v>
      </c>
    </row>
    <row r="2000" spans="1:4" x14ac:dyDescent="0.25">
      <c r="A2000" s="139" t="s">
        <v>4821</v>
      </c>
      <c r="B2000" s="139" t="s">
        <v>4822</v>
      </c>
      <c r="C2000" s="139" t="s">
        <v>112</v>
      </c>
      <c r="D2000" s="139" t="s">
        <v>4823</v>
      </c>
    </row>
    <row r="2001" spans="1:4" x14ac:dyDescent="0.25">
      <c r="A2001" s="139" t="s">
        <v>4824</v>
      </c>
      <c r="B2001" s="139" t="s">
        <v>4822</v>
      </c>
      <c r="C2001" s="139" t="s">
        <v>112</v>
      </c>
      <c r="D2001" s="139" t="s">
        <v>4825</v>
      </c>
    </row>
    <row r="2002" spans="1:4" x14ac:dyDescent="0.25">
      <c r="A2002" s="139" t="s">
        <v>4826</v>
      </c>
      <c r="B2002" s="139" t="s">
        <v>4827</v>
      </c>
      <c r="C2002" s="139" t="s">
        <v>112</v>
      </c>
      <c r="D2002" s="139" t="s">
        <v>4828</v>
      </c>
    </row>
    <row r="2003" spans="1:4" x14ac:dyDescent="0.25">
      <c r="A2003" s="139" t="s">
        <v>4829</v>
      </c>
      <c r="B2003" s="139" t="s">
        <v>4827</v>
      </c>
      <c r="C2003" s="139" t="s">
        <v>112</v>
      </c>
      <c r="D2003" s="139" t="s">
        <v>4830</v>
      </c>
    </row>
    <row r="2004" spans="1:4" x14ac:dyDescent="0.25">
      <c r="A2004" s="139" t="s">
        <v>4831</v>
      </c>
      <c r="B2004" s="139" t="s">
        <v>4832</v>
      </c>
      <c r="C2004" s="139" t="s">
        <v>112</v>
      </c>
      <c r="D2004" s="139" t="s">
        <v>4833</v>
      </c>
    </row>
    <row r="2005" spans="1:4" x14ac:dyDescent="0.25">
      <c r="A2005" s="139" t="s">
        <v>4834</v>
      </c>
      <c r="B2005" s="139" t="s">
        <v>4832</v>
      </c>
      <c r="C2005" s="139" t="s">
        <v>112</v>
      </c>
      <c r="D2005" s="139" t="s">
        <v>4835</v>
      </c>
    </row>
    <row r="2006" spans="1:4" x14ac:dyDescent="0.25">
      <c r="A2006" s="139" t="s">
        <v>4836</v>
      </c>
      <c r="B2006" s="139" t="s">
        <v>4837</v>
      </c>
      <c r="C2006" s="139" t="s">
        <v>112</v>
      </c>
      <c r="D2006" s="139" t="s">
        <v>4838</v>
      </c>
    </row>
    <row r="2007" spans="1:4" x14ac:dyDescent="0.25">
      <c r="A2007" s="139" t="s">
        <v>4839</v>
      </c>
      <c r="B2007" s="139" t="s">
        <v>4837</v>
      </c>
      <c r="C2007" s="139" t="s">
        <v>112</v>
      </c>
      <c r="D2007" s="139" t="s">
        <v>4840</v>
      </c>
    </row>
    <row r="2008" spans="1:4" x14ac:dyDescent="0.25">
      <c r="A2008" s="139" t="s">
        <v>4841</v>
      </c>
      <c r="B2008" s="139" t="s">
        <v>4842</v>
      </c>
      <c r="C2008" s="139" t="s">
        <v>112</v>
      </c>
      <c r="D2008" s="139" t="s">
        <v>4843</v>
      </c>
    </row>
    <row r="2009" spans="1:4" x14ac:dyDescent="0.25">
      <c r="A2009" s="139" t="s">
        <v>4844</v>
      </c>
      <c r="B2009" s="139" t="s">
        <v>4842</v>
      </c>
      <c r="C2009" s="139" t="s">
        <v>112</v>
      </c>
      <c r="D2009" s="139" t="s">
        <v>4845</v>
      </c>
    </row>
    <row r="2010" spans="1:4" x14ac:dyDescent="0.25">
      <c r="A2010" s="139" t="s">
        <v>4846</v>
      </c>
      <c r="B2010" s="139" t="s">
        <v>4847</v>
      </c>
      <c r="C2010" s="139" t="s">
        <v>112</v>
      </c>
      <c r="D2010" s="139" t="s">
        <v>4848</v>
      </c>
    </row>
    <row r="2011" spans="1:4" x14ac:dyDescent="0.25">
      <c r="A2011" s="139" t="s">
        <v>4849</v>
      </c>
      <c r="B2011" s="139" t="s">
        <v>4847</v>
      </c>
      <c r="C2011" s="139" t="s">
        <v>112</v>
      </c>
      <c r="D2011" s="139" t="s">
        <v>4850</v>
      </c>
    </row>
    <row r="2012" spans="1:4" x14ac:dyDescent="0.25">
      <c r="A2012" s="139" t="s">
        <v>4851</v>
      </c>
      <c r="B2012" s="139" t="s">
        <v>4852</v>
      </c>
      <c r="C2012" s="139" t="s">
        <v>112</v>
      </c>
      <c r="D2012" s="139" t="s">
        <v>4853</v>
      </c>
    </row>
    <row r="2013" spans="1:4" x14ac:dyDescent="0.25">
      <c r="A2013" s="139" t="s">
        <v>4854</v>
      </c>
      <c r="B2013" s="139" t="s">
        <v>4852</v>
      </c>
      <c r="C2013" s="139" t="s">
        <v>112</v>
      </c>
      <c r="D2013" s="139" t="s">
        <v>4855</v>
      </c>
    </row>
    <row r="2014" spans="1:4" x14ac:dyDescent="0.25">
      <c r="A2014" s="139" t="s">
        <v>4856</v>
      </c>
      <c r="B2014" s="139" t="s">
        <v>4857</v>
      </c>
      <c r="C2014" s="139" t="s">
        <v>112</v>
      </c>
      <c r="D2014" s="139" t="s">
        <v>4858</v>
      </c>
    </row>
    <row r="2015" spans="1:4" x14ac:dyDescent="0.25">
      <c r="A2015" s="139" t="s">
        <v>4859</v>
      </c>
      <c r="B2015" s="139" t="s">
        <v>4857</v>
      </c>
      <c r="C2015" s="139" t="s">
        <v>112</v>
      </c>
      <c r="D2015" s="139" t="s">
        <v>4860</v>
      </c>
    </row>
    <row r="2016" spans="1:4" x14ac:dyDescent="0.25">
      <c r="A2016" s="139" t="s">
        <v>4861</v>
      </c>
      <c r="B2016" s="139" t="s">
        <v>4156</v>
      </c>
      <c r="C2016" s="139" t="s">
        <v>112</v>
      </c>
      <c r="D2016" s="139" t="s">
        <v>4862</v>
      </c>
    </row>
    <row r="2017" spans="1:4" x14ac:dyDescent="0.25">
      <c r="A2017" s="139" t="s">
        <v>4863</v>
      </c>
      <c r="B2017" s="139" t="s">
        <v>4156</v>
      </c>
      <c r="C2017" s="139" t="s">
        <v>112</v>
      </c>
      <c r="D2017" s="139" t="s">
        <v>4864</v>
      </c>
    </row>
    <row r="2018" spans="1:4" x14ac:dyDescent="0.25">
      <c r="A2018" s="139" t="s">
        <v>4865</v>
      </c>
      <c r="B2018" s="139" t="s">
        <v>4866</v>
      </c>
      <c r="C2018" s="139" t="s">
        <v>33</v>
      </c>
      <c r="D2018" s="139" t="s">
        <v>4867</v>
      </c>
    </row>
    <row r="2019" spans="1:4" x14ac:dyDescent="0.25">
      <c r="A2019" s="139" t="s">
        <v>4868</v>
      </c>
      <c r="B2019" s="139" t="s">
        <v>4866</v>
      </c>
      <c r="C2019" s="139" t="s">
        <v>33</v>
      </c>
      <c r="D2019" s="139" t="s">
        <v>4869</v>
      </c>
    </row>
    <row r="2020" spans="1:4" x14ac:dyDescent="0.25">
      <c r="A2020" s="139" t="s">
        <v>4870</v>
      </c>
      <c r="B2020" s="139" t="s">
        <v>4039</v>
      </c>
      <c r="C2020" s="139" t="s">
        <v>33</v>
      </c>
      <c r="D2020" s="139" t="s">
        <v>4871</v>
      </c>
    </row>
    <row r="2021" spans="1:4" x14ac:dyDescent="0.25">
      <c r="A2021" s="139" t="s">
        <v>4872</v>
      </c>
      <c r="B2021" s="139" t="s">
        <v>4039</v>
      </c>
      <c r="C2021" s="139" t="s">
        <v>33</v>
      </c>
      <c r="D2021" s="139" t="s">
        <v>4873</v>
      </c>
    </row>
    <row r="2022" spans="1:4" x14ac:dyDescent="0.25">
      <c r="A2022" s="139" t="s">
        <v>4874</v>
      </c>
      <c r="B2022" s="139" t="s">
        <v>4875</v>
      </c>
      <c r="C2022" s="139" t="s">
        <v>127</v>
      </c>
      <c r="D2022" s="139" t="s">
        <v>4876</v>
      </c>
    </row>
    <row r="2023" spans="1:4" x14ac:dyDescent="0.25">
      <c r="A2023" s="139" t="s">
        <v>4877</v>
      </c>
      <c r="B2023" s="139" t="s">
        <v>4875</v>
      </c>
      <c r="C2023" s="139" t="s">
        <v>127</v>
      </c>
      <c r="D2023" s="139" t="s">
        <v>4878</v>
      </c>
    </row>
    <row r="2024" spans="1:4" x14ac:dyDescent="0.25">
      <c r="A2024" s="139" t="s">
        <v>4879</v>
      </c>
      <c r="B2024" s="139" t="s">
        <v>4665</v>
      </c>
      <c r="C2024" s="139" t="s">
        <v>127</v>
      </c>
      <c r="D2024" s="139" t="s">
        <v>4880</v>
      </c>
    </row>
    <row r="2025" spans="1:4" x14ac:dyDescent="0.25">
      <c r="A2025" s="139" t="s">
        <v>4881</v>
      </c>
      <c r="B2025" s="139" t="s">
        <v>4665</v>
      </c>
      <c r="C2025" s="139" t="s">
        <v>127</v>
      </c>
      <c r="D2025" s="139" t="s">
        <v>4882</v>
      </c>
    </row>
    <row r="2026" spans="1:4" x14ac:dyDescent="0.25">
      <c r="A2026" s="139" t="s">
        <v>4883</v>
      </c>
      <c r="B2026" s="139" t="s">
        <v>4884</v>
      </c>
      <c r="C2026" s="139" t="s">
        <v>658</v>
      </c>
      <c r="D2026" s="139" t="s">
        <v>4885</v>
      </c>
    </row>
    <row r="2027" spans="1:4" x14ac:dyDescent="0.25">
      <c r="A2027" s="139" t="s">
        <v>4886</v>
      </c>
      <c r="B2027" s="139" t="s">
        <v>4884</v>
      </c>
      <c r="C2027" s="139" t="s">
        <v>658</v>
      </c>
      <c r="D2027" s="139" t="s">
        <v>4887</v>
      </c>
    </row>
    <row r="2028" spans="1:4" x14ac:dyDescent="0.25">
      <c r="A2028" s="139" t="s">
        <v>4888</v>
      </c>
      <c r="B2028" s="139" t="s">
        <v>904</v>
      </c>
      <c r="C2028" s="139" t="s">
        <v>127</v>
      </c>
      <c r="D2028" s="139" t="s">
        <v>4889</v>
      </c>
    </row>
    <row r="2029" spans="1:4" x14ac:dyDescent="0.25">
      <c r="A2029" s="139" t="s">
        <v>4890</v>
      </c>
      <c r="B2029" s="139" t="s">
        <v>904</v>
      </c>
      <c r="C2029" s="139" t="s">
        <v>127</v>
      </c>
      <c r="D2029" s="139" t="s">
        <v>4891</v>
      </c>
    </row>
    <row r="2030" spans="1:4" x14ac:dyDescent="0.25">
      <c r="A2030" s="139" t="s">
        <v>4892</v>
      </c>
      <c r="B2030" s="139" t="s">
        <v>4893</v>
      </c>
      <c r="C2030" s="139" t="s">
        <v>658</v>
      </c>
      <c r="D2030" s="139" t="s">
        <v>4894</v>
      </c>
    </row>
    <row r="2031" spans="1:4" x14ac:dyDescent="0.25">
      <c r="A2031" s="139" t="s">
        <v>4895</v>
      </c>
      <c r="B2031" s="139" t="s">
        <v>4893</v>
      </c>
      <c r="C2031" s="139" t="s">
        <v>658</v>
      </c>
      <c r="D2031" s="139" t="s">
        <v>4896</v>
      </c>
    </row>
    <row r="2032" spans="1:4" x14ac:dyDescent="0.25">
      <c r="A2032" s="139" t="s">
        <v>4897</v>
      </c>
      <c r="B2032" s="139" t="s">
        <v>4898</v>
      </c>
      <c r="C2032" s="139" t="s">
        <v>658</v>
      </c>
      <c r="D2032" s="139" t="s">
        <v>4899</v>
      </c>
    </row>
    <row r="2033" spans="1:4" x14ac:dyDescent="0.25">
      <c r="A2033" s="139" t="s">
        <v>4900</v>
      </c>
      <c r="B2033" s="139" t="s">
        <v>4898</v>
      </c>
      <c r="C2033" s="139" t="s">
        <v>658</v>
      </c>
      <c r="D2033" s="139" t="s">
        <v>4901</v>
      </c>
    </row>
    <row r="2034" spans="1:4" x14ac:dyDescent="0.25">
      <c r="A2034" s="139" t="s">
        <v>4902</v>
      </c>
      <c r="B2034" s="139" t="s">
        <v>4903</v>
      </c>
      <c r="C2034" s="139" t="s">
        <v>658</v>
      </c>
      <c r="D2034" s="139" t="s">
        <v>4904</v>
      </c>
    </row>
    <row r="2035" spans="1:4" x14ac:dyDescent="0.25">
      <c r="A2035" s="139" t="s">
        <v>4905</v>
      </c>
      <c r="B2035" s="139" t="s">
        <v>4903</v>
      </c>
      <c r="C2035" s="139" t="s">
        <v>658</v>
      </c>
      <c r="D2035" s="139" t="s">
        <v>4906</v>
      </c>
    </row>
    <row r="2036" spans="1:4" x14ac:dyDescent="0.25">
      <c r="A2036" s="139" t="s">
        <v>4907</v>
      </c>
      <c r="B2036" s="139" t="s">
        <v>2399</v>
      </c>
      <c r="C2036" s="139" t="s">
        <v>658</v>
      </c>
      <c r="D2036" s="139" t="s">
        <v>4908</v>
      </c>
    </row>
    <row r="2037" spans="1:4" x14ac:dyDescent="0.25">
      <c r="A2037" s="139" t="s">
        <v>4909</v>
      </c>
      <c r="B2037" s="139" t="s">
        <v>2399</v>
      </c>
      <c r="C2037" s="139" t="s">
        <v>658</v>
      </c>
      <c r="D2037" s="139" t="s">
        <v>4910</v>
      </c>
    </row>
    <row r="2038" spans="1:4" x14ac:dyDescent="0.25">
      <c r="A2038" s="139" t="s">
        <v>4911</v>
      </c>
      <c r="B2038" s="139" t="s">
        <v>4912</v>
      </c>
      <c r="C2038" s="139" t="s">
        <v>4913</v>
      </c>
      <c r="D2038" s="139" t="s">
        <v>4914</v>
      </c>
    </row>
    <row r="2039" spans="1:4" x14ac:dyDescent="0.25">
      <c r="A2039" s="139" t="s">
        <v>4915</v>
      </c>
      <c r="B2039" s="139" t="s">
        <v>4912</v>
      </c>
      <c r="C2039" s="139" t="s">
        <v>4913</v>
      </c>
      <c r="D2039" s="139" t="s">
        <v>4916</v>
      </c>
    </row>
    <row r="2040" spans="1:4" x14ac:dyDescent="0.25">
      <c r="A2040" s="139" t="s">
        <v>4917</v>
      </c>
      <c r="B2040" s="139" t="s">
        <v>137</v>
      </c>
      <c r="C2040" s="139" t="s">
        <v>33</v>
      </c>
      <c r="D2040" s="139" t="s">
        <v>4918</v>
      </c>
    </row>
    <row r="2041" spans="1:4" x14ac:dyDescent="0.25">
      <c r="A2041" s="139" t="s">
        <v>4919</v>
      </c>
      <c r="B2041" s="139" t="s">
        <v>137</v>
      </c>
      <c r="C2041" s="139" t="s">
        <v>33</v>
      </c>
      <c r="D2041" s="139" t="s">
        <v>4920</v>
      </c>
    </row>
    <row r="2042" spans="1:4" x14ac:dyDescent="0.25">
      <c r="A2042" s="139" t="s">
        <v>4921</v>
      </c>
      <c r="B2042" s="139" t="s">
        <v>238</v>
      </c>
      <c r="C2042" s="139" t="s">
        <v>123</v>
      </c>
      <c r="D2042" s="139" t="s">
        <v>4922</v>
      </c>
    </row>
    <row r="2043" spans="1:4" x14ac:dyDescent="0.25">
      <c r="A2043" s="139" t="s">
        <v>4923</v>
      </c>
      <c r="B2043" s="139" t="s">
        <v>238</v>
      </c>
      <c r="C2043" s="139" t="s">
        <v>123</v>
      </c>
      <c r="D2043" s="139" t="s">
        <v>4924</v>
      </c>
    </row>
    <row r="2044" spans="1:4" x14ac:dyDescent="0.25">
      <c r="A2044" s="139" t="s">
        <v>4925</v>
      </c>
      <c r="B2044" s="139" t="s">
        <v>4926</v>
      </c>
      <c r="C2044" s="139" t="s">
        <v>123</v>
      </c>
      <c r="D2044" s="139" t="s">
        <v>4927</v>
      </c>
    </row>
    <row r="2045" spans="1:4" x14ac:dyDescent="0.25">
      <c r="A2045" s="139" t="s">
        <v>4928</v>
      </c>
      <c r="B2045" s="139" t="s">
        <v>4926</v>
      </c>
      <c r="C2045" s="139" t="s">
        <v>123</v>
      </c>
      <c r="D2045" s="139" t="s">
        <v>4929</v>
      </c>
    </row>
    <row r="2046" spans="1:4" x14ac:dyDescent="0.25">
      <c r="A2046" s="139" t="s">
        <v>4930</v>
      </c>
      <c r="B2046" s="139" t="s">
        <v>185</v>
      </c>
      <c r="C2046" s="139" t="s">
        <v>123</v>
      </c>
      <c r="D2046" s="139" t="s">
        <v>4931</v>
      </c>
    </row>
    <row r="2047" spans="1:4" x14ac:dyDescent="0.25">
      <c r="A2047" s="139" t="s">
        <v>4932</v>
      </c>
      <c r="B2047" s="139" t="s">
        <v>185</v>
      </c>
      <c r="C2047" s="139" t="s">
        <v>123</v>
      </c>
      <c r="D2047" s="139" t="s">
        <v>4933</v>
      </c>
    </row>
    <row r="2048" spans="1:4" x14ac:dyDescent="0.25">
      <c r="A2048" s="139" t="s">
        <v>4934</v>
      </c>
      <c r="B2048" s="139" t="s">
        <v>4935</v>
      </c>
      <c r="C2048" s="139" t="s">
        <v>123</v>
      </c>
      <c r="D2048" s="139" t="s">
        <v>4936</v>
      </c>
    </row>
    <row r="2049" spans="1:4" x14ac:dyDescent="0.25">
      <c r="A2049" s="139" t="s">
        <v>4937</v>
      </c>
      <c r="B2049" s="139" t="s">
        <v>4935</v>
      </c>
      <c r="C2049" s="139" t="s">
        <v>123</v>
      </c>
      <c r="D2049" s="139" t="s">
        <v>4938</v>
      </c>
    </row>
    <row r="2050" spans="1:4" x14ac:dyDescent="0.25">
      <c r="A2050" s="139" t="s">
        <v>4939</v>
      </c>
      <c r="B2050" s="139" t="s">
        <v>4940</v>
      </c>
      <c r="C2050" s="139" t="s">
        <v>123</v>
      </c>
      <c r="D2050" s="139" t="s">
        <v>4941</v>
      </c>
    </row>
    <row r="2051" spans="1:4" x14ac:dyDescent="0.25">
      <c r="A2051" s="139" t="s">
        <v>4942</v>
      </c>
      <c r="B2051" s="139" t="s">
        <v>4940</v>
      </c>
      <c r="C2051" s="139" t="s">
        <v>123</v>
      </c>
      <c r="D2051" s="139" t="s">
        <v>4943</v>
      </c>
    </row>
    <row r="2052" spans="1:4" x14ac:dyDescent="0.25">
      <c r="A2052" s="139" t="s">
        <v>4944</v>
      </c>
      <c r="B2052" s="139" t="s">
        <v>238</v>
      </c>
      <c r="C2052" s="139" t="s">
        <v>123</v>
      </c>
      <c r="D2052" s="139" t="s">
        <v>4945</v>
      </c>
    </row>
    <row r="2053" spans="1:4" x14ac:dyDescent="0.25">
      <c r="A2053" s="139" t="s">
        <v>4946</v>
      </c>
      <c r="B2053" s="139" t="s">
        <v>238</v>
      </c>
      <c r="C2053" s="139" t="s">
        <v>123</v>
      </c>
      <c r="D2053" s="139" t="s">
        <v>4947</v>
      </c>
    </row>
    <row r="2054" spans="1:4" x14ac:dyDescent="0.25">
      <c r="A2054" s="139" t="s">
        <v>4948</v>
      </c>
      <c r="B2054" s="139" t="s">
        <v>43</v>
      </c>
      <c r="C2054" s="139" t="s">
        <v>123</v>
      </c>
      <c r="D2054" s="139" t="s">
        <v>4949</v>
      </c>
    </row>
    <row r="2055" spans="1:4" x14ac:dyDescent="0.25">
      <c r="A2055" s="139" t="s">
        <v>4950</v>
      </c>
      <c r="B2055" s="139" t="s">
        <v>43</v>
      </c>
      <c r="C2055" s="139" t="s">
        <v>123</v>
      </c>
      <c r="D2055" s="139" t="s">
        <v>4951</v>
      </c>
    </row>
    <row r="2056" spans="1:4" x14ac:dyDescent="0.25">
      <c r="A2056" s="139" t="s">
        <v>4952</v>
      </c>
      <c r="B2056" s="139" t="s">
        <v>4953</v>
      </c>
      <c r="C2056" s="139" t="s">
        <v>65</v>
      </c>
      <c r="D2056" s="139" t="s">
        <v>4954</v>
      </c>
    </row>
    <row r="2057" spans="1:4" x14ac:dyDescent="0.25">
      <c r="A2057" s="139" t="s">
        <v>4955</v>
      </c>
      <c r="B2057" s="139" t="s">
        <v>4953</v>
      </c>
      <c r="C2057" s="139" t="s">
        <v>65</v>
      </c>
      <c r="D2057" s="139" t="s">
        <v>4956</v>
      </c>
    </row>
    <row r="2058" spans="1:4" x14ac:dyDescent="0.25">
      <c r="A2058" s="139" t="s">
        <v>4957</v>
      </c>
      <c r="B2058" s="139" t="s">
        <v>3602</v>
      </c>
      <c r="C2058" s="139" t="s">
        <v>65</v>
      </c>
      <c r="D2058" s="139" t="s">
        <v>4958</v>
      </c>
    </row>
    <row r="2059" spans="1:4" x14ac:dyDescent="0.25">
      <c r="A2059" s="139" t="s">
        <v>4959</v>
      </c>
      <c r="B2059" s="139" t="s">
        <v>3602</v>
      </c>
      <c r="C2059" s="139" t="s">
        <v>65</v>
      </c>
      <c r="D2059" s="139" t="s">
        <v>4960</v>
      </c>
    </row>
    <row r="2060" spans="1:4" x14ac:dyDescent="0.25">
      <c r="A2060" s="139" t="s">
        <v>4961</v>
      </c>
      <c r="B2060" s="139" t="s">
        <v>4962</v>
      </c>
      <c r="C2060" s="139" t="s">
        <v>65</v>
      </c>
      <c r="D2060" s="139" t="s">
        <v>4963</v>
      </c>
    </row>
    <row r="2061" spans="1:4" x14ac:dyDescent="0.25">
      <c r="A2061" s="139" t="s">
        <v>4964</v>
      </c>
      <c r="B2061" s="139" t="s">
        <v>4962</v>
      </c>
      <c r="C2061" s="139" t="s">
        <v>65</v>
      </c>
      <c r="D2061" s="139" t="s">
        <v>4965</v>
      </c>
    </row>
    <row r="2062" spans="1:4" x14ac:dyDescent="0.25">
      <c r="A2062" s="139" t="s">
        <v>4966</v>
      </c>
      <c r="B2062" s="139" t="s">
        <v>4967</v>
      </c>
      <c r="C2062" s="139" t="s">
        <v>65</v>
      </c>
      <c r="D2062" s="139" t="s">
        <v>4968</v>
      </c>
    </row>
    <row r="2063" spans="1:4" x14ac:dyDescent="0.25">
      <c r="A2063" s="139" t="s">
        <v>4969</v>
      </c>
      <c r="B2063" s="139" t="s">
        <v>4967</v>
      </c>
      <c r="C2063" s="139" t="s">
        <v>65</v>
      </c>
      <c r="D2063" s="139" t="s">
        <v>4970</v>
      </c>
    </row>
    <row r="2064" spans="1:4" x14ac:dyDescent="0.25">
      <c r="A2064" s="139" t="s">
        <v>4971</v>
      </c>
      <c r="B2064" s="139" t="s">
        <v>4972</v>
      </c>
      <c r="C2064" s="139" t="s">
        <v>65</v>
      </c>
      <c r="D2064" s="139" t="s">
        <v>4973</v>
      </c>
    </row>
    <row r="2065" spans="1:4" x14ac:dyDescent="0.25">
      <c r="A2065" s="139" t="s">
        <v>4974</v>
      </c>
      <c r="B2065" s="139" t="s">
        <v>4972</v>
      </c>
      <c r="C2065" s="139" t="s">
        <v>65</v>
      </c>
      <c r="D2065" s="139" t="s">
        <v>4975</v>
      </c>
    </row>
    <row r="2066" spans="1:4" x14ac:dyDescent="0.25">
      <c r="A2066" s="139" t="s">
        <v>4976</v>
      </c>
      <c r="B2066" s="139" t="s">
        <v>4977</v>
      </c>
      <c r="C2066" s="139" t="s">
        <v>65</v>
      </c>
      <c r="D2066" s="139" t="s">
        <v>4978</v>
      </c>
    </row>
    <row r="2067" spans="1:4" x14ac:dyDescent="0.25">
      <c r="A2067" s="139" t="s">
        <v>4979</v>
      </c>
      <c r="B2067" s="139" t="s">
        <v>4977</v>
      </c>
      <c r="C2067" s="139" t="s">
        <v>65</v>
      </c>
      <c r="D2067" s="139" t="s">
        <v>4980</v>
      </c>
    </row>
    <row r="2068" spans="1:4" x14ac:dyDescent="0.25">
      <c r="A2068" s="139" t="s">
        <v>4981</v>
      </c>
      <c r="B2068" s="139" t="s">
        <v>4982</v>
      </c>
      <c r="C2068" s="139" t="s">
        <v>65</v>
      </c>
      <c r="D2068" s="139" t="s">
        <v>4983</v>
      </c>
    </row>
    <row r="2069" spans="1:4" x14ac:dyDescent="0.25">
      <c r="A2069" s="139" t="s">
        <v>4984</v>
      </c>
      <c r="B2069" s="139" t="s">
        <v>4982</v>
      </c>
      <c r="C2069" s="139" t="s">
        <v>65</v>
      </c>
      <c r="D2069" s="139" t="s">
        <v>4985</v>
      </c>
    </row>
    <row r="2070" spans="1:4" x14ac:dyDescent="0.25">
      <c r="A2070" s="139" t="s">
        <v>4986</v>
      </c>
      <c r="B2070" s="139" t="s">
        <v>4987</v>
      </c>
      <c r="C2070" s="139" t="s">
        <v>65</v>
      </c>
      <c r="D2070" s="139" t="s">
        <v>4988</v>
      </c>
    </row>
    <row r="2071" spans="1:4" x14ac:dyDescent="0.25">
      <c r="A2071" s="139" t="s">
        <v>4989</v>
      </c>
      <c r="B2071" s="139" t="s">
        <v>4987</v>
      </c>
      <c r="C2071" s="139" t="s">
        <v>65</v>
      </c>
      <c r="D2071" s="139" t="s">
        <v>4990</v>
      </c>
    </row>
    <row r="2072" spans="1:4" x14ac:dyDescent="0.25">
      <c r="A2072" s="139" t="s">
        <v>4991</v>
      </c>
      <c r="B2072" s="139" t="s">
        <v>335</v>
      </c>
      <c r="C2072" s="139" t="s">
        <v>65</v>
      </c>
      <c r="D2072" s="139" t="s">
        <v>4992</v>
      </c>
    </row>
    <row r="2073" spans="1:4" x14ac:dyDescent="0.25">
      <c r="A2073" s="139" t="s">
        <v>4993</v>
      </c>
      <c r="B2073" s="139" t="s">
        <v>335</v>
      </c>
      <c r="C2073" s="139" t="s">
        <v>65</v>
      </c>
      <c r="D2073" s="139" t="s">
        <v>4994</v>
      </c>
    </row>
    <row r="2074" spans="1:4" x14ac:dyDescent="0.25">
      <c r="A2074" s="139" t="s">
        <v>4995</v>
      </c>
      <c r="B2074" s="139" t="s">
        <v>4996</v>
      </c>
      <c r="C2074" s="139" t="s">
        <v>65</v>
      </c>
      <c r="D2074" s="139" t="s">
        <v>4997</v>
      </c>
    </row>
    <row r="2075" spans="1:4" x14ac:dyDescent="0.25">
      <c r="A2075" s="139" t="s">
        <v>4998</v>
      </c>
      <c r="B2075" s="139" t="s">
        <v>4996</v>
      </c>
      <c r="C2075" s="139" t="s">
        <v>65</v>
      </c>
      <c r="D2075" s="139" t="s">
        <v>4999</v>
      </c>
    </row>
    <row r="2076" spans="1:4" x14ac:dyDescent="0.25">
      <c r="A2076" s="139" t="s">
        <v>5000</v>
      </c>
      <c r="B2076" s="139" t="s">
        <v>5001</v>
      </c>
      <c r="C2076" s="139" t="s">
        <v>65</v>
      </c>
      <c r="D2076" s="139" t="s">
        <v>5002</v>
      </c>
    </row>
    <row r="2077" spans="1:4" x14ac:dyDescent="0.25">
      <c r="A2077" s="139" t="s">
        <v>5003</v>
      </c>
      <c r="B2077" s="139" t="s">
        <v>5001</v>
      </c>
      <c r="C2077" s="139" t="s">
        <v>65</v>
      </c>
      <c r="D2077" s="139" t="s">
        <v>5004</v>
      </c>
    </row>
    <row r="2078" spans="1:4" x14ac:dyDescent="0.25">
      <c r="A2078" s="139" t="s">
        <v>5005</v>
      </c>
      <c r="B2078" s="139" t="s">
        <v>5006</v>
      </c>
      <c r="C2078" s="139" t="s">
        <v>65</v>
      </c>
      <c r="D2078" s="139" t="s">
        <v>5007</v>
      </c>
    </row>
    <row r="2079" spans="1:4" x14ac:dyDescent="0.25">
      <c r="A2079" s="139" t="s">
        <v>5008</v>
      </c>
      <c r="B2079" s="139" t="s">
        <v>5006</v>
      </c>
      <c r="C2079" s="139" t="s">
        <v>65</v>
      </c>
      <c r="D2079" s="139" t="s">
        <v>5009</v>
      </c>
    </row>
    <row r="2080" spans="1:4" x14ac:dyDescent="0.25">
      <c r="A2080" s="139" t="s">
        <v>5010</v>
      </c>
      <c r="B2080" s="139" t="s">
        <v>5011</v>
      </c>
      <c r="C2080" s="139" t="s">
        <v>65</v>
      </c>
      <c r="D2080" s="139" t="s">
        <v>5012</v>
      </c>
    </row>
    <row r="2081" spans="1:4" x14ac:dyDescent="0.25">
      <c r="A2081" s="139" t="s">
        <v>5013</v>
      </c>
      <c r="B2081" s="139" t="s">
        <v>5011</v>
      </c>
      <c r="C2081" s="139" t="s">
        <v>65</v>
      </c>
      <c r="D2081" s="139" t="s">
        <v>5014</v>
      </c>
    </row>
    <row r="2082" spans="1:4" x14ac:dyDescent="0.25">
      <c r="A2082" s="139" t="s">
        <v>5015</v>
      </c>
      <c r="B2082" s="139" t="s">
        <v>5016</v>
      </c>
      <c r="C2082" s="139" t="s">
        <v>65</v>
      </c>
      <c r="D2082" s="139" t="s">
        <v>5017</v>
      </c>
    </row>
    <row r="2083" spans="1:4" x14ac:dyDescent="0.25">
      <c r="A2083" s="139" t="s">
        <v>5018</v>
      </c>
      <c r="B2083" s="139" t="s">
        <v>5016</v>
      </c>
      <c r="C2083" s="139" t="s">
        <v>65</v>
      </c>
      <c r="D2083" s="139" t="s">
        <v>5019</v>
      </c>
    </row>
    <row r="2084" spans="1:4" x14ac:dyDescent="0.25">
      <c r="A2084" s="139" t="s">
        <v>5020</v>
      </c>
      <c r="B2084" s="139" t="s">
        <v>5021</v>
      </c>
      <c r="C2084" s="139" t="s">
        <v>65</v>
      </c>
      <c r="D2084" s="139" t="s">
        <v>5022</v>
      </c>
    </row>
    <row r="2085" spans="1:4" x14ac:dyDescent="0.25">
      <c r="A2085" s="139" t="s">
        <v>5023</v>
      </c>
      <c r="B2085" s="139" t="s">
        <v>5021</v>
      </c>
      <c r="C2085" s="139" t="s">
        <v>65</v>
      </c>
      <c r="D2085" s="139" t="s">
        <v>5024</v>
      </c>
    </row>
    <row r="2086" spans="1:4" x14ac:dyDescent="0.25">
      <c r="A2086" s="139" t="s">
        <v>5025</v>
      </c>
      <c r="B2086" s="139" t="s">
        <v>5026</v>
      </c>
      <c r="C2086" s="139" t="s">
        <v>65</v>
      </c>
      <c r="D2086" s="139" t="s">
        <v>5027</v>
      </c>
    </row>
    <row r="2087" spans="1:4" x14ac:dyDescent="0.25">
      <c r="A2087" s="139" t="s">
        <v>5028</v>
      </c>
      <c r="B2087" s="139" t="s">
        <v>5026</v>
      </c>
      <c r="C2087" s="139" t="s">
        <v>65</v>
      </c>
      <c r="D2087" s="139" t="s">
        <v>5029</v>
      </c>
    </row>
    <row r="2088" spans="1:4" x14ac:dyDescent="0.25">
      <c r="A2088" s="139" t="s">
        <v>5030</v>
      </c>
      <c r="B2088" s="139" t="s">
        <v>4547</v>
      </c>
      <c r="C2088" s="139" t="s">
        <v>65</v>
      </c>
      <c r="D2088" s="139" t="s">
        <v>5031</v>
      </c>
    </row>
    <row r="2089" spans="1:4" x14ac:dyDescent="0.25">
      <c r="A2089" s="139" t="s">
        <v>5032</v>
      </c>
      <c r="B2089" s="139" t="s">
        <v>4547</v>
      </c>
      <c r="C2089" s="139" t="s">
        <v>65</v>
      </c>
      <c r="D2089" s="139" t="s">
        <v>5033</v>
      </c>
    </row>
    <row r="2090" spans="1:4" x14ac:dyDescent="0.25">
      <c r="A2090" s="139" t="s">
        <v>5034</v>
      </c>
      <c r="B2090" s="139" t="s">
        <v>5035</v>
      </c>
      <c r="C2090" s="139" t="s">
        <v>65</v>
      </c>
      <c r="D2090" s="139" t="s">
        <v>5036</v>
      </c>
    </row>
    <row r="2091" spans="1:4" x14ac:dyDescent="0.25">
      <c r="A2091" s="139" t="s">
        <v>5037</v>
      </c>
      <c r="B2091" s="139" t="s">
        <v>5035</v>
      </c>
      <c r="C2091" s="139" t="s">
        <v>65</v>
      </c>
      <c r="D2091" s="139" t="s">
        <v>5038</v>
      </c>
    </row>
    <row r="2092" spans="1:4" x14ac:dyDescent="0.25">
      <c r="A2092" s="139" t="s">
        <v>5039</v>
      </c>
      <c r="B2092" s="139" t="s">
        <v>5040</v>
      </c>
      <c r="C2092" s="139" t="s">
        <v>65</v>
      </c>
      <c r="D2092" s="139" t="s">
        <v>5041</v>
      </c>
    </row>
    <row r="2093" spans="1:4" x14ac:dyDescent="0.25">
      <c r="A2093" s="139" t="s">
        <v>5042</v>
      </c>
      <c r="B2093" s="139" t="s">
        <v>5040</v>
      </c>
      <c r="C2093" s="139" t="s">
        <v>65</v>
      </c>
      <c r="D2093" s="139" t="s">
        <v>5043</v>
      </c>
    </row>
    <row r="2094" spans="1:4" x14ac:dyDescent="0.25">
      <c r="A2094" s="139" t="s">
        <v>5044</v>
      </c>
      <c r="B2094" s="139" t="s">
        <v>1598</v>
      </c>
      <c r="C2094" s="139" t="s">
        <v>65</v>
      </c>
      <c r="D2094" s="139" t="s">
        <v>5045</v>
      </c>
    </row>
    <row r="2095" spans="1:4" x14ac:dyDescent="0.25">
      <c r="A2095" s="139" t="s">
        <v>5046</v>
      </c>
      <c r="B2095" s="139" t="s">
        <v>1598</v>
      </c>
      <c r="C2095" s="139" t="s">
        <v>65</v>
      </c>
      <c r="D2095" s="139" t="s">
        <v>5047</v>
      </c>
    </row>
    <row r="2096" spans="1:4" x14ac:dyDescent="0.25">
      <c r="A2096" s="139" t="s">
        <v>5048</v>
      </c>
      <c r="B2096" s="139" t="s">
        <v>5049</v>
      </c>
      <c r="C2096" s="139" t="s">
        <v>65</v>
      </c>
      <c r="D2096" s="139" t="s">
        <v>5050</v>
      </c>
    </row>
    <row r="2097" spans="1:4" x14ac:dyDescent="0.25">
      <c r="A2097" s="139" t="s">
        <v>5051</v>
      </c>
      <c r="B2097" s="139" t="s">
        <v>5049</v>
      </c>
      <c r="C2097" s="139" t="s">
        <v>65</v>
      </c>
      <c r="D2097" s="139" t="s">
        <v>5052</v>
      </c>
    </row>
    <row r="2098" spans="1:4" x14ac:dyDescent="0.25">
      <c r="A2098" s="139" t="s">
        <v>5053</v>
      </c>
      <c r="B2098" s="139" t="s">
        <v>1305</v>
      </c>
      <c r="C2098" s="139" t="s">
        <v>65</v>
      </c>
      <c r="D2098" s="139" t="s">
        <v>5054</v>
      </c>
    </row>
    <row r="2099" spans="1:4" x14ac:dyDescent="0.25">
      <c r="A2099" s="139" t="s">
        <v>5055</v>
      </c>
      <c r="B2099" s="139" t="s">
        <v>1305</v>
      </c>
      <c r="C2099" s="139" t="s">
        <v>65</v>
      </c>
      <c r="D2099" s="139" t="s">
        <v>5056</v>
      </c>
    </row>
    <row r="2100" spans="1:4" x14ac:dyDescent="0.25">
      <c r="A2100" s="139" t="s">
        <v>5057</v>
      </c>
      <c r="B2100" s="139" t="s">
        <v>147</v>
      </c>
      <c r="C2100" s="139" t="s">
        <v>65</v>
      </c>
      <c r="D2100" s="139" t="s">
        <v>5058</v>
      </c>
    </row>
    <row r="2101" spans="1:4" x14ac:dyDescent="0.25">
      <c r="A2101" s="139" t="s">
        <v>5059</v>
      </c>
      <c r="B2101" s="139" t="s">
        <v>147</v>
      </c>
      <c r="C2101" s="139" t="s">
        <v>65</v>
      </c>
      <c r="D2101" s="139" t="s">
        <v>5060</v>
      </c>
    </row>
    <row r="2102" spans="1:4" x14ac:dyDescent="0.25">
      <c r="A2102" s="139" t="s">
        <v>5061</v>
      </c>
      <c r="B2102" s="139" t="s">
        <v>360</v>
      </c>
      <c r="C2102" s="139" t="s">
        <v>127</v>
      </c>
      <c r="D2102" s="139" t="s">
        <v>5062</v>
      </c>
    </row>
    <row r="2103" spans="1:4" x14ac:dyDescent="0.25">
      <c r="A2103" s="139" t="s">
        <v>5063</v>
      </c>
      <c r="B2103" s="139" t="s">
        <v>360</v>
      </c>
      <c r="C2103" s="139" t="s">
        <v>127</v>
      </c>
      <c r="D2103" s="139" t="s">
        <v>5064</v>
      </c>
    </row>
    <row r="2104" spans="1:4" x14ac:dyDescent="0.25">
      <c r="A2104" s="139" t="s">
        <v>5065</v>
      </c>
      <c r="B2104" s="139" t="s">
        <v>5066</v>
      </c>
      <c r="C2104" s="139" t="s">
        <v>127</v>
      </c>
      <c r="D2104" s="139" t="s">
        <v>5067</v>
      </c>
    </row>
    <row r="2105" spans="1:4" x14ac:dyDescent="0.25">
      <c r="A2105" s="139" t="s">
        <v>5068</v>
      </c>
      <c r="B2105" s="139" t="s">
        <v>5066</v>
      </c>
      <c r="C2105" s="139" t="s">
        <v>127</v>
      </c>
      <c r="D2105" s="139" t="s">
        <v>5069</v>
      </c>
    </row>
    <row r="2106" spans="1:4" x14ac:dyDescent="0.25">
      <c r="A2106" s="139" t="s">
        <v>5070</v>
      </c>
      <c r="B2106" s="139" t="s">
        <v>5071</v>
      </c>
      <c r="C2106" s="139" t="s">
        <v>127</v>
      </c>
      <c r="D2106" s="139" t="s">
        <v>5072</v>
      </c>
    </row>
    <row r="2107" spans="1:4" x14ac:dyDescent="0.25">
      <c r="A2107" s="139" t="s">
        <v>5073</v>
      </c>
      <c r="B2107" s="139" t="s">
        <v>5071</v>
      </c>
      <c r="C2107" s="139" t="s">
        <v>127</v>
      </c>
      <c r="D2107" s="139" t="s">
        <v>5074</v>
      </c>
    </row>
    <row r="2108" spans="1:4" x14ac:dyDescent="0.25">
      <c r="A2108" s="139" t="s">
        <v>5075</v>
      </c>
      <c r="B2108" s="139" t="s">
        <v>4204</v>
      </c>
      <c r="C2108" s="139" t="s">
        <v>44</v>
      </c>
      <c r="D2108" s="139" t="s">
        <v>5076</v>
      </c>
    </row>
    <row r="2109" spans="1:4" x14ac:dyDescent="0.25">
      <c r="A2109" s="139" t="s">
        <v>5077</v>
      </c>
      <c r="B2109" s="139" t="s">
        <v>4204</v>
      </c>
      <c r="C2109" s="139" t="s">
        <v>44</v>
      </c>
      <c r="D2109" s="139" t="s">
        <v>5078</v>
      </c>
    </row>
    <row r="2110" spans="1:4" x14ac:dyDescent="0.25">
      <c r="A2110" s="139" t="s">
        <v>5079</v>
      </c>
      <c r="B2110" s="139" t="s">
        <v>5080</v>
      </c>
      <c r="C2110" s="139" t="s">
        <v>44</v>
      </c>
      <c r="D2110" s="139" t="s">
        <v>5081</v>
      </c>
    </row>
    <row r="2111" spans="1:4" x14ac:dyDescent="0.25">
      <c r="A2111" s="139" t="s">
        <v>5082</v>
      </c>
      <c r="B2111" s="139" t="s">
        <v>5080</v>
      </c>
      <c r="C2111" s="139" t="s">
        <v>44</v>
      </c>
      <c r="D2111" s="139" t="s">
        <v>5083</v>
      </c>
    </row>
    <row r="2112" spans="1:4" x14ac:dyDescent="0.25">
      <c r="A2112" s="139" t="s">
        <v>5084</v>
      </c>
      <c r="B2112" s="139" t="s">
        <v>4207</v>
      </c>
      <c r="C2112" s="139" t="s">
        <v>44</v>
      </c>
      <c r="D2112" s="139" t="s">
        <v>5085</v>
      </c>
    </row>
    <row r="2113" spans="1:4" x14ac:dyDescent="0.25">
      <c r="A2113" s="139" t="s">
        <v>5086</v>
      </c>
      <c r="B2113" s="139" t="s">
        <v>4207</v>
      </c>
      <c r="C2113" s="139" t="s">
        <v>44</v>
      </c>
      <c r="D2113" s="139" t="s">
        <v>5087</v>
      </c>
    </row>
    <row r="2114" spans="1:4" x14ac:dyDescent="0.25">
      <c r="A2114" s="139" t="s">
        <v>5088</v>
      </c>
      <c r="B2114" s="139" t="s">
        <v>5089</v>
      </c>
      <c r="C2114" s="139" t="s">
        <v>44</v>
      </c>
      <c r="D2114" s="139" t="s">
        <v>5090</v>
      </c>
    </row>
    <row r="2115" spans="1:4" x14ac:dyDescent="0.25">
      <c r="A2115" s="139" t="s">
        <v>5091</v>
      </c>
      <c r="B2115" s="139" t="s">
        <v>5089</v>
      </c>
      <c r="C2115" s="139" t="s">
        <v>44</v>
      </c>
      <c r="D2115" s="139" t="s">
        <v>5092</v>
      </c>
    </row>
    <row r="2116" spans="1:4" x14ac:dyDescent="0.25">
      <c r="A2116" s="139" t="s">
        <v>5093</v>
      </c>
      <c r="B2116" s="139" t="s">
        <v>1414</v>
      </c>
      <c r="C2116" s="139" t="s">
        <v>44</v>
      </c>
      <c r="D2116" s="139" t="s">
        <v>5094</v>
      </c>
    </row>
    <row r="2117" spans="1:4" x14ac:dyDescent="0.25">
      <c r="A2117" s="139" t="s">
        <v>5095</v>
      </c>
      <c r="B2117" s="139" t="s">
        <v>1414</v>
      </c>
      <c r="C2117" s="139" t="s">
        <v>44</v>
      </c>
      <c r="D2117" s="139" t="s">
        <v>5096</v>
      </c>
    </row>
    <row r="2118" spans="1:4" x14ac:dyDescent="0.25">
      <c r="A2118" s="139" t="s">
        <v>5097</v>
      </c>
      <c r="B2118" s="139" t="s">
        <v>1276</v>
      </c>
      <c r="C2118" s="139" t="s">
        <v>123</v>
      </c>
      <c r="D2118" s="139" t="s">
        <v>5098</v>
      </c>
    </row>
    <row r="2119" spans="1:4" x14ac:dyDescent="0.25">
      <c r="A2119" s="139" t="s">
        <v>5099</v>
      </c>
      <c r="B2119" s="139" t="s">
        <v>1276</v>
      </c>
      <c r="C2119" s="139" t="s">
        <v>123</v>
      </c>
      <c r="D2119" s="139" t="s">
        <v>5100</v>
      </c>
    </row>
    <row r="2120" spans="1:4" x14ac:dyDescent="0.25">
      <c r="A2120" s="139" t="s">
        <v>5101</v>
      </c>
      <c r="B2120" s="139" t="s">
        <v>740</v>
      </c>
      <c r="C2120" s="139" t="s">
        <v>123</v>
      </c>
      <c r="D2120" s="139" t="s">
        <v>5102</v>
      </c>
    </row>
    <row r="2121" spans="1:4" x14ac:dyDescent="0.25">
      <c r="A2121" s="139" t="s">
        <v>5103</v>
      </c>
      <c r="B2121" s="139" t="s">
        <v>740</v>
      </c>
      <c r="C2121" s="139" t="s">
        <v>123</v>
      </c>
      <c r="D2121" s="139" t="s">
        <v>5104</v>
      </c>
    </row>
    <row r="2122" spans="1:4" x14ac:dyDescent="0.25">
      <c r="A2122" s="139" t="s">
        <v>5105</v>
      </c>
      <c r="B2122" s="139" t="s">
        <v>248</v>
      </c>
      <c r="C2122" s="139" t="s">
        <v>123</v>
      </c>
      <c r="D2122" s="139" t="s">
        <v>5106</v>
      </c>
    </row>
    <row r="2123" spans="1:4" x14ac:dyDescent="0.25">
      <c r="A2123" s="139" t="s">
        <v>5107</v>
      </c>
      <c r="B2123" s="139" t="s">
        <v>248</v>
      </c>
      <c r="C2123" s="139" t="s">
        <v>123</v>
      </c>
      <c r="D2123" s="139" t="s">
        <v>5108</v>
      </c>
    </row>
    <row r="2124" spans="1:4" x14ac:dyDescent="0.25">
      <c r="A2124" s="139" t="s">
        <v>5109</v>
      </c>
      <c r="B2124" s="139" t="s">
        <v>335</v>
      </c>
      <c r="C2124" s="139" t="s">
        <v>123</v>
      </c>
      <c r="D2124" s="139" t="s">
        <v>5110</v>
      </c>
    </row>
    <row r="2125" spans="1:4" x14ac:dyDescent="0.25">
      <c r="A2125" s="139" t="s">
        <v>5111</v>
      </c>
      <c r="B2125" s="139" t="s">
        <v>335</v>
      </c>
      <c r="C2125" s="139" t="s">
        <v>123</v>
      </c>
      <c r="D2125" s="139" t="s">
        <v>5112</v>
      </c>
    </row>
    <row r="2126" spans="1:4" x14ac:dyDescent="0.25">
      <c r="A2126" s="139" t="s">
        <v>5113</v>
      </c>
      <c r="B2126" s="139" t="s">
        <v>5114</v>
      </c>
      <c r="C2126" s="139" t="s">
        <v>123</v>
      </c>
      <c r="D2126" s="139" t="s">
        <v>5115</v>
      </c>
    </row>
    <row r="2127" spans="1:4" x14ac:dyDescent="0.25">
      <c r="A2127" s="139" t="s">
        <v>5116</v>
      </c>
      <c r="B2127" s="139" t="s">
        <v>5114</v>
      </c>
      <c r="C2127" s="139" t="s">
        <v>123</v>
      </c>
      <c r="D2127" s="139" t="s">
        <v>5117</v>
      </c>
    </row>
    <row r="2128" spans="1:4" x14ac:dyDescent="0.25">
      <c r="A2128" s="139" t="s">
        <v>5118</v>
      </c>
      <c r="B2128" s="139" t="s">
        <v>5119</v>
      </c>
      <c r="C2128" s="139" t="s">
        <v>123</v>
      </c>
      <c r="D2128" s="139" t="s">
        <v>5120</v>
      </c>
    </row>
    <row r="2129" spans="1:4" x14ac:dyDescent="0.25">
      <c r="A2129" s="139" t="s">
        <v>5121</v>
      </c>
      <c r="B2129" s="139" t="s">
        <v>5119</v>
      </c>
      <c r="C2129" s="139" t="s">
        <v>123</v>
      </c>
      <c r="D2129" s="139" t="s">
        <v>5122</v>
      </c>
    </row>
    <row r="2130" spans="1:4" x14ac:dyDescent="0.25">
      <c r="A2130" s="139" t="s">
        <v>5123</v>
      </c>
      <c r="B2130" s="139" t="s">
        <v>5124</v>
      </c>
      <c r="C2130" s="139" t="s">
        <v>123</v>
      </c>
      <c r="D2130" s="139" t="s">
        <v>5125</v>
      </c>
    </row>
    <row r="2131" spans="1:4" x14ac:dyDescent="0.25">
      <c r="A2131" s="139" t="s">
        <v>5126</v>
      </c>
      <c r="B2131" s="139" t="s">
        <v>5124</v>
      </c>
      <c r="C2131" s="139" t="s">
        <v>123</v>
      </c>
      <c r="D2131" s="139" t="s">
        <v>5127</v>
      </c>
    </row>
    <row r="2132" spans="1:4" x14ac:dyDescent="0.25">
      <c r="A2132" s="139" t="s">
        <v>5128</v>
      </c>
      <c r="B2132" s="139" t="s">
        <v>390</v>
      </c>
      <c r="C2132" s="139" t="s">
        <v>123</v>
      </c>
      <c r="D2132" s="139" t="s">
        <v>5129</v>
      </c>
    </row>
    <row r="2133" spans="1:4" x14ac:dyDescent="0.25">
      <c r="A2133" s="139" t="s">
        <v>5130</v>
      </c>
      <c r="B2133" s="139" t="s">
        <v>390</v>
      </c>
      <c r="C2133" s="139" t="s">
        <v>123</v>
      </c>
      <c r="D2133" s="139" t="s">
        <v>5131</v>
      </c>
    </row>
    <row r="2134" spans="1:4" x14ac:dyDescent="0.25">
      <c r="A2134" s="139" t="s">
        <v>5132</v>
      </c>
      <c r="B2134" s="139" t="s">
        <v>387</v>
      </c>
      <c r="C2134" s="139" t="s">
        <v>123</v>
      </c>
      <c r="D2134" s="139" t="s">
        <v>5133</v>
      </c>
    </row>
    <row r="2135" spans="1:4" x14ac:dyDescent="0.25">
      <c r="A2135" s="139" t="s">
        <v>5134</v>
      </c>
      <c r="B2135" s="139" t="s">
        <v>387</v>
      </c>
      <c r="C2135" s="139" t="s">
        <v>123</v>
      </c>
      <c r="D2135" s="139" t="s">
        <v>5135</v>
      </c>
    </row>
    <row r="2136" spans="1:4" x14ac:dyDescent="0.25">
      <c r="A2136" s="139" t="s">
        <v>5136</v>
      </c>
      <c r="B2136" s="139" t="s">
        <v>422</v>
      </c>
      <c r="C2136" s="139" t="s">
        <v>123</v>
      </c>
      <c r="D2136" s="139" t="s">
        <v>5137</v>
      </c>
    </row>
    <row r="2137" spans="1:4" x14ac:dyDescent="0.25">
      <c r="A2137" s="139" t="s">
        <v>5138</v>
      </c>
      <c r="B2137" s="139" t="s">
        <v>422</v>
      </c>
      <c r="C2137" s="139" t="s">
        <v>123</v>
      </c>
      <c r="D2137" s="139" t="s">
        <v>5139</v>
      </c>
    </row>
    <row r="2138" spans="1:4" x14ac:dyDescent="0.25">
      <c r="A2138" s="139" t="s">
        <v>5140</v>
      </c>
      <c r="B2138" s="139" t="s">
        <v>5141</v>
      </c>
      <c r="C2138" s="139" t="s">
        <v>316</v>
      </c>
      <c r="D2138" s="139" t="s">
        <v>5142</v>
      </c>
    </row>
    <row r="2139" spans="1:4" x14ac:dyDescent="0.25">
      <c r="A2139" s="139" t="s">
        <v>5143</v>
      </c>
      <c r="B2139" s="139" t="s">
        <v>5141</v>
      </c>
      <c r="C2139" s="139" t="s">
        <v>316</v>
      </c>
      <c r="D2139" s="139" t="s">
        <v>5144</v>
      </c>
    </row>
    <row r="2140" spans="1:4" x14ac:dyDescent="0.25">
      <c r="A2140" s="139" t="s">
        <v>5145</v>
      </c>
      <c r="B2140" s="139" t="s">
        <v>4406</v>
      </c>
      <c r="C2140" s="139" t="s">
        <v>33</v>
      </c>
      <c r="D2140" s="139" t="s">
        <v>5146</v>
      </c>
    </row>
    <row r="2141" spans="1:4" x14ac:dyDescent="0.25">
      <c r="A2141" s="139" t="s">
        <v>5147</v>
      </c>
      <c r="B2141" s="139" t="s">
        <v>4406</v>
      </c>
      <c r="C2141" s="139" t="s">
        <v>33</v>
      </c>
      <c r="D2141" s="139" t="s">
        <v>5148</v>
      </c>
    </row>
    <row r="2142" spans="1:4" x14ac:dyDescent="0.25">
      <c r="A2142" s="139" t="s">
        <v>5149</v>
      </c>
      <c r="B2142" s="139" t="s">
        <v>1305</v>
      </c>
      <c r="C2142" s="139" t="s">
        <v>33</v>
      </c>
      <c r="D2142" s="139" t="s">
        <v>5150</v>
      </c>
    </row>
    <row r="2143" spans="1:4" x14ac:dyDescent="0.25">
      <c r="A2143" s="139" t="s">
        <v>5151</v>
      </c>
      <c r="B2143" s="139" t="s">
        <v>1305</v>
      </c>
      <c r="C2143" s="139" t="s">
        <v>33</v>
      </c>
      <c r="D2143" s="139" t="s">
        <v>5152</v>
      </c>
    </row>
    <row r="2144" spans="1:4" x14ac:dyDescent="0.25">
      <c r="A2144" s="139" t="s">
        <v>5153</v>
      </c>
      <c r="B2144" s="139" t="s">
        <v>5154</v>
      </c>
      <c r="C2144" s="139" t="s">
        <v>33</v>
      </c>
      <c r="D2144" s="139" t="s">
        <v>5155</v>
      </c>
    </row>
    <row r="2145" spans="1:4" x14ac:dyDescent="0.25">
      <c r="A2145" s="139" t="s">
        <v>5156</v>
      </c>
      <c r="B2145" s="139" t="s">
        <v>5154</v>
      </c>
      <c r="C2145" s="139" t="s">
        <v>33</v>
      </c>
      <c r="D2145" s="139" t="s">
        <v>5157</v>
      </c>
    </row>
    <row r="2146" spans="1:4" x14ac:dyDescent="0.25">
      <c r="A2146" s="139" t="s">
        <v>5158</v>
      </c>
      <c r="B2146" s="139" t="s">
        <v>5159</v>
      </c>
      <c r="C2146" s="139" t="s">
        <v>33</v>
      </c>
      <c r="D2146" s="139" t="s">
        <v>5160</v>
      </c>
    </row>
    <row r="2147" spans="1:4" x14ac:dyDescent="0.25">
      <c r="A2147" s="139" t="s">
        <v>5161</v>
      </c>
      <c r="B2147" s="139" t="s">
        <v>5159</v>
      </c>
      <c r="C2147" s="139" t="s">
        <v>33</v>
      </c>
      <c r="D2147" s="139" t="s">
        <v>5162</v>
      </c>
    </row>
    <row r="2148" spans="1:4" x14ac:dyDescent="0.25">
      <c r="A2148" s="139" t="s">
        <v>5163</v>
      </c>
      <c r="B2148" s="139" t="s">
        <v>5164</v>
      </c>
      <c r="C2148" s="139" t="s">
        <v>33</v>
      </c>
      <c r="D2148" s="139" t="s">
        <v>5165</v>
      </c>
    </row>
    <row r="2149" spans="1:4" x14ac:dyDescent="0.25">
      <c r="A2149" s="139" t="s">
        <v>5166</v>
      </c>
      <c r="B2149" s="139" t="s">
        <v>5164</v>
      </c>
      <c r="C2149" s="139" t="s">
        <v>33</v>
      </c>
      <c r="D2149" s="139" t="s">
        <v>5167</v>
      </c>
    </row>
    <row r="2150" spans="1:4" x14ac:dyDescent="0.25">
      <c r="A2150" s="139" t="s">
        <v>5168</v>
      </c>
      <c r="B2150" s="139" t="s">
        <v>5169</v>
      </c>
      <c r="C2150" s="139" t="s">
        <v>33</v>
      </c>
      <c r="D2150" s="139" t="s">
        <v>5170</v>
      </c>
    </row>
    <row r="2151" spans="1:4" x14ac:dyDescent="0.25">
      <c r="A2151" s="139" t="s">
        <v>5171</v>
      </c>
      <c r="B2151" s="139" t="s">
        <v>5169</v>
      </c>
      <c r="C2151" s="139" t="s">
        <v>33</v>
      </c>
      <c r="D2151" s="139" t="s">
        <v>5172</v>
      </c>
    </row>
    <row r="2152" spans="1:4" x14ac:dyDescent="0.25">
      <c r="A2152" s="139" t="s">
        <v>5173</v>
      </c>
      <c r="B2152" s="139" t="s">
        <v>4962</v>
      </c>
      <c r="C2152" s="139" t="s">
        <v>33</v>
      </c>
      <c r="D2152" s="139" t="s">
        <v>5174</v>
      </c>
    </row>
    <row r="2153" spans="1:4" x14ac:dyDescent="0.25">
      <c r="A2153" s="139" t="s">
        <v>5175</v>
      </c>
      <c r="B2153" s="139" t="s">
        <v>4962</v>
      </c>
      <c r="C2153" s="139" t="s">
        <v>33</v>
      </c>
      <c r="D2153" s="139" t="s">
        <v>5176</v>
      </c>
    </row>
    <row r="2154" spans="1:4" x14ac:dyDescent="0.25">
      <c r="A2154" s="139" t="s">
        <v>5177</v>
      </c>
      <c r="B2154" s="139" t="s">
        <v>5178</v>
      </c>
      <c r="C2154" s="139" t="s">
        <v>33</v>
      </c>
      <c r="D2154" s="139" t="s">
        <v>5179</v>
      </c>
    </row>
    <row r="2155" spans="1:4" x14ac:dyDescent="0.25">
      <c r="A2155" s="139" t="s">
        <v>5180</v>
      </c>
      <c r="B2155" s="139" t="s">
        <v>5178</v>
      </c>
      <c r="C2155" s="139" t="s">
        <v>33</v>
      </c>
      <c r="D2155" s="139" t="s">
        <v>5181</v>
      </c>
    </row>
    <row r="2156" spans="1:4" x14ac:dyDescent="0.25">
      <c r="A2156" s="139" t="s">
        <v>5182</v>
      </c>
      <c r="B2156" s="139" t="s">
        <v>1667</v>
      </c>
      <c r="C2156" s="139" t="s">
        <v>33</v>
      </c>
      <c r="D2156" s="139" t="s">
        <v>5183</v>
      </c>
    </row>
    <row r="2157" spans="1:4" x14ac:dyDescent="0.25">
      <c r="A2157" s="139" t="s">
        <v>5184</v>
      </c>
      <c r="B2157" s="139" t="s">
        <v>1667</v>
      </c>
      <c r="C2157" s="139" t="s">
        <v>33</v>
      </c>
      <c r="D2157" s="139" t="s">
        <v>5185</v>
      </c>
    </row>
    <row r="2158" spans="1:4" x14ac:dyDescent="0.25">
      <c r="A2158" s="139" t="s">
        <v>5186</v>
      </c>
      <c r="B2158" s="139" t="s">
        <v>5187</v>
      </c>
      <c r="C2158" s="139" t="s">
        <v>33</v>
      </c>
      <c r="D2158" s="139" t="s">
        <v>5188</v>
      </c>
    </row>
    <row r="2159" spans="1:4" x14ac:dyDescent="0.25">
      <c r="A2159" s="139" t="s">
        <v>5189</v>
      </c>
      <c r="B2159" s="139" t="s">
        <v>5187</v>
      </c>
      <c r="C2159" s="139" t="s">
        <v>33</v>
      </c>
      <c r="D2159" s="139" t="s">
        <v>5190</v>
      </c>
    </row>
    <row r="2160" spans="1:4" x14ac:dyDescent="0.25">
      <c r="A2160" s="139" t="s">
        <v>5191</v>
      </c>
      <c r="B2160" s="139" t="s">
        <v>5192</v>
      </c>
      <c r="C2160" s="139" t="s">
        <v>33</v>
      </c>
      <c r="D2160" s="139" t="s">
        <v>5193</v>
      </c>
    </row>
    <row r="2161" spans="1:4" x14ac:dyDescent="0.25">
      <c r="A2161" s="139" t="s">
        <v>5194</v>
      </c>
      <c r="B2161" s="139" t="s">
        <v>5192</v>
      </c>
      <c r="C2161" s="139" t="s">
        <v>33</v>
      </c>
      <c r="D2161" s="139" t="s">
        <v>5195</v>
      </c>
    </row>
    <row r="2162" spans="1:4" x14ac:dyDescent="0.25">
      <c r="A2162" s="139" t="s">
        <v>5196</v>
      </c>
      <c r="B2162" s="139" t="s">
        <v>5197</v>
      </c>
      <c r="C2162" s="139" t="s">
        <v>33</v>
      </c>
      <c r="D2162" s="139" t="s">
        <v>5198</v>
      </c>
    </row>
    <row r="2163" spans="1:4" x14ac:dyDescent="0.25">
      <c r="A2163" s="139" t="s">
        <v>5199</v>
      </c>
      <c r="B2163" s="139" t="s">
        <v>5197</v>
      </c>
      <c r="C2163" s="139" t="s">
        <v>33</v>
      </c>
      <c r="D2163" s="139" t="s">
        <v>5200</v>
      </c>
    </row>
    <row r="2164" spans="1:4" x14ac:dyDescent="0.25">
      <c r="A2164" s="139" t="s">
        <v>5201</v>
      </c>
      <c r="B2164" s="139" t="s">
        <v>5202</v>
      </c>
      <c r="C2164" s="139" t="s">
        <v>33</v>
      </c>
      <c r="D2164" s="139" t="s">
        <v>5203</v>
      </c>
    </row>
    <row r="2165" spans="1:4" x14ac:dyDescent="0.25">
      <c r="A2165" s="139" t="s">
        <v>5204</v>
      </c>
      <c r="B2165" s="139" t="s">
        <v>5202</v>
      </c>
      <c r="C2165" s="139" t="s">
        <v>33</v>
      </c>
      <c r="D2165" s="139" t="s">
        <v>5205</v>
      </c>
    </row>
    <row r="2166" spans="1:4" x14ac:dyDescent="0.25">
      <c r="A2166" s="139" t="s">
        <v>5206</v>
      </c>
      <c r="B2166" s="139" t="s">
        <v>5207</v>
      </c>
      <c r="C2166" s="139" t="s">
        <v>33</v>
      </c>
      <c r="D2166" s="139" t="s">
        <v>5208</v>
      </c>
    </row>
    <row r="2167" spans="1:4" x14ac:dyDescent="0.25">
      <c r="A2167" s="139" t="s">
        <v>5209</v>
      </c>
      <c r="B2167" s="139" t="s">
        <v>5207</v>
      </c>
      <c r="C2167" s="139" t="s">
        <v>33</v>
      </c>
      <c r="D2167" s="139" t="s">
        <v>5210</v>
      </c>
    </row>
    <row r="2168" spans="1:4" x14ac:dyDescent="0.25">
      <c r="A2168" s="139" t="s">
        <v>5211</v>
      </c>
      <c r="B2168" s="139" t="s">
        <v>4967</v>
      </c>
      <c r="C2168" s="139" t="s">
        <v>33</v>
      </c>
      <c r="D2168" s="139" t="s">
        <v>5212</v>
      </c>
    </row>
    <row r="2169" spans="1:4" x14ac:dyDescent="0.25">
      <c r="A2169" s="139" t="s">
        <v>5213</v>
      </c>
      <c r="B2169" s="139" t="s">
        <v>4967</v>
      </c>
      <c r="C2169" s="139" t="s">
        <v>33</v>
      </c>
      <c r="D2169" s="139" t="s">
        <v>5214</v>
      </c>
    </row>
    <row r="2170" spans="1:4" x14ac:dyDescent="0.25">
      <c r="A2170" s="139" t="s">
        <v>5215</v>
      </c>
      <c r="B2170" s="139" t="s">
        <v>5216</v>
      </c>
      <c r="C2170" s="139" t="s">
        <v>33</v>
      </c>
      <c r="D2170" s="139" t="s">
        <v>5217</v>
      </c>
    </row>
    <row r="2171" spans="1:4" x14ac:dyDescent="0.25">
      <c r="A2171" s="139" t="s">
        <v>5218</v>
      </c>
      <c r="B2171" s="139" t="s">
        <v>5216</v>
      </c>
      <c r="C2171" s="139" t="s">
        <v>33</v>
      </c>
      <c r="D2171" s="139" t="s">
        <v>5219</v>
      </c>
    </row>
    <row r="2172" spans="1:4" x14ac:dyDescent="0.25">
      <c r="A2172" s="139" t="s">
        <v>5220</v>
      </c>
      <c r="B2172" s="139" t="s">
        <v>5221</v>
      </c>
      <c r="C2172" s="139" t="s">
        <v>33</v>
      </c>
      <c r="D2172" s="139" t="s">
        <v>5222</v>
      </c>
    </row>
    <row r="2173" spans="1:4" x14ac:dyDescent="0.25">
      <c r="A2173" s="139" t="s">
        <v>5223</v>
      </c>
      <c r="B2173" s="139" t="s">
        <v>5221</v>
      </c>
      <c r="C2173" s="139" t="s">
        <v>33</v>
      </c>
      <c r="D2173" s="139" t="s">
        <v>5224</v>
      </c>
    </row>
    <row r="2174" spans="1:4" x14ac:dyDescent="0.25">
      <c r="A2174" s="139" t="s">
        <v>5225</v>
      </c>
      <c r="B2174" s="139" t="s">
        <v>5226</v>
      </c>
      <c r="C2174" s="139" t="s">
        <v>33</v>
      </c>
      <c r="D2174" s="139" t="s">
        <v>5227</v>
      </c>
    </row>
    <row r="2175" spans="1:4" x14ac:dyDescent="0.25">
      <c r="A2175" s="139" t="s">
        <v>5228</v>
      </c>
      <c r="B2175" s="139" t="s">
        <v>5226</v>
      </c>
      <c r="C2175" s="139" t="s">
        <v>33</v>
      </c>
      <c r="D2175" s="139" t="s">
        <v>5229</v>
      </c>
    </row>
    <row r="2176" spans="1:4" x14ac:dyDescent="0.25">
      <c r="A2176" s="139" t="s">
        <v>5230</v>
      </c>
      <c r="B2176" s="139" t="s">
        <v>5231</v>
      </c>
      <c r="C2176" s="139" t="s">
        <v>33</v>
      </c>
      <c r="D2176" s="139" t="s">
        <v>5232</v>
      </c>
    </row>
    <row r="2177" spans="1:4" x14ac:dyDescent="0.25">
      <c r="A2177" s="139" t="s">
        <v>5233</v>
      </c>
      <c r="B2177" s="139" t="s">
        <v>5231</v>
      </c>
      <c r="C2177" s="139" t="s">
        <v>33</v>
      </c>
      <c r="D2177" s="139" t="s">
        <v>5234</v>
      </c>
    </row>
    <row r="2178" spans="1:4" x14ac:dyDescent="0.25">
      <c r="A2178" s="139" t="s">
        <v>5235</v>
      </c>
      <c r="B2178" s="139" t="s">
        <v>5236</v>
      </c>
      <c r="C2178" s="139" t="s">
        <v>33</v>
      </c>
      <c r="D2178" s="139" t="s">
        <v>5237</v>
      </c>
    </row>
    <row r="2179" spans="1:4" x14ac:dyDescent="0.25">
      <c r="A2179" s="139" t="s">
        <v>5238</v>
      </c>
      <c r="B2179" s="139" t="s">
        <v>5236</v>
      </c>
      <c r="C2179" s="139" t="s">
        <v>33</v>
      </c>
      <c r="D2179" s="139" t="s">
        <v>5239</v>
      </c>
    </row>
    <row r="2180" spans="1:4" x14ac:dyDescent="0.25">
      <c r="A2180" s="139" t="s">
        <v>5240</v>
      </c>
      <c r="B2180" s="139" t="s">
        <v>5241</v>
      </c>
      <c r="C2180" s="139" t="s">
        <v>33</v>
      </c>
      <c r="D2180" s="139" t="s">
        <v>5242</v>
      </c>
    </row>
    <row r="2181" spans="1:4" x14ac:dyDescent="0.25">
      <c r="A2181" s="139" t="s">
        <v>5243</v>
      </c>
      <c r="B2181" s="139" t="s">
        <v>5241</v>
      </c>
      <c r="C2181" s="139" t="s">
        <v>33</v>
      </c>
      <c r="D2181" s="139" t="s">
        <v>5244</v>
      </c>
    </row>
    <row r="2182" spans="1:4" x14ac:dyDescent="0.25">
      <c r="A2182" s="139" t="s">
        <v>5245</v>
      </c>
      <c r="B2182" s="139" t="s">
        <v>5246</v>
      </c>
      <c r="C2182" s="139" t="s">
        <v>33</v>
      </c>
      <c r="D2182" s="139" t="s">
        <v>5247</v>
      </c>
    </row>
    <row r="2183" spans="1:4" x14ac:dyDescent="0.25">
      <c r="A2183" s="139" t="s">
        <v>5248</v>
      </c>
      <c r="B2183" s="139" t="s">
        <v>5246</v>
      </c>
      <c r="C2183" s="139" t="s">
        <v>33</v>
      </c>
      <c r="D2183" s="139" t="s">
        <v>5249</v>
      </c>
    </row>
    <row r="2184" spans="1:4" x14ac:dyDescent="0.25">
      <c r="A2184" s="139" t="s">
        <v>5250</v>
      </c>
      <c r="B2184" s="139" t="s">
        <v>1479</v>
      </c>
      <c r="C2184" s="139" t="s">
        <v>33</v>
      </c>
      <c r="D2184" s="139" t="s">
        <v>5251</v>
      </c>
    </row>
    <row r="2185" spans="1:4" x14ac:dyDescent="0.25">
      <c r="A2185" s="139" t="s">
        <v>5252</v>
      </c>
      <c r="B2185" s="139" t="s">
        <v>1479</v>
      </c>
      <c r="C2185" s="139" t="s">
        <v>33</v>
      </c>
      <c r="D2185" s="139" t="s">
        <v>5253</v>
      </c>
    </row>
    <row r="2186" spans="1:4" x14ac:dyDescent="0.25">
      <c r="A2186" s="139" t="s">
        <v>5254</v>
      </c>
      <c r="B2186" s="139" t="s">
        <v>994</v>
      </c>
      <c r="C2186" s="139" t="s">
        <v>33</v>
      </c>
      <c r="D2186" s="139" t="s">
        <v>5255</v>
      </c>
    </row>
    <row r="2187" spans="1:4" x14ac:dyDescent="0.25">
      <c r="A2187" s="139" t="s">
        <v>5256</v>
      </c>
      <c r="B2187" s="139" t="s">
        <v>994</v>
      </c>
      <c r="C2187" s="139" t="s">
        <v>33</v>
      </c>
      <c r="D2187" s="139" t="s">
        <v>5257</v>
      </c>
    </row>
    <row r="2188" spans="1:4" x14ac:dyDescent="0.25">
      <c r="A2188" s="139" t="s">
        <v>5258</v>
      </c>
      <c r="B2188" s="139" t="s">
        <v>5259</v>
      </c>
      <c r="C2188" s="139" t="s">
        <v>33</v>
      </c>
      <c r="D2188" s="139" t="s">
        <v>5260</v>
      </c>
    </row>
    <row r="2189" spans="1:4" x14ac:dyDescent="0.25">
      <c r="A2189" s="139" t="s">
        <v>5261</v>
      </c>
      <c r="B2189" s="139" t="s">
        <v>5259</v>
      </c>
      <c r="C2189" s="139" t="s">
        <v>33</v>
      </c>
      <c r="D2189" s="139" t="s">
        <v>5262</v>
      </c>
    </row>
    <row r="2190" spans="1:4" x14ac:dyDescent="0.25">
      <c r="A2190" s="139" t="s">
        <v>5263</v>
      </c>
      <c r="B2190" s="139" t="s">
        <v>5264</v>
      </c>
      <c r="C2190" s="139" t="s">
        <v>33</v>
      </c>
      <c r="D2190" s="139" t="s">
        <v>5265</v>
      </c>
    </row>
    <row r="2191" spans="1:4" x14ac:dyDescent="0.25">
      <c r="A2191" s="139" t="s">
        <v>5266</v>
      </c>
      <c r="B2191" s="139" t="s">
        <v>5264</v>
      </c>
      <c r="C2191" s="139" t="s">
        <v>33</v>
      </c>
      <c r="D2191" s="139" t="s">
        <v>5267</v>
      </c>
    </row>
    <row r="2192" spans="1:4" x14ac:dyDescent="0.25">
      <c r="A2192" s="139" t="s">
        <v>5268</v>
      </c>
      <c r="B2192" s="139" t="s">
        <v>5269</v>
      </c>
      <c r="C2192" s="139" t="s">
        <v>123</v>
      </c>
      <c r="D2192" s="139" t="s">
        <v>5270</v>
      </c>
    </row>
    <row r="2193" spans="1:4" x14ac:dyDescent="0.25">
      <c r="A2193" s="139" t="s">
        <v>5271</v>
      </c>
      <c r="B2193" s="139" t="s">
        <v>5269</v>
      </c>
      <c r="C2193" s="139" t="s">
        <v>123</v>
      </c>
      <c r="D2193" s="139" t="s">
        <v>5272</v>
      </c>
    </row>
    <row r="2194" spans="1:4" x14ac:dyDescent="0.25">
      <c r="A2194" s="139" t="s">
        <v>5273</v>
      </c>
      <c r="B2194" s="139" t="s">
        <v>4875</v>
      </c>
      <c r="C2194" s="139" t="s">
        <v>2895</v>
      </c>
      <c r="D2194" s="139" t="s">
        <v>5274</v>
      </c>
    </row>
    <row r="2195" spans="1:4" x14ac:dyDescent="0.25">
      <c r="A2195" s="139" t="s">
        <v>5275</v>
      </c>
      <c r="B2195" s="139" t="s">
        <v>4875</v>
      </c>
      <c r="C2195" s="139" t="s">
        <v>2895</v>
      </c>
      <c r="D2195" s="139" t="s">
        <v>5276</v>
      </c>
    </row>
    <row r="2196" spans="1:4" x14ac:dyDescent="0.25">
      <c r="A2196" s="139" t="s">
        <v>5277</v>
      </c>
      <c r="B2196" s="139" t="s">
        <v>5192</v>
      </c>
      <c r="C2196" s="139" t="s">
        <v>127</v>
      </c>
      <c r="D2196" s="139" t="s">
        <v>5278</v>
      </c>
    </row>
    <row r="2197" spans="1:4" x14ac:dyDescent="0.25">
      <c r="A2197" s="139" t="s">
        <v>5279</v>
      </c>
      <c r="B2197" s="139" t="s">
        <v>5192</v>
      </c>
      <c r="C2197" s="139" t="s">
        <v>127</v>
      </c>
      <c r="D2197" s="139" t="s">
        <v>5280</v>
      </c>
    </row>
    <row r="2198" spans="1:4" x14ac:dyDescent="0.25">
      <c r="A2198" s="139" t="s">
        <v>5281</v>
      </c>
      <c r="B2198" s="139" t="s">
        <v>5226</v>
      </c>
      <c r="C2198" s="139" t="s">
        <v>127</v>
      </c>
      <c r="D2198" s="139" t="s">
        <v>5282</v>
      </c>
    </row>
    <row r="2199" spans="1:4" x14ac:dyDescent="0.25">
      <c r="A2199" s="139" t="s">
        <v>5283</v>
      </c>
      <c r="B2199" s="139" t="s">
        <v>5226</v>
      </c>
      <c r="C2199" s="139" t="s">
        <v>127</v>
      </c>
      <c r="D2199" s="139" t="s">
        <v>5284</v>
      </c>
    </row>
    <row r="2200" spans="1:4" x14ac:dyDescent="0.25">
      <c r="A2200" s="139" t="s">
        <v>5285</v>
      </c>
      <c r="B2200" s="139" t="s">
        <v>5286</v>
      </c>
      <c r="C2200" s="139" t="s">
        <v>127</v>
      </c>
      <c r="D2200" s="139" t="s">
        <v>5287</v>
      </c>
    </row>
    <row r="2201" spans="1:4" x14ac:dyDescent="0.25">
      <c r="A2201" s="139" t="s">
        <v>5288</v>
      </c>
      <c r="B2201" s="139" t="s">
        <v>5286</v>
      </c>
      <c r="C2201" s="139" t="s">
        <v>127</v>
      </c>
      <c r="D2201" s="139" t="s">
        <v>5289</v>
      </c>
    </row>
    <row r="2202" spans="1:4" x14ac:dyDescent="0.25">
      <c r="A2202" s="139" t="s">
        <v>5290</v>
      </c>
      <c r="B2202" s="139" t="s">
        <v>5259</v>
      </c>
      <c r="C2202" s="139" t="s">
        <v>127</v>
      </c>
      <c r="D2202" s="139" t="s">
        <v>5291</v>
      </c>
    </row>
    <row r="2203" spans="1:4" x14ac:dyDescent="0.25">
      <c r="A2203" s="139" t="s">
        <v>5292</v>
      </c>
      <c r="B2203" s="139" t="s">
        <v>5259</v>
      </c>
      <c r="C2203" s="139" t="s">
        <v>127</v>
      </c>
      <c r="D2203" s="139" t="s">
        <v>5293</v>
      </c>
    </row>
    <row r="2204" spans="1:4" x14ac:dyDescent="0.25">
      <c r="A2204" s="139" t="s">
        <v>5294</v>
      </c>
      <c r="B2204" s="139" t="s">
        <v>5264</v>
      </c>
      <c r="C2204" s="139" t="s">
        <v>127</v>
      </c>
      <c r="D2204" s="139" t="s">
        <v>5295</v>
      </c>
    </row>
    <row r="2205" spans="1:4" x14ac:dyDescent="0.25">
      <c r="A2205" s="139" t="s">
        <v>5296</v>
      </c>
      <c r="B2205" s="139" t="s">
        <v>5264</v>
      </c>
      <c r="C2205" s="139" t="s">
        <v>127</v>
      </c>
      <c r="D2205" s="139" t="s">
        <v>5297</v>
      </c>
    </row>
    <row r="2206" spans="1:4" x14ac:dyDescent="0.25">
      <c r="A2206" s="139" t="s">
        <v>5298</v>
      </c>
      <c r="B2206" s="139" t="s">
        <v>5299</v>
      </c>
      <c r="C2206" s="139" t="s">
        <v>127</v>
      </c>
      <c r="D2206" s="139" t="s">
        <v>5300</v>
      </c>
    </row>
    <row r="2207" spans="1:4" x14ac:dyDescent="0.25">
      <c r="A2207" s="139" t="s">
        <v>5301</v>
      </c>
      <c r="B2207" s="139" t="s">
        <v>5299</v>
      </c>
      <c r="C2207" s="139" t="s">
        <v>127</v>
      </c>
      <c r="D2207" s="139" t="s">
        <v>5302</v>
      </c>
    </row>
    <row r="2208" spans="1:4" x14ac:dyDescent="0.25">
      <c r="A2208" s="139" t="s">
        <v>5303</v>
      </c>
      <c r="B2208" s="139" t="s">
        <v>5304</v>
      </c>
      <c r="C2208" s="139" t="s">
        <v>127</v>
      </c>
      <c r="D2208" s="139" t="s">
        <v>5305</v>
      </c>
    </row>
    <row r="2209" spans="1:4" x14ac:dyDescent="0.25">
      <c r="A2209" s="139" t="s">
        <v>5306</v>
      </c>
      <c r="B2209" s="139" t="s">
        <v>5304</v>
      </c>
      <c r="C2209" s="139" t="s">
        <v>127</v>
      </c>
      <c r="D2209" s="139" t="s">
        <v>5307</v>
      </c>
    </row>
    <row r="2210" spans="1:4" x14ac:dyDescent="0.25">
      <c r="A2210" s="139" t="s">
        <v>5308</v>
      </c>
      <c r="B2210" s="139" t="s">
        <v>2396</v>
      </c>
      <c r="C2210" s="139" t="s">
        <v>112</v>
      </c>
      <c r="D2210" s="139" t="s">
        <v>5309</v>
      </c>
    </row>
    <row r="2211" spans="1:4" x14ac:dyDescent="0.25">
      <c r="A2211" s="139" t="s">
        <v>5310</v>
      </c>
      <c r="B2211" s="139" t="s">
        <v>2396</v>
      </c>
      <c r="C2211" s="139" t="s">
        <v>112</v>
      </c>
      <c r="D2211" s="139" t="s">
        <v>5311</v>
      </c>
    </row>
    <row r="2212" spans="1:4" x14ac:dyDescent="0.25">
      <c r="A2212" s="139" t="s">
        <v>5312</v>
      </c>
      <c r="B2212" s="139" t="s">
        <v>5313</v>
      </c>
      <c r="C2212" s="139" t="s">
        <v>112</v>
      </c>
      <c r="D2212" s="139" t="s">
        <v>5314</v>
      </c>
    </row>
    <row r="2213" spans="1:4" x14ac:dyDescent="0.25">
      <c r="A2213" s="139" t="s">
        <v>5315</v>
      </c>
      <c r="B2213" s="139" t="s">
        <v>5313</v>
      </c>
      <c r="C2213" s="139" t="s">
        <v>112</v>
      </c>
      <c r="D2213" s="139" t="s">
        <v>5316</v>
      </c>
    </row>
    <row r="2214" spans="1:4" x14ac:dyDescent="0.25">
      <c r="A2214" s="139" t="s">
        <v>5317</v>
      </c>
      <c r="B2214" s="139" t="s">
        <v>5318</v>
      </c>
      <c r="C2214" s="139" t="s">
        <v>112</v>
      </c>
      <c r="D2214" s="139" t="s">
        <v>5319</v>
      </c>
    </row>
    <row r="2215" spans="1:4" x14ac:dyDescent="0.25">
      <c r="A2215" s="139" t="s">
        <v>5320</v>
      </c>
      <c r="B2215" s="139" t="s">
        <v>5318</v>
      </c>
      <c r="C2215" s="139" t="s">
        <v>112</v>
      </c>
      <c r="D2215" s="139" t="s">
        <v>5321</v>
      </c>
    </row>
    <row r="2216" spans="1:4" x14ac:dyDescent="0.25">
      <c r="A2216" s="139" t="s">
        <v>5322</v>
      </c>
      <c r="B2216" s="139" t="s">
        <v>5323</v>
      </c>
      <c r="C2216" s="139" t="s">
        <v>112</v>
      </c>
      <c r="D2216" s="139" t="s">
        <v>5324</v>
      </c>
    </row>
    <row r="2217" spans="1:4" x14ac:dyDescent="0.25">
      <c r="A2217" s="139" t="s">
        <v>5325</v>
      </c>
      <c r="B2217" s="139" t="s">
        <v>5323</v>
      </c>
      <c r="C2217" s="139" t="s">
        <v>112</v>
      </c>
      <c r="D2217" s="139" t="s">
        <v>5326</v>
      </c>
    </row>
    <row r="2218" spans="1:4" x14ac:dyDescent="0.25">
      <c r="A2218" s="139" t="s">
        <v>5327</v>
      </c>
      <c r="B2218" s="139" t="s">
        <v>5328</v>
      </c>
      <c r="C2218" s="139" t="s">
        <v>112</v>
      </c>
      <c r="D2218" s="139" t="s">
        <v>5329</v>
      </c>
    </row>
    <row r="2219" spans="1:4" x14ac:dyDescent="0.25">
      <c r="A2219" s="139" t="s">
        <v>5330</v>
      </c>
      <c r="B2219" s="139" t="s">
        <v>5328</v>
      </c>
      <c r="C2219" s="139" t="s">
        <v>112</v>
      </c>
      <c r="D2219" s="139" t="s">
        <v>5331</v>
      </c>
    </row>
    <row r="2220" spans="1:4" x14ac:dyDescent="0.25">
      <c r="A2220" s="139" t="s">
        <v>5332</v>
      </c>
      <c r="B2220" s="139" t="s">
        <v>5333</v>
      </c>
      <c r="C2220" s="139" t="s">
        <v>112</v>
      </c>
      <c r="D2220" s="139" t="s">
        <v>5334</v>
      </c>
    </row>
    <row r="2221" spans="1:4" x14ac:dyDescent="0.25">
      <c r="A2221" s="139" t="s">
        <v>5335</v>
      </c>
      <c r="B2221" s="139" t="s">
        <v>5333</v>
      </c>
      <c r="C2221" s="139" t="s">
        <v>112</v>
      </c>
      <c r="D2221" s="139" t="s">
        <v>5336</v>
      </c>
    </row>
    <row r="2222" spans="1:4" x14ac:dyDescent="0.25">
      <c r="A2222" s="139" t="s">
        <v>5337</v>
      </c>
      <c r="B2222" s="139" t="s">
        <v>1593</v>
      </c>
      <c r="C2222" s="139" t="s">
        <v>112</v>
      </c>
      <c r="D2222" s="139" t="s">
        <v>5338</v>
      </c>
    </row>
    <row r="2223" spans="1:4" x14ac:dyDescent="0.25">
      <c r="A2223" s="139" t="s">
        <v>5339</v>
      </c>
      <c r="B2223" s="139" t="s">
        <v>1593</v>
      </c>
      <c r="C2223" s="139" t="s">
        <v>112</v>
      </c>
      <c r="D2223" s="139" t="s">
        <v>5340</v>
      </c>
    </row>
    <row r="2224" spans="1:4" x14ac:dyDescent="0.25">
      <c r="A2224" s="139" t="s">
        <v>5341</v>
      </c>
      <c r="B2224" s="139" t="s">
        <v>2478</v>
      </c>
      <c r="C2224" s="139" t="s">
        <v>112</v>
      </c>
      <c r="D2224" s="139" t="s">
        <v>5342</v>
      </c>
    </row>
    <row r="2225" spans="1:4" x14ac:dyDescent="0.25">
      <c r="A2225" s="139" t="s">
        <v>5343</v>
      </c>
      <c r="B2225" s="139" t="s">
        <v>2478</v>
      </c>
      <c r="C2225" s="139" t="s">
        <v>112</v>
      </c>
      <c r="D2225" s="139" t="s">
        <v>5344</v>
      </c>
    </row>
    <row r="2226" spans="1:4" x14ac:dyDescent="0.25">
      <c r="A2226" s="139" t="s">
        <v>5345</v>
      </c>
      <c r="B2226" s="139" t="s">
        <v>5346</v>
      </c>
      <c r="C2226" s="139" t="s">
        <v>112</v>
      </c>
      <c r="D2226" s="139" t="s">
        <v>5347</v>
      </c>
    </row>
    <row r="2227" spans="1:4" x14ac:dyDescent="0.25">
      <c r="A2227" s="139" t="s">
        <v>5348</v>
      </c>
      <c r="B2227" s="139" t="s">
        <v>5346</v>
      </c>
      <c r="C2227" s="139" t="s">
        <v>112</v>
      </c>
      <c r="D2227" s="139" t="s">
        <v>5349</v>
      </c>
    </row>
    <row r="2228" spans="1:4" x14ac:dyDescent="0.25">
      <c r="A2228" s="139" t="s">
        <v>5350</v>
      </c>
      <c r="B2228" s="139" t="s">
        <v>5351</v>
      </c>
      <c r="C2228" s="139" t="s">
        <v>112</v>
      </c>
      <c r="D2228" s="139" t="s">
        <v>5352</v>
      </c>
    </row>
    <row r="2229" spans="1:4" x14ac:dyDescent="0.25">
      <c r="A2229" s="139" t="s">
        <v>5353</v>
      </c>
      <c r="B2229" s="139" t="s">
        <v>5351</v>
      </c>
      <c r="C2229" s="139" t="s">
        <v>112</v>
      </c>
      <c r="D2229" s="139" t="s">
        <v>5354</v>
      </c>
    </row>
    <row r="2230" spans="1:4" x14ac:dyDescent="0.25">
      <c r="A2230" s="139" t="s">
        <v>5355</v>
      </c>
      <c r="B2230" s="139" t="s">
        <v>2408</v>
      </c>
      <c r="C2230" s="139" t="s">
        <v>112</v>
      </c>
      <c r="D2230" s="139" t="s">
        <v>5356</v>
      </c>
    </row>
    <row r="2231" spans="1:4" x14ac:dyDescent="0.25">
      <c r="A2231" s="139" t="s">
        <v>5357</v>
      </c>
      <c r="B2231" s="139" t="s">
        <v>2408</v>
      </c>
      <c r="C2231" s="139" t="s">
        <v>112</v>
      </c>
      <c r="D2231" s="139" t="s">
        <v>5358</v>
      </c>
    </row>
    <row r="2232" spans="1:4" x14ac:dyDescent="0.25">
      <c r="A2232" s="139" t="s">
        <v>5359</v>
      </c>
      <c r="B2232" s="139" t="s">
        <v>5360</v>
      </c>
      <c r="C2232" s="139" t="s">
        <v>112</v>
      </c>
      <c r="D2232" s="139" t="s">
        <v>5361</v>
      </c>
    </row>
    <row r="2233" spans="1:4" x14ac:dyDescent="0.25">
      <c r="A2233" s="139" t="s">
        <v>5362</v>
      </c>
      <c r="B2233" s="139" t="s">
        <v>5360</v>
      </c>
      <c r="C2233" s="139" t="s">
        <v>112</v>
      </c>
      <c r="D2233" s="139" t="s">
        <v>5363</v>
      </c>
    </row>
    <row r="2234" spans="1:4" x14ac:dyDescent="0.25">
      <c r="A2234" s="139" t="s">
        <v>5364</v>
      </c>
      <c r="B2234" s="139" t="s">
        <v>5365</v>
      </c>
      <c r="C2234" s="139" t="s">
        <v>44</v>
      </c>
      <c r="D2234" s="139" t="s">
        <v>5366</v>
      </c>
    </row>
    <row r="2235" spans="1:4" x14ac:dyDescent="0.25">
      <c r="A2235" s="139" t="s">
        <v>5367</v>
      </c>
      <c r="B2235" s="139" t="s">
        <v>5365</v>
      </c>
      <c r="C2235" s="139" t="s">
        <v>44</v>
      </c>
      <c r="D2235" s="139" t="s">
        <v>5368</v>
      </c>
    </row>
    <row r="2236" spans="1:4" x14ac:dyDescent="0.25">
      <c r="A2236" s="139" t="s">
        <v>5369</v>
      </c>
      <c r="B2236" s="139" t="s">
        <v>5370</v>
      </c>
      <c r="C2236" s="139" t="s">
        <v>44</v>
      </c>
      <c r="D2236" s="139" t="s">
        <v>5371</v>
      </c>
    </row>
    <row r="2237" spans="1:4" x14ac:dyDescent="0.25">
      <c r="A2237" s="139" t="s">
        <v>5372</v>
      </c>
      <c r="B2237" s="139" t="s">
        <v>5370</v>
      </c>
      <c r="C2237" s="139" t="s">
        <v>44</v>
      </c>
      <c r="D2237" s="139" t="s">
        <v>5373</v>
      </c>
    </row>
    <row r="2238" spans="1:4" x14ac:dyDescent="0.25">
      <c r="A2238" s="139" t="s">
        <v>5374</v>
      </c>
      <c r="B2238" s="139" t="s">
        <v>3319</v>
      </c>
      <c r="C2238" s="139" t="s">
        <v>65</v>
      </c>
      <c r="D2238" s="139" t="s">
        <v>5375</v>
      </c>
    </row>
    <row r="2239" spans="1:4" x14ac:dyDescent="0.25">
      <c r="A2239" s="139" t="s">
        <v>5376</v>
      </c>
      <c r="B2239" s="139" t="s">
        <v>3319</v>
      </c>
      <c r="C2239" s="139" t="s">
        <v>65</v>
      </c>
      <c r="D2239" s="139" t="s">
        <v>5377</v>
      </c>
    </row>
    <row r="2240" spans="1:4" x14ac:dyDescent="0.25">
      <c r="A2240" s="139" t="s">
        <v>5378</v>
      </c>
      <c r="B2240" s="139" t="s">
        <v>5379</v>
      </c>
      <c r="C2240" s="139" t="s">
        <v>65</v>
      </c>
      <c r="D2240" s="139" t="s">
        <v>5380</v>
      </c>
    </row>
    <row r="2241" spans="1:4" x14ac:dyDescent="0.25">
      <c r="A2241" s="139" t="s">
        <v>5381</v>
      </c>
      <c r="B2241" s="139" t="s">
        <v>5379</v>
      </c>
      <c r="C2241" s="139" t="s">
        <v>65</v>
      </c>
      <c r="D2241" s="139" t="s">
        <v>5382</v>
      </c>
    </row>
    <row r="2242" spans="1:4" x14ac:dyDescent="0.25">
      <c r="A2242" s="139" t="s">
        <v>5383</v>
      </c>
      <c r="B2242" s="139" t="s">
        <v>43</v>
      </c>
      <c r="C2242" s="139" t="s">
        <v>4913</v>
      </c>
      <c r="D2242" s="139" t="s">
        <v>5384</v>
      </c>
    </row>
    <row r="2243" spans="1:4" x14ac:dyDescent="0.25">
      <c r="A2243" s="139" t="s">
        <v>5385</v>
      </c>
      <c r="B2243" s="139" t="s">
        <v>43</v>
      </c>
      <c r="C2243" s="139" t="s">
        <v>4913</v>
      </c>
      <c r="D2243" s="139" t="s">
        <v>5386</v>
      </c>
    </row>
    <row r="2244" spans="1:4" x14ac:dyDescent="0.25">
      <c r="A2244" s="139" t="s">
        <v>5387</v>
      </c>
      <c r="B2244" s="139" t="s">
        <v>374</v>
      </c>
      <c r="C2244" s="139" t="s">
        <v>4913</v>
      </c>
      <c r="D2244" s="139" t="s">
        <v>5388</v>
      </c>
    </row>
    <row r="2245" spans="1:4" x14ac:dyDescent="0.25">
      <c r="A2245" s="139" t="s">
        <v>5389</v>
      </c>
      <c r="B2245" s="139" t="s">
        <v>374</v>
      </c>
      <c r="C2245" s="139" t="s">
        <v>4913</v>
      </c>
      <c r="D2245" s="139" t="s">
        <v>5390</v>
      </c>
    </row>
    <row r="2246" spans="1:4" x14ac:dyDescent="0.25">
      <c r="A2246" s="139" t="s">
        <v>5391</v>
      </c>
      <c r="B2246" s="139" t="s">
        <v>5392</v>
      </c>
      <c r="C2246" s="139" t="s">
        <v>4913</v>
      </c>
      <c r="D2246" s="139" t="s">
        <v>5393</v>
      </c>
    </row>
    <row r="2247" spans="1:4" x14ac:dyDescent="0.25">
      <c r="A2247" s="139" t="s">
        <v>5394</v>
      </c>
      <c r="B2247" s="139" t="s">
        <v>5392</v>
      </c>
      <c r="C2247" s="139" t="s">
        <v>4913</v>
      </c>
      <c r="D2247" s="139" t="s">
        <v>5395</v>
      </c>
    </row>
    <row r="2248" spans="1:4" x14ac:dyDescent="0.25">
      <c r="A2248" s="139" t="s">
        <v>5396</v>
      </c>
      <c r="B2248" s="139" t="s">
        <v>5397</v>
      </c>
      <c r="C2248" s="139" t="s">
        <v>4913</v>
      </c>
      <c r="D2248" s="139" t="s">
        <v>5398</v>
      </c>
    </row>
    <row r="2249" spans="1:4" x14ac:dyDescent="0.25">
      <c r="A2249" s="139" t="s">
        <v>5399</v>
      </c>
      <c r="B2249" s="139" t="s">
        <v>5397</v>
      </c>
      <c r="C2249" s="139" t="s">
        <v>4913</v>
      </c>
      <c r="D2249" s="139" t="s">
        <v>5400</v>
      </c>
    </row>
    <row r="2250" spans="1:4" x14ac:dyDescent="0.25">
      <c r="A2250" s="139" t="s">
        <v>5401</v>
      </c>
      <c r="B2250" s="139" t="s">
        <v>132</v>
      </c>
      <c r="C2250" s="139" t="s">
        <v>4913</v>
      </c>
      <c r="D2250" s="139" t="s">
        <v>5402</v>
      </c>
    </row>
    <row r="2251" spans="1:4" x14ac:dyDescent="0.25">
      <c r="A2251" s="139" t="s">
        <v>5403</v>
      </c>
      <c r="B2251" s="139" t="s">
        <v>132</v>
      </c>
      <c r="C2251" s="139" t="s">
        <v>4913</v>
      </c>
      <c r="D2251" s="139" t="s">
        <v>5404</v>
      </c>
    </row>
    <row r="2252" spans="1:4" x14ac:dyDescent="0.25">
      <c r="A2252" s="139" t="s">
        <v>5405</v>
      </c>
      <c r="B2252" s="139" t="s">
        <v>5406</v>
      </c>
      <c r="C2252" s="139" t="s">
        <v>4913</v>
      </c>
      <c r="D2252" s="139" t="s">
        <v>5407</v>
      </c>
    </row>
    <row r="2253" spans="1:4" x14ac:dyDescent="0.25">
      <c r="A2253" s="139" t="s">
        <v>5408</v>
      </c>
      <c r="B2253" s="139" t="s">
        <v>5406</v>
      </c>
      <c r="C2253" s="139" t="s">
        <v>4913</v>
      </c>
      <c r="D2253" s="139" t="s">
        <v>5409</v>
      </c>
    </row>
    <row r="2254" spans="1:4" x14ac:dyDescent="0.25">
      <c r="A2254" s="139" t="s">
        <v>5410</v>
      </c>
      <c r="B2254" s="139" t="s">
        <v>5411</v>
      </c>
      <c r="C2254" s="139" t="s">
        <v>4913</v>
      </c>
      <c r="D2254" s="139" t="s">
        <v>5412</v>
      </c>
    </row>
    <row r="2255" spans="1:4" x14ac:dyDescent="0.25">
      <c r="A2255" s="139" t="s">
        <v>5413</v>
      </c>
      <c r="B2255" s="139" t="s">
        <v>5411</v>
      </c>
      <c r="C2255" s="139" t="s">
        <v>4913</v>
      </c>
      <c r="D2255" s="139" t="s">
        <v>5414</v>
      </c>
    </row>
    <row r="2256" spans="1:4" x14ac:dyDescent="0.25">
      <c r="A2256" s="139" t="s">
        <v>5415</v>
      </c>
      <c r="B2256" s="139" t="s">
        <v>349</v>
      </c>
      <c r="C2256" s="139" t="s">
        <v>4913</v>
      </c>
      <c r="D2256" s="139" t="s">
        <v>5416</v>
      </c>
    </row>
    <row r="2257" spans="1:4" x14ac:dyDescent="0.25">
      <c r="A2257" s="139" t="s">
        <v>5417</v>
      </c>
      <c r="B2257" s="139" t="s">
        <v>349</v>
      </c>
      <c r="C2257" s="139" t="s">
        <v>4913</v>
      </c>
      <c r="D2257" s="139" t="s">
        <v>5418</v>
      </c>
    </row>
    <row r="2258" spans="1:4" x14ac:dyDescent="0.25">
      <c r="A2258" s="139" t="s">
        <v>5419</v>
      </c>
      <c r="B2258" s="139" t="s">
        <v>5420</v>
      </c>
      <c r="C2258" s="139" t="s">
        <v>4913</v>
      </c>
      <c r="D2258" s="139" t="s">
        <v>5421</v>
      </c>
    </row>
    <row r="2259" spans="1:4" x14ac:dyDescent="0.25">
      <c r="A2259" s="139" t="s">
        <v>5422</v>
      </c>
      <c r="B2259" s="139" t="s">
        <v>5420</v>
      </c>
      <c r="C2259" s="139" t="s">
        <v>4913</v>
      </c>
      <c r="D2259" s="139" t="s">
        <v>5423</v>
      </c>
    </row>
    <row r="2260" spans="1:4" x14ac:dyDescent="0.25">
      <c r="A2260" s="139" t="s">
        <v>5424</v>
      </c>
      <c r="B2260" s="139" t="s">
        <v>5425</v>
      </c>
      <c r="C2260" s="139" t="s">
        <v>112</v>
      </c>
      <c r="D2260" s="139" t="s">
        <v>5426</v>
      </c>
    </row>
    <row r="2261" spans="1:4" x14ac:dyDescent="0.25">
      <c r="A2261" s="139" t="s">
        <v>5427</v>
      </c>
      <c r="B2261" s="139" t="s">
        <v>5425</v>
      </c>
      <c r="C2261" s="139" t="s">
        <v>112</v>
      </c>
      <c r="D2261" s="139" t="s">
        <v>5428</v>
      </c>
    </row>
    <row r="2262" spans="1:4" x14ac:dyDescent="0.25">
      <c r="A2262" s="139" t="s">
        <v>5429</v>
      </c>
      <c r="B2262" s="139" t="s">
        <v>5430</v>
      </c>
      <c r="C2262" s="139" t="s">
        <v>112</v>
      </c>
      <c r="D2262" s="139" t="s">
        <v>5431</v>
      </c>
    </row>
    <row r="2263" spans="1:4" x14ac:dyDescent="0.25">
      <c r="A2263" s="139" t="s">
        <v>5432</v>
      </c>
      <c r="B2263" s="139" t="s">
        <v>5430</v>
      </c>
      <c r="C2263" s="139" t="s">
        <v>112</v>
      </c>
      <c r="D2263" s="139" t="s">
        <v>5433</v>
      </c>
    </row>
    <row r="2264" spans="1:4" x14ac:dyDescent="0.25">
      <c r="A2264" s="139" t="s">
        <v>5434</v>
      </c>
      <c r="B2264" s="139" t="s">
        <v>5435</v>
      </c>
      <c r="C2264" s="139" t="s">
        <v>112</v>
      </c>
      <c r="D2264" s="139" t="s">
        <v>5436</v>
      </c>
    </row>
    <row r="2265" spans="1:4" x14ac:dyDescent="0.25">
      <c r="A2265" s="139" t="s">
        <v>5437</v>
      </c>
      <c r="B2265" s="139" t="s">
        <v>5435</v>
      </c>
      <c r="C2265" s="139" t="s">
        <v>112</v>
      </c>
      <c r="D2265" s="139" t="s">
        <v>5438</v>
      </c>
    </row>
    <row r="2266" spans="1:4" x14ac:dyDescent="0.25">
      <c r="A2266" s="139" t="s">
        <v>5439</v>
      </c>
      <c r="B2266" s="139" t="s">
        <v>2338</v>
      </c>
      <c r="C2266" s="139" t="s">
        <v>112</v>
      </c>
      <c r="D2266" s="139" t="s">
        <v>5440</v>
      </c>
    </row>
    <row r="2267" spans="1:4" x14ac:dyDescent="0.25">
      <c r="A2267" s="139" t="s">
        <v>5441</v>
      </c>
      <c r="B2267" s="139" t="s">
        <v>2338</v>
      </c>
      <c r="C2267" s="139" t="s">
        <v>112</v>
      </c>
      <c r="D2267" s="139" t="s">
        <v>5442</v>
      </c>
    </row>
    <row r="2268" spans="1:4" x14ac:dyDescent="0.25">
      <c r="A2268" s="139" t="s">
        <v>5443</v>
      </c>
      <c r="B2268" s="139" t="s">
        <v>5444</v>
      </c>
      <c r="C2268" s="139" t="s">
        <v>112</v>
      </c>
      <c r="D2268" s="139" t="s">
        <v>5445</v>
      </c>
    </row>
    <row r="2269" spans="1:4" x14ac:dyDescent="0.25">
      <c r="A2269" s="139" t="s">
        <v>5446</v>
      </c>
      <c r="B2269" s="139" t="s">
        <v>5444</v>
      </c>
      <c r="C2269" s="139" t="s">
        <v>112</v>
      </c>
      <c r="D2269" s="139" t="s">
        <v>5447</v>
      </c>
    </row>
    <row r="2270" spans="1:4" x14ac:dyDescent="0.25">
      <c r="A2270" s="139" t="s">
        <v>5448</v>
      </c>
      <c r="B2270" s="139" t="s">
        <v>172</v>
      </c>
      <c r="C2270" s="139" t="s">
        <v>123</v>
      </c>
      <c r="D2270" s="139" t="s">
        <v>5449</v>
      </c>
    </row>
    <row r="2271" spans="1:4" x14ac:dyDescent="0.25">
      <c r="A2271" s="139" t="s">
        <v>5450</v>
      </c>
      <c r="B2271" s="139" t="s">
        <v>172</v>
      </c>
      <c r="C2271" s="139" t="s">
        <v>123</v>
      </c>
      <c r="D2271" s="139" t="s">
        <v>5451</v>
      </c>
    </row>
    <row r="2272" spans="1:4" x14ac:dyDescent="0.25">
      <c r="A2272" s="139" t="s">
        <v>5452</v>
      </c>
      <c r="B2272" s="139" t="s">
        <v>2331</v>
      </c>
      <c r="C2272" s="139" t="s">
        <v>112</v>
      </c>
      <c r="D2272" s="139" t="s">
        <v>5453</v>
      </c>
    </row>
    <row r="2273" spans="1:4" x14ac:dyDescent="0.25">
      <c r="A2273" s="139" t="s">
        <v>5454</v>
      </c>
      <c r="B2273" s="139" t="s">
        <v>2331</v>
      </c>
      <c r="C2273" s="139" t="s">
        <v>112</v>
      </c>
      <c r="D2273" s="139" t="s">
        <v>5455</v>
      </c>
    </row>
    <row r="2274" spans="1:4" x14ac:dyDescent="0.25">
      <c r="A2274" s="139" t="s">
        <v>5456</v>
      </c>
      <c r="B2274" s="139" t="s">
        <v>5457</v>
      </c>
      <c r="C2274" s="139" t="s">
        <v>112</v>
      </c>
      <c r="D2274" s="139" t="s">
        <v>5458</v>
      </c>
    </row>
    <row r="2275" spans="1:4" x14ac:dyDescent="0.25">
      <c r="A2275" s="139" t="s">
        <v>5459</v>
      </c>
      <c r="B2275" s="139" t="s">
        <v>5457</v>
      </c>
      <c r="C2275" s="139" t="s">
        <v>112</v>
      </c>
      <c r="D2275" s="139" t="s">
        <v>5460</v>
      </c>
    </row>
    <row r="2276" spans="1:4" x14ac:dyDescent="0.25">
      <c r="A2276" s="139" t="s">
        <v>5461</v>
      </c>
      <c r="B2276" s="139" t="s">
        <v>795</v>
      </c>
      <c r="C2276" s="139" t="s">
        <v>65</v>
      </c>
      <c r="D2276" s="139" t="s">
        <v>5462</v>
      </c>
    </row>
    <row r="2277" spans="1:4" x14ac:dyDescent="0.25">
      <c r="A2277" s="139" t="s">
        <v>5463</v>
      </c>
      <c r="B2277" s="139" t="s">
        <v>795</v>
      </c>
      <c r="C2277" s="139" t="s">
        <v>65</v>
      </c>
      <c r="D2277" s="139" t="s">
        <v>5464</v>
      </c>
    </row>
    <row r="2278" spans="1:4" x14ac:dyDescent="0.25">
      <c r="A2278" s="139" t="s">
        <v>5465</v>
      </c>
      <c r="B2278" s="139" t="s">
        <v>5466</v>
      </c>
      <c r="C2278" s="139" t="s">
        <v>65</v>
      </c>
      <c r="D2278" s="139" t="s">
        <v>5467</v>
      </c>
    </row>
    <row r="2279" spans="1:4" x14ac:dyDescent="0.25">
      <c r="A2279" s="139" t="s">
        <v>5468</v>
      </c>
      <c r="B2279" s="139" t="s">
        <v>5466</v>
      </c>
      <c r="C2279" s="139" t="s">
        <v>65</v>
      </c>
      <c r="D2279" s="139" t="s">
        <v>5469</v>
      </c>
    </row>
    <row r="2280" spans="1:4" x14ac:dyDescent="0.25">
      <c r="A2280" s="139" t="s">
        <v>5470</v>
      </c>
      <c r="B2280" s="139" t="s">
        <v>989</v>
      </c>
      <c r="C2280" s="139" t="s">
        <v>33</v>
      </c>
      <c r="D2280" s="139" t="s">
        <v>5471</v>
      </c>
    </row>
    <row r="2281" spans="1:4" x14ac:dyDescent="0.25">
      <c r="A2281" s="139" t="s">
        <v>5472</v>
      </c>
      <c r="B2281" s="139" t="s">
        <v>989</v>
      </c>
      <c r="C2281" s="139" t="s">
        <v>33</v>
      </c>
      <c r="D2281" s="139" t="s">
        <v>5473</v>
      </c>
    </row>
    <row r="2282" spans="1:4" x14ac:dyDescent="0.25">
      <c r="A2282" s="139" t="s">
        <v>5474</v>
      </c>
      <c r="B2282" s="139" t="s">
        <v>387</v>
      </c>
      <c r="C2282" s="139" t="s">
        <v>5475</v>
      </c>
      <c r="D2282" s="139" t="s">
        <v>5476</v>
      </c>
    </row>
    <row r="2283" spans="1:4" x14ac:dyDescent="0.25">
      <c r="A2283" s="139" t="s">
        <v>5477</v>
      </c>
      <c r="B2283" s="139" t="s">
        <v>387</v>
      </c>
      <c r="C2283" s="139" t="s">
        <v>5475</v>
      </c>
      <c r="D2283" s="139" t="s">
        <v>5478</v>
      </c>
    </row>
    <row r="2284" spans="1:4" x14ac:dyDescent="0.25">
      <c r="A2284" s="139" t="s">
        <v>5479</v>
      </c>
      <c r="B2284" s="139" t="s">
        <v>422</v>
      </c>
      <c r="C2284" s="139" t="s">
        <v>5475</v>
      </c>
      <c r="D2284" s="139" t="s">
        <v>5480</v>
      </c>
    </row>
    <row r="2285" spans="1:4" x14ac:dyDescent="0.25">
      <c r="A2285" s="139" t="s">
        <v>5481</v>
      </c>
      <c r="B2285" s="139" t="s">
        <v>422</v>
      </c>
      <c r="C2285" s="139" t="s">
        <v>5475</v>
      </c>
      <c r="D2285" s="139" t="s">
        <v>5482</v>
      </c>
    </row>
    <row r="2286" spans="1:4" x14ac:dyDescent="0.25">
      <c r="A2286" s="139" t="s">
        <v>5483</v>
      </c>
      <c r="B2286" s="139" t="s">
        <v>4940</v>
      </c>
      <c r="C2286" s="139" t="s">
        <v>33</v>
      </c>
      <c r="D2286" s="139" t="s">
        <v>5484</v>
      </c>
    </row>
    <row r="2287" spans="1:4" x14ac:dyDescent="0.25">
      <c r="A2287" s="139" t="s">
        <v>5485</v>
      </c>
      <c r="B2287" s="139" t="s">
        <v>4940</v>
      </c>
      <c r="C2287" s="139" t="s">
        <v>33</v>
      </c>
      <c r="D2287" s="139" t="s">
        <v>5486</v>
      </c>
    </row>
    <row r="2288" spans="1:4" x14ac:dyDescent="0.25">
      <c r="A2288" s="139" t="s">
        <v>5487</v>
      </c>
      <c r="B2288" s="139" t="s">
        <v>185</v>
      </c>
      <c r="C2288" s="139" t="s">
        <v>33</v>
      </c>
      <c r="D2288" s="139" t="s">
        <v>5488</v>
      </c>
    </row>
    <row r="2289" spans="1:4" x14ac:dyDescent="0.25">
      <c r="A2289" s="139" t="s">
        <v>5489</v>
      </c>
      <c r="B2289" s="139" t="s">
        <v>185</v>
      </c>
      <c r="C2289" s="139" t="s">
        <v>33</v>
      </c>
      <c r="D2289" s="139" t="s">
        <v>5490</v>
      </c>
    </row>
    <row r="2290" spans="1:4" x14ac:dyDescent="0.25">
      <c r="A2290" s="139" t="s">
        <v>5491</v>
      </c>
      <c r="B2290" s="139" t="s">
        <v>191</v>
      </c>
      <c r="C2290" s="139" t="s">
        <v>33</v>
      </c>
      <c r="D2290" s="139" t="s">
        <v>5492</v>
      </c>
    </row>
    <row r="2291" spans="1:4" x14ac:dyDescent="0.25">
      <c r="A2291" s="139" t="s">
        <v>5493</v>
      </c>
      <c r="B2291" s="139" t="s">
        <v>191</v>
      </c>
      <c r="C2291" s="139" t="s">
        <v>33</v>
      </c>
      <c r="D2291" s="139" t="s">
        <v>5494</v>
      </c>
    </row>
    <row r="2292" spans="1:4" x14ac:dyDescent="0.25">
      <c r="A2292" s="139" t="s">
        <v>5495</v>
      </c>
      <c r="B2292" s="139" t="s">
        <v>4935</v>
      </c>
      <c r="C2292" s="139" t="s">
        <v>33</v>
      </c>
      <c r="D2292" s="139" t="s">
        <v>5496</v>
      </c>
    </row>
    <row r="2293" spans="1:4" x14ac:dyDescent="0.25">
      <c r="A2293" s="139" t="s">
        <v>5497</v>
      </c>
      <c r="B2293" s="139" t="s">
        <v>4935</v>
      </c>
      <c r="C2293" s="139" t="s">
        <v>33</v>
      </c>
      <c r="D2293" s="139" t="s">
        <v>5498</v>
      </c>
    </row>
    <row r="2294" spans="1:4" x14ac:dyDescent="0.25">
      <c r="A2294" s="139" t="s">
        <v>5499</v>
      </c>
      <c r="B2294" s="139" t="s">
        <v>5500</v>
      </c>
      <c r="C2294" s="139" t="s">
        <v>33</v>
      </c>
      <c r="D2294" s="139" t="s">
        <v>5501</v>
      </c>
    </row>
    <row r="2295" spans="1:4" x14ac:dyDescent="0.25">
      <c r="A2295" s="139" t="s">
        <v>5502</v>
      </c>
      <c r="B2295" s="139" t="s">
        <v>5500</v>
      </c>
      <c r="C2295" s="139" t="s">
        <v>33</v>
      </c>
      <c r="D2295" s="139" t="s">
        <v>5503</v>
      </c>
    </row>
    <row r="2296" spans="1:4" x14ac:dyDescent="0.25">
      <c r="A2296" s="139" t="s">
        <v>5504</v>
      </c>
      <c r="B2296" s="139" t="s">
        <v>5505</v>
      </c>
      <c r="C2296" s="139" t="s">
        <v>33</v>
      </c>
      <c r="D2296" s="139" t="s">
        <v>5506</v>
      </c>
    </row>
    <row r="2297" spans="1:4" x14ac:dyDescent="0.25">
      <c r="A2297" s="139" t="s">
        <v>5507</v>
      </c>
      <c r="B2297" s="139" t="s">
        <v>5505</v>
      </c>
      <c r="C2297" s="139" t="s">
        <v>33</v>
      </c>
      <c r="D2297" s="139" t="s">
        <v>5508</v>
      </c>
    </row>
    <row r="2298" spans="1:4" x14ac:dyDescent="0.25">
      <c r="A2298" s="139" t="s">
        <v>5509</v>
      </c>
      <c r="B2298" s="139" t="s">
        <v>5510</v>
      </c>
      <c r="C2298" s="139" t="s">
        <v>33</v>
      </c>
      <c r="D2298" s="139" t="s">
        <v>5511</v>
      </c>
    </row>
    <row r="2299" spans="1:4" x14ac:dyDescent="0.25">
      <c r="A2299" s="139" t="s">
        <v>5512</v>
      </c>
      <c r="B2299" s="139" t="s">
        <v>5510</v>
      </c>
      <c r="C2299" s="139" t="s">
        <v>33</v>
      </c>
      <c r="D2299" s="139" t="s">
        <v>5513</v>
      </c>
    </row>
    <row r="2300" spans="1:4" x14ac:dyDescent="0.25">
      <c r="A2300" s="139" t="s">
        <v>5514</v>
      </c>
      <c r="B2300" s="139" t="s">
        <v>5515</v>
      </c>
      <c r="C2300" s="139" t="s">
        <v>33</v>
      </c>
      <c r="D2300" s="139" t="s">
        <v>5516</v>
      </c>
    </row>
    <row r="2301" spans="1:4" x14ac:dyDescent="0.25">
      <c r="A2301" s="139" t="s">
        <v>5517</v>
      </c>
      <c r="B2301" s="139" t="s">
        <v>5515</v>
      </c>
      <c r="C2301" s="139" t="s">
        <v>33</v>
      </c>
      <c r="D2301" s="139" t="s">
        <v>5518</v>
      </c>
    </row>
    <row r="2302" spans="1:4" x14ac:dyDescent="0.25">
      <c r="A2302" s="139" t="s">
        <v>5519</v>
      </c>
      <c r="B2302" s="139" t="s">
        <v>397</v>
      </c>
      <c r="C2302" s="139" t="s">
        <v>33</v>
      </c>
      <c r="D2302" s="139" t="s">
        <v>5520</v>
      </c>
    </row>
    <row r="2303" spans="1:4" x14ac:dyDescent="0.25">
      <c r="A2303" s="139" t="s">
        <v>5521</v>
      </c>
      <c r="B2303" s="139" t="s">
        <v>397</v>
      </c>
      <c r="C2303" s="139" t="s">
        <v>33</v>
      </c>
      <c r="D2303" s="139" t="s">
        <v>5522</v>
      </c>
    </row>
    <row r="2304" spans="1:4" x14ac:dyDescent="0.25">
      <c r="A2304" s="139" t="s">
        <v>5523</v>
      </c>
      <c r="B2304" s="139" t="s">
        <v>243</v>
      </c>
      <c r="C2304" s="139" t="s">
        <v>33</v>
      </c>
      <c r="D2304" s="139" t="s">
        <v>5524</v>
      </c>
    </row>
    <row r="2305" spans="1:4" x14ac:dyDescent="0.25">
      <c r="A2305" s="139" t="s">
        <v>5525</v>
      </c>
      <c r="B2305" s="139" t="s">
        <v>243</v>
      </c>
      <c r="C2305" s="139" t="s">
        <v>33</v>
      </c>
      <c r="D2305" s="139" t="s">
        <v>5526</v>
      </c>
    </row>
    <row r="2306" spans="1:4" x14ac:dyDescent="0.25">
      <c r="A2306" s="139" t="s">
        <v>5527</v>
      </c>
      <c r="B2306" s="139" t="s">
        <v>5528</v>
      </c>
      <c r="C2306" s="139" t="s">
        <v>33</v>
      </c>
      <c r="D2306" s="139" t="s">
        <v>5529</v>
      </c>
    </row>
    <row r="2307" spans="1:4" x14ac:dyDescent="0.25">
      <c r="A2307" s="139" t="s">
        <v>5530</v>
      </c>
      <c r="B2307" s="139" t="s">
        <v>5528</v>
      </c>
      <c r="C2307" s="139" t="s">
        <v>33</v>
      </c>
      <c r="D2307" s="139" t="s">
        <v>5531</v>
      </c>
    </row>
    <row r="2308" spans="1:4" x14ac:dyDescent="0.25">
      <c r="A2308" s="139" t="s">
        <v>5532</v>
      </c>
      <c r="B2308" s="139" t="s">
        <v>740</v>
      </c>
      <c r="C2308" s="139" t="s">
        <v>33</v>
      </c>
      <c r="D2308" s="139" t="s">
        <v>5533</v>
      </c>
    </row>
    <row r="2309" spans="1:4" x14ac:dyDescent="0.25">
      <c r="A2309" s="139" t="s">
        <v>5534</v>
      </c>
      <c r="B2309" s="139" t="s">
        <v>740</v>
      </c>
      <c r="C2309" s="139" t="s">
        <v>33</v>
      </c>
      <c r="D2309" s="139" t="s">
        <v>5535</v>
      </c>
    </row>
    <row r="2310" spans="1:4" x14ac:dyDescent="0.25">
      <c r="A2310" s="139" t="s">
        <v>5536</v>
      </c>
      <c r="B2310" s="139" t="s">
        <v>403</v>
      </c>
      <c r="C2310" s="139" t="s">
        <v>127</v>
      </c>
      <c r="D2310" s="139" t="s">
        <v>5537</v>
      </c>
    </row>
    <row r="2311" spans="1:4" x14ac:dyDescent="0.25">
      <c r="A2311" s="139" t="s">
        <v>5538</v>
      </c>
      <c r="B2311" s="139" t="s">
        <v>403</v>
      </c>
      <c r="C2311" s="139" t="s">
        <v>127</v>
      </c>
      <c r="D2311" s="139" t="s">
        <v>5539</v>
      </c>
    </row>
    <row r="2312" spans="1:4" x14ac:dyDescent="0.25">
      <c r="A2312" s="139" t="s">
        <v>5540</v>
      </c>
      <c r="B2312" s="139" t="s">
        <v>5541</v>
      </c>
      <c r="C2312" s="139" t="s">
        <v>127</v>
      </c>
      <c r="D2312" s="139" t="s">
        <v>5542</v>
      </c>
    </row>
    <row r="2313" spans="1:4" x14ac:dyDescent="0.25">
      <c r="A2313" s="139" t="s">
        <v>5543</v>
      </c>
      <c r="B2313" s="139" t="s">
        <v>5541</v>
      </c>
      <c r="C2313" s="139" t="s">
        <v>127</v>
      </c>
      <c r="D2313" s="139" t="s">
        <v>5544</v>
      </c>
    </row>
    <row r="2314" spans="1:4" x14ac:dyDescent="0.25">
      <c r="A2314" s="139" t="s">
        <v>5545</v>
      </c>
      <c r="B2314" s="139" t="s">
        <v>5515</v>
      </c>
      <c r="C2314" s="139" t="s">
        <v>127</v>
      </c>
      <c r="D2314" s="139" t="s">
        <v>5546</v>
      </c>
    </row>
    <row r="2315" spans="1:4" x14ac:dyDescent="0.25">
      <c r="A2315" s="139" t="s">
        <v>5547</v>
      </c>
      <c r="B2315" s="139" t="s">
        <v>5515</v>
      </c>
      <c r="C2315" s="139" t="s">
        <v>127</v>
      </c>
      <c r="D2315" s="139" t="s">
        <v>5548</v>
      </c>
    </row>
    <row r="2316" spans="1:4" x14ac:dyDescent="0.25">
      <c r="A2316" s="139" t="s">
        <v>5549</v>
      </c>
      <c r="B2316" s="139" t="s">
        <v>397</v>
      </c>
      <c r="C2316" s="139" t="s">
        <v>127</v>
      </c>
      <c r="D2316" s="139" t="s">
        <v>5550</v>
      </c>
    </row>
    <row r="2317" spans="1:4" x14ac:dyDescent="0.25">
      <c r="A2317" s="139" t="s">
        <v>5551</v>
      </c>
      <c r="B2317" s="139" t="s">
        <v>397</v>
      </c>
      <c r="C2317" s="139" t="s">
        <v>127</v>
      </c>
      <c r="D2317" s="139" t="s">
        <v>5552</v>
      </c>
    </row>
    <row r="2318" spans="1:4" x14ac:dyDescent="0.25">
      <c r="A2318" s="139" t="s">
        <v>5553</v>
      </c>
      <c r="B2318" s="139" t="s">
        <v>191</v>
      </c>
      <c r="C2318" s="139" t="s">
        <v>127</v>
      </c>
      <c r="D2318" s="139" t="s">
        <v>5554</v>
      </c>
    </row>
    <row r="2319" spans="1:4" x14ac:dyDescent="0.25">
      <c r="A2319" s="139" t="s">
        <v>5555</v>
      </c>
      <c r="B2319" s="139" t="s">
        <v>191</v>
      </c>
      <c r="C2319" s="139" t="s">
        <v>127</v>
      </c>
      <c r="D2319" s="139" t="s">
        <v>5556</v>
      </c>
    </row>
    <row r="2320" spans="1:4" x14ac:dyDescent="0.25">
      <c r="A2320" s="139" t="s">
        <v>5557</v>
      </c>
      <c r="B2320" s="139" t="s">
        <v>5500</v>
      </c>
      <c r="C2320" s="139" t="s">
        <v>127</v>
      </c>
      <c r="D2320" s="139" t="s">
        <v>5558</v>
      </c>
    </row>
    <row r="2321" spans="1:4" x14ac:dyDescent="0.25">
      <c r="A2321" s="139" t="s">
        <v>5559</v>
      </c>
      <c r="B2321" s="139" t="s">
        <v>5500</v>
      </c>
      <c r="C2321" s="139" t="s">
        <v>127</v>
      </c>
      <c r="D2321" s="139" t="s">
        <v>5560</v>
      </c>
    </row>
    <row r="2322" spans="1:4" x14ac:dyDescent="0.25">
      <c r="A2322" s="139" t="s">
        <v>5561</v>
      </c>
      <c r="B2322" s="139" t="s">
        <v>5505</v>
      </c>
      <c r="C2322" s="139" t="s">
        <v>127</v>
      </c>
      <c r="D2322" s="139" t="s">
        <v>5562</v>
      </c>
    </row>
    <row r="2323" spans="1:4" x14ac:dyDescent="0.25">
      <c r="A2323" s="139" t="s">
        <v>5563</v>
      </c>
      <c r="B2323" s="139" t="s">
        <v>5505</v>
      </c>
      <c r="C2323" s="139" t="s">
        <v>127</v>
      </c>
      <c r="D2323" s="139" t="s">
        <v>5564</v>
      </c>
    </row>
    <row r="2324" spans="1:4" x14ac:dyDescent="0.25">
      <c r="A2324" s="139" t="s">
        <v>5565</v>
      </c>
      <c r="B2324" s="139" t="s">
        <v>243</v>
      </c>
      <c r="C2324" s="139" t="s">
        <v>127</v>
      </c>
      <c r="D2324" s="139" t="s">
        <v>5566</v>
      </c>
    </row>
    <row r="2325" spans="1:4" x14ac:dyDescent="0.25">
      <c r="A2325" s="139" t="s">
        <v>5567</v>
      </c>
      <c r="B2325" s="139" t="s">
        <v>243</v>
      </c>
      <c r="C2325" s="139" t="s">
        <v>127</v>
      </c>
      <c r="D2325" s="139" t="s">
        <v>5568</v>
      </c>
    </row>
    <row r="2326" spans="1:4" x14ac:dyDescent="0.25">
      <c r="A2326" s="139" t="s">
        <v>5569</v>
      </c>
      <c r="B2326" s="139" t="s">
        <v>5528</v>
      </c>
      <c r="C2326" s="139" t="s">
        <v>127</v>
      </c>
      <c r="D2326" s="139" t="s">
        <v>5570</v>
      </c>
    </row>
    <row r="2327" spans="1:4" x14ac:dyDescent="0.25">
      <c r="A2327" s="139" t="s">
        <v>5571</v>
      </c>
      <c r="B2327" s="139" t="s">
        <v>5528</v>
      </c>
      <c r="C2327" s="139" t="s">
        <v>127</v>
      </c>
      <c r="D2327" s="139" t="s">
        <v>5572</v>
      </c>
    </row>
    <row r="2328" spans="1:4" x14ac:dyDescent="0.25">
      <c r="A2328" s="139" t="s">
        <v>5573</v>
      </c>
      <c r="B2328" s="139" t="s">
        <v>5574</v>
      </c>
      <c r="C2328" s="139" t="s">
        <v>127</v>
      </c>
      <c r="D2328" s="139" t="s">
        <v>5575</v>
      </c>
    </row>
    <row r="2329" spans="1:4" x14ac:dyDescent="0.25">
      <c r="A2329" s="139" t="s">
        <v>5576</v>
      </c>
      <c r="B2329" s="139" t="s">
        <v>5574</v>
      </c>
      <c r="C2329" s="139" t="s">
        <v>127</v>
      </c>
      <c r="D2329" s="139" t="s">
        <v>5577</v>
      </c>
    </row>
    <row r="2330" spans="1:4" x14ac:dyDescent="0.25">
      <c r="A2330" s="139" t="s">
        <v>5578</v>
      </c>
      <c r="B2330" s="139" t="s">
        <v>122</v>
      </c>
      <c r="C2330" s="139" t="s">
        <v>127</v>
      </c>
      <c r="D2330" s="139" t="s">
        <v>5579</v>
      </c>
    </row>
    <row r="2331" spans="1:4" x14ac:dyDescent="0.25">
      <c r="A2331" s="139" t="s">
        <v>5580</v>
      </c>
      <c r="B2331" s="139" t="s">
        <v>122</v>
      </c>
      <c r="C2331" s="139" t="s">
        <v>127</v>
      </c>
      <c r="D2331" s="139" t="s">
        <v>5581</v>
      </c>
    </row>
    <row r="2332" spans="1:4" x14ac:dyDescent="0.25">
      <c r="A2332" s="139" t="s">
        <v>5582</v>
      </c>
      <c r="B2332" s="139" t="s">
        <v>989</v>
      </c>
      <c r="C2332" s="139" t="s">
        <v>127</v>
      </c>
      <c r="D2332" s="139" t="s">
        <v>5583</v>
      </c>
    </row>
    <row r="2333" spans="1:4" x14ac:dyDescent="0.25">
      <c r="A2333" s="139" t="s">
        <v>5584</v>
      </c>
      <c r="B2333" s="139" t="s">
        <v>989</v>
      </c>
      <c r="C2333" s="139" t="s">
        <v>127</v>
      </c>
      <c r="D2333" s="139" t="s">
        <v>5585</v>
      </c>
    </row>
    <row r="2334" spans="1:4" x14ac:dyDescent="0.25">
      <c r="A2334" s="139" t="s">
        <v>5586</v>
      </c>
      <c r="B2334" s="139" t="s">
        <v>3189</v>
      </c>
      <c r="C2334" s="139" t="s">
        <v>65</v>
      </c>
      <c r="D2334" s="139" t="s">
        <v>5587</v>
      </c>
    </row>
    <row r="2335" spans="1:4" x14ac:dyDescent="0.25">
      <c r="A2335" s="139" t="s">
        <v>5588</v>
      </c>
      <c r="B2335" s="139" t="s">
        <v>3189</v>
      </c>
      <c r="C2335" s="139" t="s">
        <v>65</v>
      </c>
      <c r="D2335" s="139" t="s">
        <v>5589</v>
      </c>
    </row>
    <row r="2336" spans="1:4" x14ac:dyDescent="0.25">
      <c r="A2336" s="139" t="s">
        <v>5590</v>
      </c>
      <c r="B2336" s="139" t="s">
        <v>4144</v>
      </c>
      <c r="C2336" s="139" t="s">
        <v>65</v>
      </c>
      <c r="D2336" s="139" t="s">
        <v>5591</v>
      </c>
    </row>
    <row r="2337" spans="1:4" x14ac:dyDescent="0.25">
      <c r="A2337" s="139" t="s">
        <v>5592</v>
      </c>
      <c r="B2337" s="139" t="s">
        <v>4144</v>
      </c>
      <c r="C2337" s="139" t="s">
        <v>65</v>
      </c>
      <c r="D2337" s="139" t="s">
        <v>5593</v>
      </c>
    </row>
    <row r="2338" spans="1:4" x14ac:dyDescent="0.25">
      <c r="A2338" s="139" t="s">
        <v>5594</v>
      </c>
      <c r="B2338" s="139" t="s">
        <v>5595</v>
      </c>
      <c r="C2338" s="139" t="s">
        <v>65</v>
      </c>
      <c r="D2338" s="139" t="s">
        <v>5596</v>
      </c>
    </row>
    <row r="2339" spans="1:4" x14ac:dyDescent="0.25">
      <c r="A2339" s="139" t="s">
        <v>5597</v>
      </c>
      <c r="B2339" s="139" t="s">
        <v>5595</v>
      </c>
      <c r="C2339" s="139" t="s">
        <v>65</v>
      </c>
      <c r="D2339" s="139" t="s">
        <v>5598</v>
      </c>
    </row>
    <row r="2340" spans="1:4" x14ac:dyDescent="0.25">
      <c r="A2340" s="139" t="s">
        <v>5599</v>
      </c>
      <c r="B2340" s="139" t="s">
        <v>5600</v>
      </c>
      <c r="C2340" s="139" t="s">
        <v>33</v>
      </c>
      <c r="D2340" s="139" t="s">
        <v>5601</v>
      </c>
    </row>
    <row r="2341" spans="1:4" x14ac:dyDescent="0.25">
      <c r="A2341" s="139" t="s">
        <v>5602</v>
      </c>
      <c r="B2341" s="139" t="s">
        <v>5600</v>
      </c>
      <c r="C2341" s="139" t="s">
        <v>33</v>
      </c>
      <c r="D2341" s="139" t="s">
        <v>5603</v>
      </c>
    </row>
    <row r="2342" spans="1:4" x14ac:dyDescent="0.25">
      <c r="A2342" s="139" t="s">
        <v>5604</v>
      </c>
      <c r="B2342" s="139" t="s">
        <v>340</v>
      </c>
      <c r="C2342" s="139" t="s">
        <v>33</v>
      </c>
      <c r="D2342" s="139" t="s">
        <v>5605</v>
      </c>
    </row>
    <row r="2343" spans="1:4" x14ac:dyDescent="0.25">
      <c r="A2343" s="139" t="s">
        <v>5606</v>
      </c>
      <c r="B2343" s="139" t="s">
        <v>340</v>
      </c>
      <c r="C2343" s="139" t="s">
        <v>33</v>
      </c>
      <c r="D2343" s="139" t="s">
        <v>5607</v>
      </c>
    </row>
    <row r="2344" spans="1:4" x14ac:dyDescent="0.25">
      <c r="A2344" s="139" t="s">
        <v>5608</v>
      </c>
      <c r="B2344" s="139" t="s">
        <v>172</v>
      </c>
      <c r="C2344" s="139" t="s">
        <v>33</v>
      </c>
      <c r="D2344" s="139" t="s">
        <v>5609</v>
      </c>
    </row>
    <row r="2345" spans="1:4" x14ac:dyDescent="0.25">
      <c r="A2345" s="139" t="s">
        <v>5610</v>
      </c>
      <c r="B2345" s="139" t="s">
        <v>172</v>
      </c>
      <c r="C2345" s="139" t="s">
        <v>33</v>
      </c>
      <c r="D2345" s="139" t="s">
        <v>5611</v>
      </c>
    </row>
    <row r="2346" spans="1:4" x14ac:dyDescent="0.25">
      <c r="A2346" s="139" t="s">
        <v>5612</v>
      </c>
      <c r="B2346" s="139" t="s">
        <v>5613</v>
      </c>
      <c r="C2346" s="139" t="s">
        <v>65</v>
      </c>
      <c r="D2346" s="139" t="s">
        <v>5614</v>
      </c>
    </row>
    <row r="2347" spans="1:4" x14ac:dyDescent="0.25">
      <c r="A2347" s="139" t="s">
        <v>5615</v>
      </c>
      <c r="B2347" s="139" t="s">
        <v>5613</v>
      </c>
      <c r="C2347" s="139" t="s">
        <v>65</v>
      </c>
      <c r="D2347" s="139" t="s">
        <v>5616</v>
      </c>
    </row>
    <row r="2348" spans="1:4" x14ac:dyDescent="0.25">
      <c r="A2348" s="139" t="s">
        <v>5617</v>
      </c>
      <c r="B2348" s="139" t="s">
        <v>885</v>
      </c>
      <c r="C2348" s="139" t="s">
        <v>65</v>
      </c>
      <c r="D2348" s="139" t="s">
        <v>5618</v>
      </c>
    </row>
    <row r="2349" spans="1:4" x14ac:dyDescent="0.25">
      <c r="A2349" s="139" t="s">
        <v>5619</v>
      </c>
      <c r="B2349" s="139" t="s">
        <v>885</v>
      </c>
      <c r="C2349" s="139" t="s">
        <v>65</v>
      </c>
      <c r="D2349" s="139" t="s">
        <v>5620</v>
      </c>
    </row>
    <row r="2350" spans="1:4" x14ac:dyDescent="0.25">
      <c r="A2350" s="139" t="s">
        <v>5621</v>
      </c>
      <c r="B2350" s="139" t="s">
        <v>5622</v>
      </c>
      <c r="C2350" s="139" t="s">
        <v>65</v>
      </c>
      <c r="D2350" s="139" t="s">
        <v>5623</v>
      </c>
    </row>
    <row r="2351" spans="1:4" x14ac:dyDescent="0.25">
      <c r="A2351" s="139" t="s">
        <v>5624</v>
      </c>
      <c r="B2351" s="139" t="s">
        <v>5622</v>
      </c>
      <c r="C2351" s="139" t="s">
        <v>65</v>
      </c>
      <c r="D2351" s="139" t="s">
        <v>5625</v>
      </c>
    </row>
    <row r="2352" spans="1:4" x14ac:dyDescent="0.25">
      <c r="A2352" s="139" t="s">
        <v>5626</v>
      </c>
      <c r="B2352" s="139" t="s">
        <v>2328</v>
      </c>
      <c r="C2352" s="139" t="s">
        <v>65</v>
      </c>
      <c r="D2352" s="139" t="s">
        <v>5627</v>
      </c>
    </row>
    <row r="2353" spans="1:4" x14ac:dyDescent="0.25">
      <c r="A2353" s="139" t="s">
        <v>5628</v>
      </c>
      <c r="B2353" s="139" t="s">
        <v>2328</v>
      </c>
      <c r="C2353" s="139" t="s">
        <v>65</v>
      </c>
      <c r="D2353" s="139" t="s">
        <v>5629</v>
      </c>
    </row>
    <row r="2354" spans="1:4" x14ac:dyDescent="0.25">
      <c r="A2354" s="139" t="s">
        <v>5630</v>
      </c>
      <c r="B2354" s="139" t="s">
        <v>5631</v>
      </c>
      <c r="C2354" s="139" t="s">
        <v>65</v>
      </c>
      <c r="D2354" s="139" t="s">
        <v>5632</v>
      </c>
    </row>
    <row r="2355" spans="1:4" x14ac:dyDescent="0.25">
      <c r="A2355" s="139" t="s">
        <v>5633</v>
      </c>
      <c r="B2355" s="139" t="s">
        <v>5631</v>
      </c>
      <c r="C2355" s="139" t="s">
        <v>65</v>
      </c>
      <c r="D2355" s="139" t="s">
        <v>5634</v>
      </c>
    </row>
    <row r="2356" spans="1:4" x14ac:dyDescent="0.25">
      <c r="A2356" s="139" t="s">
        <v>5635</v>
      </c>
      <c r="B2356" s="139" t="s">
        <v>1315</v>
      </c>
      <c r="C2356" s="139" t="s">
        <v>65</v>
      </c>
      <c r="D2356" s="139" t="s">
        <v>5636</v>
      </c>
    </row>
    <row r="2357" spans="1:4" x14ac:dyDescent="0.25">
      <c r="A2357" s="139" t="s">
        <v>5637</v>
      </c>
      <c r="B2357" s="139" t="s">
        <v>1315</v>
      </c>
      <c r="C2357" s="139" t="s">
        <v>65</v>
      </c>
      <c r="D2357" s="139" t="s">
        <v>5638</v>
      </c>
    </row>
    <row r="2358" spans="1:4" x14ac:dyDescent="0.25">
      <c r="A2358" s="139" t="s">
        <v>5639</v>
      </c>
      <c r="B2358" s="139" t="s">
        <v>5640</v>
      </c>
      <c r="C2358" s="139" t="s">
        <v>65</v>
      </c>
      <c r="D2358" s="139" t="s">
        <v>5641</v>
      </c>
    </row>
    <row r="2359" spans="1:4" x14ac:dyDescent="0.25">
      <c r="A2359" s="139" t="s">
        <v>5642</v>
      </c>
      <c r="B2359" s="139" t="s">
        <v>5640</v>
      </c>
      <c r="C2359" s="139" t="s">
        <v>65</v>
      </c>
      <c r="D2359" s="139" t="s">
        <v>5643</v>
      </c>
    </row>
    <row r="2360" spans="1:4" x14ac:dyDescent="0.25">
      <c r="A2360" s="139" t="s">
        <v>5644</v>
      </c>
      <c r="B2360" s="139" t="s">
        <v>5645</v>
      </c>
      <c r="C2360" s="139" t="s">
        <v>65</v>
      </c>
      <c r="D2360" s="139" t="s">
        <v>5646</v>
      </c>
    </row>
    <row r="2361" spans="1:4" x14ac:dyDescent="0.25">
      <c r="A2361" s="139" t="s">
        <v>5647</v>
      </c>
      <c r="B2361" s="139" t="s">
        <v>5645</v>
      </c>
      <c r="C2361" s="139" t="s">
        <v>65</v>
      </c>
      <c r="D2361" s="139" t="s">
        <v>5648</v>
      </c>
    </row>
    <row r="2362" spans="1:4" x14ac:dyDescent="0.25">
      <c r="A2362" s="139" t="s">
        <v>5649</v>
      </c>
      <c r="B2362" s="139" t="s">
        <v>5650</v>
      </c>
      <c r="C2362" s="139" t="s">
        <v>65</v>
      </c>
      <c r="D2362" s="139" t="s">
        <v>5651</v>
      </c>
    </row>
    <row r="2363" spans="1:4" x14ac:dyDescent="0.25">
      <c r="A2363" s="139" t="s">
        <v>5652</v>
      </c>
      <c r="B2363" s="139" t="s">
        <v>5650</v>
      </c>
      <c r="C2363" s="139" t="s">
        <v>65</v>
      </c>
      <c r="D2363" s="139" t="s">
        <v>5653</v>
      </c>
    </row>
    <row r="2364" spans="1:4" x14ac:dyDescent="0.25">
      <c r="A2364" s="139" t="s">
        <v>5654</v>
      </c>
      <c r="B2364" s="139" t="s">
        <v>5655</v>
      </c>
      <c r="C2364" s="139" t="s">
        <v>65</v>
      </c>
      <c r="D2364" s="139" t="s">
        <v>5656</v>
      </c>
    </row>
    <row r="2365" spans="1:4" x14ac:dyDescent="0.25">
      <c r="A2365" s="139" t="s">
        <v>5657</v>
      </c>
      <c r="B2365" s="139" t="s">
        <v>5655</v>
      </c>
      <c r="C2365" s="139" t="s">
        <v>65</v>
      </c>
      <c r="D2365" s="139" t="s">
        <v>5658</v>
      </c>
    </row>
    <row r="2366" spans="1:4" x14ac:dyDescent="0.25">
      <c r="A2366" s="139" t="s">
        <v>5659</v>
      </c>
      <c r="B2366" s="139" t="s">
        <v>5660</v>
      </c>
      <c r="C2366" s="139" t="s">
        <v>65</v>
      </c>
      <c r="D2366" s="139" t="s">
        <v>5661</v>
      </c>
    </row>
    <row r="2367" spans="1:4" x14ac:dyDescent="0.25">
      <c r="A2367" s="139" t="s">
        <v>5662</v>
      </c>
      <c r="B2367" s="139" t="s">
        <v>5660</v>
      </c>
      <c r="C2367" s="139" t="s">
        <v>65</v>
      </c>
      <c r="D2367" s="139" t="s">
        <v>5663</v>
      </c>
    </row>
    <row r="2368" spans="1:4" x14ac:dyDescent="0.25">
      <c r="A2368" s="139" t="s">
        <v>5664</v>
      </c>
      <c r="B2368" s="139" t="s">
        <v>5665</v>
      </c>
      <c r="C2368" s="139" t="s">
        <v>65</v>
      </c>
      <c r="D2368" s="139" t="s">
        <v>5666</v>
      </c>
    </row>
    <row r="2369" spans="1:4" x14ac:dyDescent="0.25">
      <c r="A2369" s="139" t="s">
        <v>5667</v>
      </c>
      <c r="B2369" s="139" t="s">
        <v>5665</v>
      </c>
      <c r="C2369" s="139" t="s">
        <v>65</v>
      </c>
      <c r="D2369" s="139" t="s">
        <v>5668</v>
      </c>
    </row>
    <row r="2370" spans="1:4" x14ac:dyDescent="0.25">
      <c r="A2370" s="139" t="s">
        <v>5669</v>
      </c>
      <c r="B2370" s="139" t="s">
        <v>5670</v>
      </c>
      <c r="C2370" s="139" t="s">
        <v>65</v>
      </c>
      <c r="D2370" s="139" t="s">
        <v>5671</v>
      </c>
    </row>
    <row r="2371" spans="1:4" x14ac:dyDescent="0.25">
      <c r="A2371" s="139" t="s">
        <v>5672</v>
      </c>
      <c r="B2371" s="139" t="s">
        <v>5670</v>
      </c>
      <c r="C2371" s="139" t="s">
        <v>65</v>
      </c>
      <c r="D2371" s="139" t="s">
        <v>5673</v>
      </c>
    </row>
    <row r="2372" spans="1:4" x14ac:dyDescent="0.25">
      <c r="A2372" s="139" t="s">
        <v>5674</v>
      </c>
      <c r="B2372" s="139" t="s">
        <v>5675</v>
      </c>
      <c r="C2372" s="139" t="s">
        <v>65</v>
      </c>
      <c r="D2372" s="139" t="s">
        <v>5676</v>
      </c>
    </row>
    <row r="2373" spans="1:4" x14ac:dyDescent="0.25">
      <c r="A2373" s="139" t="s">
        <v>5677</v>
      </c>
      <c r="B2373" s="139" t="s">
        <v>5675</v>
      </c>
      <c r="C2373" s="139" t="s">
        <v>65</v>
      </c>
      <c r="D2373" s="139" t="s">
        <v>5678</v>
      </c>
    </row>
    <row r="2374" spans="1:4" x14ac:dyDescent="0.25">
      <c r="A2374" s="139" t="s">
        <v>5679</v>
      </c>
      <c r="B2374" s="139" t="s">
        <v>5680</v>
      </c>
      <c r="C2374" s="139" t="s">
        <v>65</v>
      </c>
      <c r="D2374" s="139" t="s">
        <v>5681</v>
      </c>
    </row>
    <row r="2375" spans="1:4" x14ac:dyDescent="0.25">
      <c r="A2375" s="139" t="s">
        <v>5682</v>
      </c>
      <c r="B2375" s="139" t="s">
        <v>5680</v>
      </c>
      <c r="C2375" s="139" t="s">
        <v>65</v>
      </c>
      <c r="D2375" s="139" t="s">
        <v>5683</v>
      </c>
    </row>
    <row r="2376" spans="1:4" x14ac:dyDescent="0.25">
      <c r="A2376" s="139" t="s">
        <v>5684</v>
      </c>
      <c r="B2376" s="139" t="s">
        <v>5685</v>
      </c>
      <c r="C2376" s="139" t="s">
        <v>65</v>
      </c>
      <c r="D2376" s="139" t="s">
        <v>5686</v>
      </c>
    </row>
    <row r="2377" spans="1:4" x14ac:dyDescent="0.25">
      <c r="A2377" s="139" t="s">
        <v>5687</v>
      </c>
      <c r="B2377" s="139" t="s">
        <v>5685</v>
      </c>
      <c r="C2377" s="139" t="s">
        <v>65</v>
      </c>
      <c r="D2377" s="139" t="s">
        <v>5688</v>
      </c>
    </row>
    <row r="2378" spans="1:4" x14ac:dyDescent="0.25">
      <c r="A2378" s="139" t="s">
        <v>5689</v>
      </c>
      <c r="B2378" s="139" t="s">
        <v>5690</v>
      </c>
      <c r="C2378" s="139" t="s">
        <v>65</v>
      </c>
      <c r="D2378" s="139" t="s">
        <v>5691</v>
      </c>
    </row>
    <row r="2379" spans="1:4" x14ac:dyDescent="0.25">
      <c r="A2379" s="139" t="s">
        <v>5692</v>
      </c>
      <c r="B2379" s="139" t="s">
        <v>5690</v>
      </c>
      <c r="C2379" s="139" t="s">
        <v>65</v>
      </c>
      <c r="D2379" s="139" t="s">
        <v>5693</v>
      </c>
    </row>
    <row r="2380" spans="1:4" x14ac:dyDescent="0.25">
      <c r="A2380" s="139" t="s">
        <v>5694</v>
      </c>
      <c r="B2380" s="139" t="s">
        <v>5695</v>
      </c>
      <c r="C2380" s="139" t="s">
        <v>65</v>
      </c>
      <c r="D2380" s="139" t="s">
        <v>5696</v>
      </c>
    </row>
    <row r="2381" spans="1:4" x14ac:dyDescent="0.25">
      <c r="A2381" s="139" t="s">
        <v>5697</v>
      </c>
      <c r="B2381" s="139" t="s">
        <v>5695</v>
      </c>
      <c r="C2381" s="139" t="s">
        <v>65</v>
      </c>
      <c r="D2381" s="139" t="s">
        <v>5698</v>
      </c>
    </row>
    <row r="2382" spans="1:4" x14ac:dyDescent="0.25">
      <c r="A2382" s="139" t="s">
        <v>5699</v>
      </c>
      <c r="B2382" s="139" t="s">
        <v>5700</v>
      </c>
      <c r="C2382" s="139" t="s">
        <v>65</v>
      </c>
      <c r="D2382" s="139" t="s">
        <v>5701</v>
      </c>
    </row>
    <row r="2383" spans="1:4" x14ac:dyDescent="0.25">
      <c r="A2383" s="139" t="s">
        <v>5702</v>
      </c>
      <c r="B2383" s="139" t="s">
        <v>5700</v>
      </c>
      <c r="C2383" s="139" t="s">
        <v>65</v>
      </c>
      <c r="D2383" s="139" t="s">
        <v>5703</v>
      </c>
    </row>
    <row r="2384" spans="1:4" x14ac:dyDescent="0.25">
      <c r="A2384" s="139" t="s">
        <v>5704</v>
      </c>
      <c r="B2384" s="139" t="s">
        <v>5705</v>
      </c>
      <c r="C2384" s="139" t="s">
        <v>65</v>
      </c>
      <c r="D2384" s="139" t="s">
        <v>5706</v>
      </c>
    </row>
    <row r="2385" spans="1:4" x14ac:dyDescent="0.25">
      <c r="A2385" s="139" t="s">
        <v>5707</v>
      </c>
      <c r="B2385" s="139" t="s">
        <v>5705</v>
      </c>
      <c r="C2385" s="139" t="s">
        <v>65</v>
      </c>
      <c r="D2385" s="139" t="s">
        <v>5708</v>
      </c>
    </row>
    <row r="2386" spans="1:4" x14ac:dyDescent="0.25">
      <c r="A2386" s="139" t="s">
        <v>5709</v>
      </c>
      <c r="B2386" s="139" t="s">
        <v>5710</v>
      </c>
      <c r="C2386" s="139" t="s">
        <v>65</v>
      </c>
      <c r="D2386" s="139" t="s">
        <v>5711</v>
      </c>
    </row>
    <row r="2387" spans="1:4" x14ac:dyDescent="0.25">
      <c r="A2387" s="139" t="s">
        <v>5712</v>
      </c>
      <c r="B2387" s="139" t="s">
        <v>5710</v>
      </c>
      <c r="C2387" s="139" t="s">
        <v>65</v>
      </c>
      <c r="D2387" s="139" t="s">
        <v>5713</v>
      </c>
    </row>
    <row r="2388" spans="1:4" x14ac:dyDescent="0.25">
      <c r="A2388" s="139" t="s">
        <v>5714</v>
      </c>
      <c r="B2388" s="139" t="s">
        <v>5715</v>
      </c>
      <c r="C2388" s="139" t="s">
        <v>65</v>
      </c>
      <c r="D2388" s="139" t="s">
        <v>5716</v>
      </c>
    </row>
    <row r="2389" spans="1:4" x14ac:dyDescent="0.25">
      <c r="A2389" s="139" t="s">
        <v>5717</v>
      </c>
      <c r="B2389" s="139" t="s">
        <v>5715</v>
      </c>
      <c r="C2389" s="139" t="s">
        <v>65</v>
      </c>
      <c r="D2389" s="139" t="s">
        <v>5718</v>
      </c>
    </row>
    <row r="2390" spans="1:4" x14ac:dyDescent="0.25">
      <c r="A2390" s="139" t="s">
        <v>5719</v>
      </c>
      <c r="B2390" s="139" t="s">
        <v>5720</v>
      </c>
      <c r="C2390" s="139" t="s">
        <v>65</v>
      </c>
      <c r="D2390" s="139" t="s">
        <v>5721</v>
      </c>
    </row>
    <row r="2391" spans="1:4" x14ac:dyDescent="0.25">
      <c r="A2391" s="139" t="s">
        <v>5722</v>
      </c>
      <c r="B2391" s="139" t="s">
        <v>5720</v>
      </c>
      <c r="C2391" s="139" t="s">
        <v>65</v>
      </c>
      <c r="D2391" s="139" t="s">
        <v>5723</v>
      </c>
    </row>
    <row r="2392" spans="1:4" x14ac:dyDescent="0.25">
      <c r="A2392" s="139" t="s">
        <v>5724</v>
      </c>
      <c r="B2392" s="139" t="s">
        <v>5725</v>
      </c>
      <c r="C2392" s="139" t="s">
        <v>65</v>
      </c>
      <c r="D2392" s="139" t="s">
        <v>5726</v>
      </c>
    </row>
    <row r="2393" spans="1:4" x14ac:dyDescent="0.25">
      <c r="A2393" s="139" t="s">
        <v>5727</v>
      </c>
      <c r="B2393" s="139" t="s">
        <v>5725</v>
      </c>
      <c r="C2393" s="139" t="s">
        <v>65</v>
      </c>
      <c r="D2393" s="139" t="s">
        <v>5728</v>
      </c>
    </row>
    <row r="2394" spans="1:4" x14ac:dyDescent="0.25">
      <c r="A2394" s="139" t="s">
        <v>5729</v>
      </c>
      <c r="B2394" s="139" t="s">
        <v>5730</v>
      </c>
      <c r="C2394" s="139" t="s">
        <v>65</v>
      </c>
      <c r="D2394" s="139" t="s">
        <v>5731</v>
      </c>
    </row>
    <row r="2395" spans="1:4" x14ac:dyDescent="0.25">
      <c r="A2395" s="139" t="s">
        <v>5732</v>
      </c>
      <c r="B2395" s="139" t="s">
        <v>5730</v>
      </c>
      <c r="C2395" s="139" t="s">
        <v>65</v>
      </c>
      <c r="D2395" s="139" t="s">
        <v>5733</v>
      </c>
    </row>
    <row r="2396" spans="1:4" x14ac:dyDescent="0.25">
      <c r="A2396" s="139" t="s">
        <v>5734</v>
      </c>
      <c r="B2396" s="139" t="s">
        <v>5735</v>
      </c>
      <c r="C2396" s="139" t="s">
        <v>65</v>
      </c>
      <c r="D2396" s="139" t="s">
        <v>5736</v>
      </c>
    </row>
    <row r="2397" spans="1:4" x14ac:dyDescent="0.25">
      <c r="A2397" s="139" t="s">
        <v>5737</v>
      </c>
      <c r="B2397" s="139" t="s">
        <v>5735</v>
      </c>
      <c r="C2397" s="139" t="s">
        <v>65</v>
      </c>
      <c r="D2397" s="139" t="s">
        <v>5738</v>
      </c>
    </row>
    <row r="2398" spans="1:4" x14ac:dyDescent="0.25">
      <c r="A2398" s="139" t="s">
        <v>5739</v>
      </c>
      <c r="B2398" s="139" t="s">
        <v>4926</v>
      </c>
      <c r="C2398" s="139" t="s">
        <v>33</v>
      </c>
      <c r="D2398" s="139" t="s">
        <v>5740</v>
      </c>
    </row>
    <row r="2399" spans="1:4" x14ac:dyDescent="0.25">
      <c r="A2399" s="139" t="s">
        <v>5741</v>
      </c>
      <c r="B2399" s="139" t="s">
        <v>4926</v>
      </c>
      <c r="C2399" s="139" t="s">
        <v>33</v>
      </c>
      <c r="D2399" s="139" t="s">
        <v>5742</v>
      </c>
    </row>
    <row r="2400" spans="1:4" x14ac:dyDescent="0.25">
      <c r="A2400" s="139" t="s">
        <v>5743</v>
      </c>
      <c r="B2400" s="139" t="s">
        <v>5744</v>
      </c>
      <c r="C2400" s="139" t="s">
        <v>33</v>
      </c>
      <c r="D2400" s="139" t="s">
        <v>5745</v>
      </c>
    </row>
    <row r="2401" spans="1:4" x14ac:dyDescent="0.25">
      <c r="A2401" s="139" t="s">
        <v>5746</v>
      </c>
      <c r="B2401" s="139" t="s">
        <v>5744</v>
      </c>
      <c r="C2401" s="139" t="s">
        <v>33</v>
      </c>
      <c r="D2401" s="139" t="s">
        <v>5747</v>
      </c>
    </row>
    <row r="2402" spans="1:4" x14ac:dyDescent="0.25">
      <c r="A2402" s="139" t="s">
        <v>5748</v>
      </c>
      <c r="B2402" s="139" t="s">
        <v>335</v>
      </c>
      <c r="C2402" s="139" t="s">
        <v>33</v>
      </c>
      <c r="D2402" s="139" t="s">
        <v>5749</v>
      </c>
    </row>
    <row r="2403" spans="1:4" x14ac:dyDescent="0.25">
      <c r="A2403" s="139" t="s">
        <v>5750</v>
      </c>
      <c r="B2403" s="139" t="s">
        <v>335</v>
      </c>
      <c r="C2403" s="139" t="s">
        <v>33</v>
      </c>
      <c r="D2403" s="139" t="s">
        <v>5751</v>
      </c>
    </row>
    <row r="2404" spans="1:4" x14ac:dyDescent="0.25">
      <c r="A2404" s="139" t="s">
        <v>5752</v>
      </c>
      <c r="B2404" s="139" t="s">
        <v>5753</v>
      </c>
      <c r="C2404" s="139" t="s">
        <v>65</v>
      </c>
      <c r="D2404" s="139" t="s">
        <v>5754</v>
      </c>
    </row>
    <row r="2405" spans="1:4" x14ac:dyDescent="0.25">
      <c r="A2405" s="139" t="s">
        <v>5755</v>
      </c>
      <c r="B2405" s="139" t="s">
        <v>5753</v>
      </c>
      <c r="C2405" s="139" t="s">
        <v>65</v>
      </c>
      <c r="D2405" s="139" t="s">
        <v>5756</v>
      </c>
    </row>
    <row r="2406" spans="1:4" x14ac:dyDescent="0.25">
      <c r="A2406" s="139" t="s">
        <v>5757</v>
      </c>
      <c r="B2406" s="139" t="s">
        <v>5758</v>
      </c>
      <c r="C2406" s="139" t="s">
        <v>65</v>
      </c>
      <c r="D2406" s="139" t="s">
        <v>5759</v>
      </c>
    </row>
    <row r="2407" spans="1:4" x14ac:dyDescent="0.25">
      <c r="A2407" s="139" t="s">
        <v>5760</v>
      </c>
      <c r="B2407" s="139" t="s">
        <v>5758</v>
      </c>
      <c r="C2407" s="139" t="s">
        <v>65</v>
      </c>
      <c r="D2407" s="139" t="s">
        <v>5761</v>
      </c>
    </row>
    <row r="2408" spans="1:4" x14ac:dyDescent="0.25">
      <c r="A2408" s="139" t="s">
        <v>5762</v>
      </c>
      <c r="B2408" s="139" t="s">
        <v>5763</v>
      </c>
      <c r="C2408" s="139" t="s">
        <v>65</v>
      </c>
      <c r="D2408" s="139" t="s">
        <v>5764</v>
      </c>
    </row>
    <row r="2409" spans="1:4" x14ac:dyDescent="0.25">
      <c r="A2409" s="139" t="s">
        <v>5765</v>
      </c>
      <c r="B2409" s="139" t="s">
        <v>5763</v>
      </c>
      <c r="C2409" s="139" t="s">
        <v>65</v>
      </c>
      <c r="D2409" s="139" t="s">
        <v>5766</v>
      </c>
    </row>
    <row r="2410" spans="1:4" x14ac:dyDescent="0.25">
      <c r="A2410" s="139" t="s">
        <v>5767</v>
      </c>
      <c r="B2410" s="139" t="s">
        <v>5768</v>
      </c>
      <c r="C2410" s="139" t="s">
        <v>65</v>
      </c>
      <c r="D2410" s="139" t="s">
        <v>5769</v>
      </c>
    </row>
    <row r="2411" spans="1:4" x14ac:dyDescent="0.25">
      <c r="A2411" s="139" t="s">
        <v>5770</v>
      </c>
      <c r="B2411" s="139" t="s">
        <v>5768</v>
      </c>
      <c r="C2411" s="139" t="s">
        <v>65</v>
      </c>
      <c r="D2411" s="139" t="s">
        <v>5771</v>
      </c>
    </row>
    <row r="2412" spans="1:4" x14ac:dyDescent="0.25">
      <c r="A2412" s="139" t="s">
        <v>5772</v>
      </c>
      <c r="B2412" s="139" t="s">
        <v>5773</v>
      </c>
      <c r="C2412" s="139" t="s">
        <v>65</v>
      </c>
      <c r="D2412" s="139" t="s">
        <v>5774</v>
      </c>
    </row>
    <row r="2413" spans="1:4" x14ac:dyDescent="0.25">
      <c r="A2413" s="139" t="s">
        <v>5775</v>
      </c>
      <c r="B2413" s="139" t="s">
        <v>5773</v>
      </c>
      <c r="C2413" s="139" t="s">
        <v>65</v>
      </c>
      <c r="D2413" s="139" t="s">
        <v>5776</v>
      </c>
    </row>
    <row r="2414" spans="1:4" x14ac:dyDescent="0.25">
      <c r="A2414" s="139" t="s">
        <v>5777</v>
      </c>
      <c r="B2414" s="139" t="s">
        <v>5778</v>
      </c>
      <c r="C2414" s="139" t="s">
        <v>65</v>
      </c>
      <c r="D2414" s="139" t="s">
        <v>5779</v>
      </c>
    </row>
    <row r="2415" spans="1:4" x14ac:dyDescent="0.25">
      <c r="A2415" s="139" t="s">
        <v>5780</v>
      </c>
      <c r="B2415" s="139" t="s">
        <v>5778</v>
      </c>
      <c r="C2415" s="139" t="s">
        <v>65</v>
      </c>
      <c r="D2415" s="139" t="s">
        <v>5781</v>
      </c>
    </row>
    <row r="2416" spans="1:4" x14ac:dyDescent="0.25">
      <c r="A2416" s="139" t="s">
        <v>5782</v>
      </c>
      <c r="B2416" s="139" t="s">
        <v>5783</v>
      </c>
      <c r="C2416" s="139" t="s">
        <v>65</v>
      </c>
      <c r="D2416" s="139" t="s">
        <v>5784</v>
      </c>
    </row>
    <row r="2417" spans="1:4" x14ac:dyDescent="0.25">
      <c r="A2417" s="139" t="s">
        <v>5785</v>
      </c>
      <c r="B2417" s="139" t="s">
        <v>5783</v>
      </c>
      <c r="C2417" s="139" t="s">
        <v>65</v>
      </c>
      <c r="D2417" s="139" t="s">
        <v>5786</v>
      </c>
    </row>
    <row r="2418" spans="1:4" x14ac:dyDescent="0.25">
      <c r="A2418" s="139" t="s">
        <v>5787</v>
      </c>
      <c r="B2418" s="139" t="s">
        <v>663</v>
      </c>
      <c r="C2418" s="139" t="s">
        <v>65</v>
      </c>
      <c r="D2418" s="139" t="s">
        <v>5788</v>
      </c>
    </row>
    <row r="2419" spans="1:4" x14ac:dyDescent="0.25">
      <c r="A2419" s="139" t="s">
        <v>5789</v>
      </c>
      <c r="B2419" s="139" t="s">
        <v>663</v>
      </c>
      <c r="C2419" s="139" t="s">
        <v>65</v>
      </c>
      <c r="D2419" s="139" t="s">
        <v>5790</v>
      </c>
    </row>
    <row r="2420" spans="1:4" x14ac:dyDescent="0.25">
      <c r="A2420" s="139" t="s">
        <v>5791</v>
      </c>
      <c r="B2420" s="139" t="s">
        <v>5792</v>
      </c>
      <c r="C2420" s="139" t="s">
        <v>65</v>
      </c>
      <c r="D2420" s="139" t="s">
        <v>5793</v>
      </c>
    </row>
    <row r="2421" spans="1:4" x14ac:dyDescent="0.25">
      <c r="A2421" s="139" t="s">
        <v>5794</v>
      </c>
      <c r="B2421" s="139" t="s">
        <v>5792</v>
      </c>
      <c r="C2421" s="139" t="s">
        <v>65</v>
      </c>
      <c r="D2421" s="139" t="s">
        <v>5795</v>
      </c>
    </row>
    <row r="2422" spans="1:4" x14ac:dyDescent="0.25">
      <c r="A2422" s="139" t="s">
        <v>5796</v>
      </c>
      <c r="B2422" s="139" t="s">
        <v>5797</v>
      </c>
      <c r="C2422" s="139" t="s">
        <v>65</v>
      </c>
      <c r="D2422" s="139" t="s">
        <v>5798</v>
      </c>
    </row>
    <row r="2423" spans="1:4" x14ac:dyDescent="0.25">
      <c r="A2423" s="139" t="s">
        <v>5799</v>
      </c>
      <c r="B2423" s="139" t="s">
        <v>5797</v>
      </c>
      <c r="C2423" s="139" t="s">
        <v>65</v>
      </c>
      <c r="D2423" s="139" t="s">
        <v>5800</v>
      </c>
    </row>
    <row r="2424" spans="1:4" x14ac:dyDescent="0.25">
      <c r="A2424" s="139" t="s">
        <v>5801</v>
      </c>
      <c r="B2424" s="139" t="s">
        <v>5802</v>
      </c>
      <c r="C2424" s="139" t="s">
        <v>65</v>
      </c>
      <c r="D2424" s="139" t="s">
        <v>5803</v>
      </c>
    </row>
    <row r="2425" spans="1:4" x14ac:dyDescent="0.25">
      <c r="A2425" s="139" t="s">
        <v>5804</v>
      </c>
      <c r="B2425" s="139" t="s">
        <v>5802</v>
      </c>
      <c r="C2425" s="139" t="s">
        <v>65</v>
      </c>
      <c r="D2425" s="139" t="s">
        <v>5805</v>
      </c>
    </row>
    <row r="2426" spans="1:4" x14ac:dyDescent="0.25">
      <c r="A2426" s="139" t="s">
        <v>5806</v>
      </c>
      <c r="B2426" s="139" t="s">
        <v>5807</v>
      </c>
      <c r="C2426" s="139" t="s">
        <v>65</v>
      </c>
      <c r="D2426" s="139" t="s">
        <v>5808</v>
      </c>
    </row>
    <row r="2427" spans="1:4" x14ac:dyDescent="0.25">
      <c r="A2427" s="139" t="s">
        <v>5809</v>
      </c>
      <c r="B2427" s="139" t="s">
        <v>5807</v>
      </c>
      <c r="C2427" s="139" t="s">
        <v>65</v>
      </c>
      <c r="D2427" s="139" t="s">
        <v>5810</v>
      </c>
    </row>
    <row r="2428" spans="1:4" x14ac:dyDescent="0.25">
      <c r="A2428" s="139" t="s">
        <v>5811</v>
      </c>
      <c r="B2428" s="139" t="s">
        <v>5812</v>
      </c>
      <c r="C2428" s="139" t="s">
        <v>65</v>
      </c>
      <c r="D2428" s="139" t="s">
        <v>5813</v>
      </c>
    </row>
    <row r="2429" spans="1:4" x14ac:dyDescent="0.25">
      <c r="A2429" s="139" t="s">
        <v>5814</v>
      </c>
      <c r="B2429" s="139" t="s">
        <v>5812</v>
      </c>
      <c r="C2429" s="139" t="s">
        <v>65</v>
      </c>
      <c r="D2429" s="139" t="s">
        <v>5815</v>
      </c>
    </row>
    <row r="2430" spans="1:4" x14ac:dyDescent="0.25">
      <c r="A2430" s="139" t="s">
        <v>5816</v>
      </c>
      <c r="B2430" s="139" t="s">
        <v>2393</v>
      </c>
      <c r="C2430" s="139" t="s">
        <v>65</v>
      </c>
      <c r="D2430" s="139" t="s">
        <v>5817</v>
      </c>
    </row>
    <row r="2431" spans="1:4" x14ac:dyDescent="0.25">
      <c r="A2431" s="139" t="s">
        <v>5818</v>
      </c>
      <c r="B2431" s="139" t="s">
        <v>2393</v>
      </c>
      <c r="C2431" s="139" t="s">
        <v>65</v>
      </c>
      <c r="D2431" s="139" t="s">
        <v>5819</v>
      </c>
    </row>
    <row r="2432" spans="1:4" x14ac:dyDescent="0.25">
      <c r="A2432" s="139" t="s">
        <v>5820</v>
      </c>
      <c r="B2432" s="139" t="s">
        <v>5821</v>
      </c>
      <c r="C2432" s="139" t="s">
        <v>65</v>
      </c>
      <c r="D2432" s="139" t="s">
        <v>5822</v>
      </c>
    </row>
    <row r="2433" spans="1:4" x14ac:dyDescent="0.25">
      <c r="A2433" s="139" t="s">
        <v>5823</v>
      </c>
      <c r="B2433" s="139" t="s">
        <v>5821</v>
      </c>
      <c r="C2433" s="139" t="s">
        <v>65</v>
      </c>
      <c r="D2433" s="139" t="s">
        <v>5824</v>
      </c>
    </row>
    <row r="2434" spans="1:4" x14ac:dyDescent="0.25">
      <c r="A2434" s="139" t="s">
        <v>5825</v>
      </c>
      <c r="B2434" s="139" t="s">
        <v>3350</v>
      </c>
      <c r="C2434" s="139" t="s">
        <v>112</v>
      </c>
      <c r="D2434" s="139" t="s">
        <v>5826</v>
      </c>
    </row>
    <row r="2435" spans="1:4" x14ac:dyDescent="0.25">
      <c r="A2435" s="139" t="s">
        <v>5827</v>
      </c>
      <c r="B2435" s="139" t="s">
        <v>3350</v>
      </c>
      <c r="C2435" s="139" t="s">
        <v>112</v>
      </c>
      <c r="D2435" s="139" t="s">
        <v>5828</v>
      </c>
    </row>
    <row r="2436" spans="1:4" x14ac:dyDescent="0.25">
      <c r="A2436" s="139" t="s">
        <v>5829</v>
      </c>
      <c r="B2436" s="139" t="s">
        <v>5830</v>
      </c>
      <c r="C2436" s="139" t="s">
        <v>112</v>
      </c>
      <c r="D2436" s="139" t="s">
        <v>5831</v>
      </c>
    </row>
    <row r="2437" spans="1:4" x14ac:dyDescent="0.25">
      <c r="A2437" s="139" t="s">
        <v>5832</v>
      </c>
      <c r="B2437" s="139" t="s">
        <v>5830</v>
      </c>
      <c r="C2437" s="139" t="s">
        <v>112</v>
      </c>
      <c r="D2437" s="139" t="s">
        <v>5833</v>
      </c>
    </row>
    <row r="2438" spans="1:4" x14ac:dyDescent="0.25">
      <c r="A2438" s="139" t="s">
        <v>5834</v>
      </c>
      <c r="B2438" s="139" t="s">
        <v>5835</v>
      </c>
      <c r="C2438" s="139" t="s">
        <v>65</v>
      </c>
      <c r="D2438" s="139" t="s">
        <v>5836</v>
      </c>
    </row>
    <row r="2439" spans="1:4" x14ac:dyDescent="0.25">
      <c r="A2439" s="139" t="s">
        <v>5837</v>
      </c>
      <c r="B2439" s="139" t="s">
        <v>5835</v>
      </c>
      <c r="C2439" s="139" t="s">
        <v>65</v>
      </c>
      <c r="D2439" s="139" t="s">
        <v>5838</v>
      </c>
    </row>
    <row r="2440" spans="1:4" x14ac:dyDescent="0.25">
      <c r="A2440" s="139" t="s">
        <v>5839</v>
      </c>
      <c r="B2440" s="139" t="s">
        <v>5840</v>
      </c>
      <c r="C2440" s="139" t="s">
        <v>65</v>
      </c>
      <c r="D2440" s="139" t="s">
        <v>5841</v>
      </c>
    </row>
    <row r="2441" spans="1:4" x14ac:dyDescent="0.25">
      <c r="A2441" s="139" t="s">
        <v>5842</v>
      </c>
      <c r="B2441" s="139" t="s">
        <v>5840</v>
      </c>
      <c r="C2441" s="139" t="s">
        <v>65</v>
      </c>
      <c r="D2441" s="139" t="s">
        <v>5843</v>
      </c>
    </row>
    <row r="2442" spans="1:4" x14ac:dyDescent="0.25">
      <c r="A2442" s="139" t="s">
        <v>5844</v>
      </c>
      <c r="B2442" s="139" t="s">
        <v>5845</v>
      </c>
      <c r="C2442" s="139" t="s">
        <v>33</v>
      </c>
      <c r="D2442" s="139" t="s">
        <v>5846</v>
      </c>
    </row>
    <row r="2443" spans="1:4" x14ac:dyDescent="0.25">
      <c r="A2443" s="139" t="s">
        <v>5847</v>
      </c>
      <c r="B2443" s="139" t="s">
        <v>5845</v>
      </c>
      <c r="C2443" s="139" t="s">
        <v>33</v>
      </c>
      <c r="D2443" s="139" t="s">
        <v>5848</v>
      </c>
    </row>
    <row r="2444" spans="1:4" x14ac:dyDescent="0.25">
      <c r="A2444" s="139" t="s">
        <v>5849</v>
      </c>
      <c r="B2444" s="139" t="s">
        <v>106</v>
      </c>
      <c r="C2444" s="139" t="s">
        <v>33</v>
      </c>
      <c r="D2444" s="139" t="s">
        <v>5850</v>
      </c>
    </row>
    <row r="2445" spans="1:4" x14ac:dyDescent="0.25">
      <c r="A2445" s="139" t="s">
        <v>5851</v>
      </c>
      <c r="B2445" s="139" t="s">
        <v>106</v>
      </c>
      <c r="C2445" s="139" t="s">
        <v>33</v>
      </c>
      <c r="D2445" s="139" t="s">
        <v>5852</v>
      </c>
    </row>
    <row r="2446" spans="1:4" x14ac:dyDescent="0.25">
      <c r="A2446" s="139" t="s">
        <v>5853</v>
      </c>
      <c r="B2446" s="139" t="s">
        <v>196</v>
      </c>
      <c r="C2446" s="139" t="s">
        <v>33</v>
      </c>
      <c r="D2446" s="139" t="s">
        <v>5854</v>
      </c>
    </row>
    <row r="2447" spans="1:4" x14ac:dyDescent="0.25">
      <c r="A2447" s="139" t="s">
        <v>5855</v>
      </c>
      <c r="B2447" s="139" t="s">
        <v>196</v>
      </c>
      <c r="C2447" s="139" t="s">
        <v>33</v>
      </c>
      <c r="D2447" s="139" t="s">
        <v>5856</v>
      </c>
    </row>
    <row r="2448" spans="1:4" x14ac:dyDescent="0.25">
      <c r="A2448" s="139" t="s">
        <v>5857</v>
      </c>
      <c r="B2448" s="139" t="s">
        <v>702</v>
      </c>
      <c r="C2448" s="139" t="s">
        <v>33</v>
      </c>
      <c r="D2448" s="139" t="s">
        <v>5858</v>
      </c>
    </row>
    <row r="2449" spans="1:4" x14ac:dyDescent="0.25">
      <c r="A2449" s="139" t="s">
        <v>5859</v>
      </c>
      <c r="B2449" s="139" t="s">
        <v>702</v>
      </c>
      <c r="C2449" s="139" t="s">
        <v>33</v>
      </c>
      <c r="D2449" s="139" t="s">
        <v>5860</v>
      </c>
    </row>
    <row r="2450" spans="1:4" x14ac:dyDescent="0.25">
      <c r="A2450" s="139" t="s">
        <v>5861</v>
      </c>
      <c r="B2450" s="139" t="s">
        <v>206</v>
      </c>
      <c r="C2450" s="139" t="s">
        <v>33</v>
      </c>
      <c r="D2450" s="139" t="s">
        <v>5862</v>
      </c>
    </row>
    <row r="2451" spans="1:4" x14ac:dyDescent="0.25">
      <c r="A2451" s="139" t="s">
        <v>5863</v>
      </c>
      <c r="B2451" s="139" t="s">
        <v>206</v>
      </c>
      <c r="C2451" s="139" t="s">
        <v>33</v>
      </c>
      <c r="D2451" s="139" t="s">
        <v>5864</v>
      </c>
    </row>
    <row r="2452" spans="1:4" x14ac:dyDescent="0.25">
      <c r="A2452" s="139" t="s">
        <v>5865</v>
      </c>
      <c r="B2452" s="139" t="s">
        <v>5866</v>
      </c>
      <c r="C2452" s="139" t="s">
        <v>33</v>
      </c>
      <c r="D2452" s="139" t="s">
        <v>5867</v>
      </c>
    </row>
    <row r="2453" spans="1:4" x14ac:dyDescent="0.25">
      <c r="A2453" s="139" t="s">
        <v>5868</v>
      </c>
      <c r="B2453" s="139" t="s">
        <v>5866</v>
      </c>
      <c r="C2453" s="139" t="s">
        <v>33</v>
      </c>
      <c r="D2453" s="139" t="s">
        <v>5869</v>
      </c>
    </row>
    <row r="2454" spans="1:4" x14ac:dyDescent="0.25">
      <c r="A2454" s="139" t="s">
        <v>5870</v>
      </c>
      <c r="B2454" s="139" t="s">
        <v>5871</v>
      </c>
      <c r="C2454" s="139" t="s">
        <v>33</v>
      </c>
      <c r="D2454" s="139" t="s">
        <v>5872</v>
      </c>
    </row>
    <row r="2455" spans="1:4" x14ac:dyDescent="0.25">
      <c r="A2455" s="139" t="s">
        <v>5873</v>
      </c>
      <c r="B2455" s="139" t="s">
        <v>5871</v>
      </c>
      <c r="C2455" s="139" t="s">
        <v>33</v>
      </c>
      <c r="D2455" s="139" t="s">
        <v>5874</v>
      </c>
    </row>
    <row r="2456" spans="1:4" x14ac:dyDescent="0.25">
      <c r="A2456" s="139" t="s">
        <v>5875</v>
      </c>
      <c r="B2456" s="139" t="s">
        <v>5876</v>
      </c>
      <c r="C2456" s="139" t="s">
        <v>33</v>
      </c>
      <c r="D2456" s="139" t="s">
        <v>5877</v>
      </c>
    </row>
    <row r="2457" spans="1:4" x14ac:dyDescent="0.25">
      <c r="A2457" s="139" t="s">
        <v>5878</v>
      </c>
      <c r="B2457" s="139" t="s">
        <v>5876</v>
      </c>
      <c r="C2457" s="139" t="s">
        <v>33</v>
      </c>
      <c r="D2457" s="139" t="s">
        <v>5879</v>
      </c>
    </row>
    <row r="2458" spans="1:4" x14ac:dyDescent="0.25">
      <c r="A2458" s="139" t="s">
        <v>5880</v>
      </c>
      <c r="B2458" s="139" t="s">
        <v>5881</v>
      </c>
      <c r="C2458" s="139" t="s">
        <v>33</v>
      </c>
      <c r="D2458" s="139" t="s">
        <v>5882</v>
      </c>
    </row>
    <row r="2459" spans="1:4" x14ac:dyDescent="0.25">
      <c r="A2459" s="139" t="s">
        <v>5883</v>
      </c>
      <c r="B2459" s="139" t="s">
        <v>5881</v>
      </c>
      <c r="C2459" s="139" t="s">
        <v>33</v>
      </c>
      <c r="D2459" s="139" t="s">
        <v>5884</v>
      </c>
    </row>
    <row r="2460" spans="1:4" x14ac:dyDescent="0.25">
      <c r="A2460" s="139" t="s">
        <v>5885</v>
      </c>
      <c r="B2460" s="139" t="s">
        <v>5886</v>
      </c>
      <c r="C2460" s="139" t="s">
        <v>33</v>
      </c>
      <c r="D2460" s="139" t="s">
        <v>5887</v>
      </c>
    </row>
    <row r="2461" spans="1:4" x14ac:dyDescent="0.25">
      <c r="A2461" s="139" t="s">
        <v>5888</v>
      </c>
      <c r="B2461" s="139" t="s">
        <v>5886</v>
      </c>
      <c r="C2461" s="139" t="s">
        <v>33</v>
      </c>
      <c r="D2461" s="139" t="s">
        <v>5889</v>
      </c>
    </row>
    <row r="2462" spans="1:4" x14ac:dyDescent="0.25">
      <c r="A2462" s="139" t="s">
        <v>5890</v>
      </c>
      <c r="B2462" s="139" t="s">
        <v>5891</v>
      </c>
      <c r="C2462" s="139" t="s">
        <v>33</v>
      </c>
      <c r="D2462" s="139" t="s">
        <v>5892</v>
      </c>
    </row>
    <row r="2463" spans="1:4" x14ac:dyDescent="0.25">
      <c r="A2463" s="139" t="s">
        <v>5893</v>
      </c>
      <c r="B2463" s="139" t="s">
        <v>5891</v>
      </c>
      <c r="C2463" s="139" t="s">
        <v>33</v>
      </c>
      <c r="D2463" s="139" t="s">
        <v>5894</v>
      </c>
    </row>
    <row r="2464" spans="1:4" x14ac:dyDescent="0.25">
      <c r="A2464" s="139" t="s">
        <v>5895</v>
      </c>
      <c r="B2464" s="139" t="s">
        <v>220</v>
      </c>
      <c r="C2464" s="139" t="s">
        <v>33</v>
      </c>
      <c r="D2464" s="139" t="s">
        <v>5896</v>
      </c>
    </row>
    <row r="2465" spans="1:4" x14ac:dyDescent="0.25">
      <c r="A2465" s="139" t="s">
        <v>5897</v>
      </c>
      <c r="B2465" s="139" t="s">
        <v>220</v>
      </c>
      <c r="C2465" s="139" t="s">
        <v>33</v>
      </c>
      <c r="D2465" s="139" t="s">
        <v>5898</v>
      </c>
    </row>
    <row r="2466" spans="1:4" x14ac:dyDescent="0.25">
      <c r="A2466" s="139" t="s">
        <v>5899</v>
      </c>
      <c r="B2466" s="139" t="s">
        <v>5900</v>
      </c>
      <c r="C2466" s="139" t="s">
        <v>65</v>
      </c>
      <c r="D2466" s="139" t="s">
        <v>5901</v>
      </c>
    </row>
    <row r="2467" spans="1:4" x14ac:dyDescent="0.25">
      <c r="A2467" s="139" t="s">
        <v>5902</v>
      </c>
      <c r="B2467" s="139" t="s">
        <v>5900</v>
      </c>
      <c r="C2467" s="139" t="s">
        <v>65</v>
      </c>
      <c r="D2467" s="139" t="s">
        <v>5903</v>
      </c>
    </row>
    <row r="2468" spans="1:4" x14ac:dyDescent="0.25">
      <c r="A2468" s="139" t="s">
        <v>5904</v>
      </c>
      <c r="B2468" s="139" t="s">
        <v>1223</v>
      </c>
      <c r="C2468" s="139" t="s">
        <v>65</v>
      </c>
      <c r="D2468" s="139" t="s">
        <v>5905</v>
      </c>
    </row>
    <row r="2469" spans="1:4" x14ac:dyDescent="0.25">
      <c r="A2469" s="139" t="s">
        <v>5906</v>
      </c>
      <c r="B2469" s="139" t="s">
        <v>1223</v>
      </c>
      <c r="C2469" s="139" t="s">
        <v>65</v>
      </c>
      <c r="D2469" s="139" t="s">
        <v>5907</v>
      </c>
    </row>
    <row r="2470" spans="1:4" x14ac:dyDescent="0.25">
      <c r="A2470" s="139" t="s">
        <v>5908</v>
      </c>
      <c r="B2470" s="139" t="s">
        <v>5909</v>
      </c>
      <c r="C2470" s="139" t="s">
        <v>65</v>
      </c>
      <c r="D2470" s="139" t="s">
        <v>5910</v>
      </c>
    </row>
    <row r="2471" spans="1:4" x14ac:dyDescent="0.25">
      <c r="A2471" s="139" t="s">
        <v>5911</v>
      </c>
      <c r="B2471" s="139" t="s">
        <v>5909</v>
      </c>
      <c r="C2471" s="139" t="s">
        <v>65</v>
      </c>
      <c r="D2471" s="139" t="s">
        <v>5912</v>
      </c>
    </row>
    <row r="2472" spans="1:4" x14ac:dyDescent="0.25">
      <c r="A2472" s="139" t="s">
        <v>5913</v>
      </c>
      <c r="B2472" s="139" t="s">
        <v>38</v>
      </c>
      <c r="C2472" s="139" t="s">
        <v>65</v>
      </c>
      <c r="D2472" s="139" t="s">
        <v>5914</v>
      </c>
    </row>
    <row r="2473" spans="1:4" x14ac:dyDescent="0.25">
      <c r="A2473" s="139" t="s">
        <v>5915</v>
      </c>
      <c r="B2473" s="139" t="s">
        <v>38</v>
      </c>
      <c r="C2473" s="139" t="s">
        <v>65</v>
      </c>
      <c r="D2473" s="139" t="s">
        <v>5916</v>
      </c>
    </row>
    <row r="2474" spans="1:4" x14ac:dyDescent="0.25">
      <c r="A2474" s="139" t="s">
        <v>5917</v>
      </c>
      <c r="B2474" s="139" t="s">
        <v>5595</v>
      </c>
      <c r="C2474" s="139" t="s">
        <v>65</v>
      </c>
      <c r="D2474" s="139" t="s">
        <v>5918</v>
      </c>
    </row>
    <row r="2475" spans="1:4" x14ac:dyDescent="0.25">
      <c r="A2475" s="139" t="s">
        <v>5919</v>
      </c>
      <c r="B2475" s="139" t="s">
        <v>5595</v>
      </c>
      <c r="C2475" s="139" t="s">
        <v>65</v>
      </c>
      <c r="D2475" s="139" t="s">
        <v>5920</v>
      </c>
    </row>
    <row r="2476" spans="1:4" x14ac:dyDescent="0.25">
      <c r="A2476" s="139" t="s">
        <v>5921</v>
      </c>
      <c r="B2476" s="139" t="s">
        <v>5922</v>
      </c>
      <c r="C2476" s="139" t="s">
        <v>65</v>
      </c>
      <c r="D2476" s="139" t="s">
        <v>5923</v>
      </c>
    </row>
    <row r="2477" spans="1:4" x14ac:dyDescent="0.25">
      <c r="A2477" s="139" t="s">
        <v>5924</v>
      </c>
      <c r="B2477" s="139" t="s">
        <v>5922</v>
      </c>
      <c r="C2477" s="139" t="s">
        <v>65</v>
      </c>
      <c r="D2477" s="139" t="s">
        <v>5925</v>
      </c>
    </row>
    <row r="2478" spans="1:4" x14ac:dyDescent="0.25">
      <c r="A2478" s="139" t="s">
        <v>5926</v>
      </c>
      <c r="B2478" s="139" t="s">
        <v>5927</v>
      </c>
      <c r="C2478" s="139" t="s">
        <v>65</v>
      </c>
      <c r="D2478" s="139" t="s">
        <v>5928</v>
      </c>
    </row>
    <row r="2479" spans="1:4" x14ac:dyDescent="0.25">
      <c r="A2479" s="139" t="s">
        <v>5929</v>
      </c>
      <c r="B2479" s="139" t="s">
        <v>5927</v>
      </c>
      <c r="C2479" s="139" t="s">
        <v>65</v>
      </c>
      <c r="D2479" s="139" t="s">
        <v>5930</v>
      </c>
    </row>
    <row r="2480" spans="1:4" x14ac:dyDescent="0.25">
      <c r="A2480" s="139" t="s">
        <v>5931</v>
      </c>
      <c r="B2480" s="139" t="s">
        <v>5932</v>
      </c>
      <c r="C2480" s="139" t="s">
        <v>65</v>
      </c>
      <c r="D2480" s="139" t="s">
        <v>5933</v>
      </c>
    </row>
    <row r="2481" spans="1:4" x14ac:dyDescent="0.25">
      <c r="A2481" s="139" t="s">
        <v>5934</v>
      </c>
      <c r="B2481" s="139" t="s">
        <v>5932</v>
      </c>
      <c r="C2481" s="139" t="s">
        <v>65</v>
      </c>
      <c r="D2481" s="139" t="s">
        <v>5935</v>
      </c>
    </row>
    <row r="2482" spans="1:4" x14ac:dyDescent="0.25">
      <c r="A2482" s="139" t="s">
        <v>5936</v>
      </c>
      <c r="B2482" s="139" t="s">
        <v>5937</v>
      </c>
      <c r="C2482" s="139" t="s">
        <v>65</v>
      </c>
      <c r="D2482" s="139" t="s">
        <v>5938</v>
      </c>
    </row>
    <row r="2483" spans="1:4" x14ac:dyDescent="0.25">
      <c r="A2483" s="139" t="s">
        <v>5939</v>
      </c>
      <c r="B2483" s="139" t="s">
        <v>5937</v>
      </c>
      <c r="C2483" s="139" t="s">
        <v>65</v>
      </c>
      <c r="D2483" s="139" t="s">
        <v>5940</v>
      </c>
    </row>
    <row r="2484" spans="1:4" x14ac:dyDescent="0.25">
      <c r="A2484" s="139" t="s">
        <v>5941</v>
      </c>
      <c r="B2484" s="139" t="s">
        <v>534</v>
      </c>
      <c r="C2484" s="139" t="s">
        <v>65</v>
      </c>
      <c r="D2484" s="139" t="s">
        <v>5942</v>
      </c>
    </row>
    <row r="2485" spans="1:4" x14ac:dyDescent="0.25">
      <c r="A2485" s="139" t="s">
        <v>5943</v>
      </c>
      <c r="B2485" s="139" t="s">
        <v>534</v>
      </c>
      <c r="C2485" s="139" t="s">
        <v>65</v>
      </c>
      <c r="D2485" s="139" t="s">
        <v>5944</v>
      </c>
    </row>
    <row r="2486" spans="1:4" x14ac:dyDescent="0.25">
      <c r="A2486" s="139" t="s">
        <v>5945</v>
      </c>
      <c r="B2486" s="139" t="s">
        <v>5946</v>
      </c>
      <c r="C2486" s="139" t="s">
        <v>65</v>
      </c>
      <c r="D2486" s="139" t="s">
        <v>5947</v>
      </c>
    </row>
    <row r="2487" spans="1:4" x14ac:dyDescent="0.25">
      <c r="A2487" s="139" t="s">
        <v>5948</v>
      </c>
      <c r="B2487" s="139" t="s">
        <v>5946</v>
      </c>
      <c r="C2487" s="139" t="s">
        <v>65</v>
      </c>
      <c r="D2487" s="139" t="s">
        <v>5949</v>
      </c>
    </row>
    <row r="2488" spans="1:4" x14ac:dyDescent="0.25">
      <c r="A2488" s="139" t="s">
        <v>5950</v>
      </c>
      <c r="B2488" s="139" t="s">
        <v>2284</v>
      </c>
      <c r="C2488" s="139" t="s">
        <v>65</v>
      </c>
      <c r="D2488" s="139" t="s">
        <v>5951</v>
      </c>
    </row>
    <row r="2489" spans="1:4" x14ac:dyDescent="0.25">
      <c r="A2489" s="139" t="s">
        <v>5952</v>
      </c>
      <c r="B2489" s="139" t="s">
        <v>2284</v>
      </c>
      <c r="C2489" s="139" t="s">
        <v>65</v>
      </c>
      <c r="D2489" s="139" t="s">
        <v>5953</v>
      </c>
    </row>
    <row r="2490" spans="1:4" x14ac:dyDescent="0.25">
      <c r="A2490" s="139" t="s">
        <v>5954</v>
      </c>
      <c r="B2490" s="139" t="s">
        <v>5955</v>
      </c>
      <c r="C2490" s="139" t="s">
        <v>65</v>
      </c>
      <c r="D2490" s="139" t="s">
        <v>5956</v>
      </c>
    </row>
    <row r="2491" spans="1:4" x14ac:dyDescent="0.25">
      <c r="A2491" s="139" t="s">
        <v>5957</v>
      </c>
      <c r="B2491" s="139" t="s">
        <v>5955</v>
      </c>
      <c r="C2491" s="139" t="s">
        <v>65</v>
      </c>
      <c r="D2491" s="139" t="s">
        <v>5958</v>
      </c>
    </row>
    <row r="2492" spans="1:4" x14ac:dyDescent="0.25">
      <c r="A2492" s="139" t="s">
        <v>5959</v>
      </c>
      <c r="B2492" s="139" t="s">
        <v>5960</v>
      </c>
      <c r="C2492" s="139" t="s">
        <v>123</v>
      </c>
      <c r="D2492" s="139" t="s">
        <v>5961</v>
      </c>
    </row>
    <row r="2493" spans="1:4" x14ac:dyDescent="0.25">
      <c r="A2493" s="139" t="s">
        <v>5962</v>
      </c>
      <c r="B2493" s="139" t="s">
        <v>5960</v>
      </c>
      <c r="C2493" s="139" t="s">
        <v>123</v>
      </c>
      <c r="D2493" s="139" t="s">
        <v>5963</v>
      </c>
    </row>
    <row r="2494" spans="1:4" x14ac:dyDescent="0.25">
      <c r="A2494" s="139" t="s">
        <v>5964</v>
      </c>
      <c r="B2494" s="139" t="s">
        <v>5965</v>
      </c>
      <c r="C2494" s="139" t="s">
        <v>65</v>
      </c>
      <c r="D2494" s="139" t="s">
        <v>5966</v>
      </c>
    </row>
    <row r="2495" spans="1:4" x14ac:dyDescent="0.25">
      <c r="A2495" s="139" t="s">
        <v>5967</v>
      </c>
      <c r="B2495" s="139" t="s">
        <v>5965</v>
      </c>
      <c r="C2495" s="139" t="s">
        <v>65</v>
      </c>
      <c r="D2495" s="139" t="s">
        <v>5968</v>
      </c>
    </row>
    <row r="2496" spans="1:4" x14ac:dyDescent="0.25">
      <c r="A2496" s="139" t="s">
        <v>5969</v>
      </c>
      <c r="B2496" s="139" t="s">
        <v>5970</v>
      </c>
      <c r="C2496" s="139" t="s">
        <v>112</v>
      </c>
      <c r="D2496" s="139" t="s">
        <v>5971</v>
      </c>
    </row>
    <row r="2497" spans="1:4" x14ac:dyDescent="0.25">
      <c r="A2497" s="139" t="s">
        <v>5972</v>
      </c>
      <c r="B2497" s="139" t="s">
        <v>5970</v>
      </c>
      <c r="C2497" s="139" t="s">
        <v>112</v>
      </c>
      <c r="D2497" s="139" t="s">
        <v>5973</v>
      </c>
    </row>
    <row r="2498" spans="1:4" x14ac:dyDescent="0.25">
      <c r="A2498" s="139" t="s">
        <v>5974</v>
      </c>
      <c r="B2498" s="139" t="s">
        <v>5975</v>
      </c>
      <c r="C2498" s="139" t="s">
        <v>112</v>
      </c>
      <c r="D2498" s="139" t="s">
        <v>5976</v>
      </c>
    </row>
    <row r="2499" spans="1:4" x14ac:dyDescent="0.25">
      <c r="A2499" s="139" t="s">
        <v>5977</v>
      </c>
      <c r="B2499" s="139" t="s">
        <v>5975</v>
      </c>
      <c r="C2499" s="139" t="s">
        <v>112</v>
      </c>
      <c r="D2499" s="139" t="s">
        <v>5978</v>
      </c>
    </row>
    <row r="2500" spans="1:4" x14ac:dyDescent="0.25">
      <c r="A2500" s="139" t="s">
        <v>5979</v>
      </c>
      <c r="B2500" s="139" t="s">
        <v>5980</v>
      </c>
      <c r="C2500" s="139" t="s">
        <v>112</v>
      </c>
      <c r="D2500" s="139" t="s">
        <v>5981</v>
      </c>
    </row>
    <row r="2501" spans="1:4" x14ac:dyDescent="0.25">
      <c r="A2501" s="139" t="s">
        <v>5982</v>
      </c>
      <c r="B2501" s="139" t="s">
        <v>5980</v>
      </c>
      <c r="C2501" s="139" t="s">
        <v>112</v>
      </c>
      <c r="D2501" s="139" t="s">
        <v>5983</v>
      </c>
    </row>
    <row r="2502" spans="1:4" x14ac:dyDescent="0.25">
      <c r="A2502" s="139" t="s">
        <v>5984</v>
      </c>
      <c r="B2502" s="139" t="s">
        <v>5985</v>
      </c>
      <c r="C2502" s="139" t="s">
        <v>112</v>
      </c>
      <c r="D2502" s="139" t="s">
        <v>5986</v>
      </c>
    </row>
    <row r="2503" spans="1:4" x14ac:dyDescent="0.25">
      <c r="A2503" s="139" t="s">
        <v>5987</v>
      </c>
      <c r="B2503" s="139" t="s">
        <v>5985</v>
      </c>
      <c r="C2503" s="139" t="s">
        <v>112</v>
      </c>
      <c r="D2503" s="139" t="s">
        <v>5988</v>
      </c>
    </row>
    <row r="2504" spans="1:4" x14ac:dyDescent="0.25">
      <c r="A2504" s="139" t="s">
        <v>5989</v>
      </c>
      <c r="B2504" s="139" t="s">
        <v>5990</v>
      </c>
      <c r="C2504" s="139" t="s">
        <v>112</v>
      </c>
      <c r="D2504" s="139" t="s">
        <v>5991</v>
      </c>
    </row>
    <row r="2505" spans="1:4" x14ac:dyDescent="0.25">
      <c r="A2505" s="139" t="s">
        <v>5992</v>
      </c>
      <c r="B2505" s="139" t="s">
        <v>5990</v>
      </c>
      <c r="C2505" s="139" t="s">
        <v>112</v>
      </c>
      <c r="D2505" s="139" t="s">
        <v>5993</v>
      </c>
    </row>
    <row r="2506" spans="1:4" x14ac:dyDescent="0.25">
      <c r="A2506" s="139" t="s">
        <v>5994</v>
      </c>
      <c r="B2506" s="139" t="s">
        <v>5995</v>
      </c>
      <c r="C2506" s="139" t="s">
        <v>112</v>
      </c>
      <c r="D2506" s="139" t="s">
        <v>5996</v>
      </c>
    </row>
    <row r="2507" spans="1:4" x14ac:dyDescent="0.25">
      <c r="A2507" s="139" t="s">
        <v>5997</v>
      </c>
      <c r="B2507" s="139" t="s">
        <v>5995</v>
      </c>
      <c r="C2507" s="139" t="s">
        <v>112</v>
      </c>
      <c r="D2507" s="139" t="s">
        <v>5998</v>
      </c>
    </row>
    <row r="2508" spans="1:4" x14ac:dyDescent="0.25">
      <c r="A2508" s="139" t="s">
        <v>5999</v>
      </c>
      <c r="B2508" s="139" t="s">
        <v>6000</v>
      </c>
      <c r="C2508" s="139" t="s">
        <v>112</v>
      </c>
      <c r="D2508" s="139" t="s">
        <v>6001</v>
      </c>
    </row>
    <row r="2509" spans="1:4" x14ac:dyDescent="0.25">
      <c r="A2509" s="139" t="s">
        <v>6002</v>
      </c>
      <c r="B2509" s="139" t="s">
        <v>6000</v>
      </c>
      <c r="C2509" s="139" t="s">
        <v>112</v>
      </c>
      <c r="D2509" s="139" t="s">
        <v>6003</v>
      </c>
    </row>
    <row r="2510" spans="1:4" x14ac:dyDescent="0.25">
      <c r="A2510" s="139" t="s">
        <v>6004</v>
      </c>
      <c r="B2510" s="139" t="s">
        <v>6005</v>
      </c>
      <c r="C2510" s="139" t="s">
        <v>112</v>
      </c>
      <c r="D2510" s="139" t="s">
        <v>6006</v>
      </c>
    </row>
    <row r="2511" spans="1:4" x14ac:dyDescent="0.25">
      <c r="A2511" s="139" t="s">
        <v>6007</v>
      </c>
      <c r="B2511" s="139" t="s">
        <v>6005</v>
      </c>
      <c r="C2511" s="139" t="s">
        <v>112</v>
      </c>
      <c r="D2511" s="139" t="s">
        <v>6008</v>
      </c>
    </row>
    <row r="2512" spans="1:4" x14ac:dyDescent="0.25">
      <c r="A2512" s="139" t="s">
        <v>6009</v>
      </c>
      <c r="B2512" s="139" t="s">
        <v>6010</v>
      </c>
      <c r="C2512" s="139" t="s">
        <v>112</v>
      </c>
      <c r="D2512" s="139" t="s">
        <v>6011</v>
      </c>
    </row>
    <row r="2513" spans="1:4" x14ac:dyDescent="0.25">
      <c r="A2513" s="139" t="s">
        <v>6012</v>
      </c>
      <c r="B2513" s="139" t="s">
        <v>6010</v>
      </c>
      <c r="C2513" s="139" t="s">
        <v>112</v>
      </c>
      <c r="D2513" s="139" t="s">
        <v>6013</v>
      </c>
    </row>
    <row r="2514" spans="1:4" x14ac:dyDescent="0.25">
      <c r="A2514" s="139" t="s">
        <v>6014</v>
      </c>
      <c r="B2514" s="139" t="s">
        <v>6015</v>
      </c>
      <c r="C2514" s="139" t="s">
        <v>112</v>
      </c>
      <c r="D2514" s="139" t="s">
        <v>6016</v>
      </c>
    </row>
    <row r="2515" spans="1:4" x14ac:dyDescent="0.25">
      <c r="A2515" s="139" t="s">
        <v>6017</v>
      </c>
      <c r="B2515" s="139" t="s">
        <v>6015</v>
      </c>
      <c r="C2515" s="139" t="s">
        <v>112</v>
      </c>
      <c r="D2515" s="139" t="s">
        <v>6018</v>
      </c>
    </row>
    <row r="2516" spans="1:4" x14ac:dyDescent="0.25">
      <c r="A2516" s="139" t="s">
        <v>6019</v>
      </c>
      <c r="B2516" s="139" t="s">
        <v>6020</v>
      </c>
      <c r="C2516" s="139" t="s">
        <v>112</v>
      </c>
      <c r="D2516" s="139" t="s">
        <v>6021</v>
      </c>
    </row>
    <row r="2517" spans="1:4" x14ac:dyDescent="0.25">
      <c r="A2517" s="139" t="s">
        <v>6022</v>
      </c>
      <c r="B2517" s="139" t="s">
        <v>6020</v>
      </c>
      <c r="C2517" s="139" t="s">
        <v>112</v>
      </c>
      <c r="D2517" s="139" t="s">
        <v>6023</v>
      </c>
    </row>
    <row r="2518" spans="1:4" x14ac:dyDescent="0.25">
      <c r="A2518" s="139" t="s">
        <v>6024</v>
      </c>
      <c r="B2518" s="139" t="s">
        <v>1350</v>
      </c>
      <c r="C2518" s="139" t="s">
        <v>112</v>
      </c>
      <c r="D2518" s="139" t="s">
        <v>6025</v>
      </c>
    </row>
    <row r="2519" spans="1:4" x14ac:dyDescent="0.25">
      <c r="A2519" s="139" t="s">
        <v>6026</v>
      </c>
      <c r="B2519" s="139" t="s">
        <v>1350</v>
      </c>
      <c r="C2519" s="139" t="s">
        <v>112</v>
      </c>
      <c r="D2519" s="139" t="s">
        <v>6027</v>
      </c>
    </row>
    <row r="2520" spans="1:4" x14ac:dyDescent="0.25">
      <c r="A2520" s="139" t="s">
        <v>6028</v>
      </c>
      <c r="B2520" s="139" t="s">
        <v>6029</v>
      </c>
      <c r="C2520" s="139" t="s">
        <v>112</v>
      </c>
      <c r="D2520" s="139" t="s">
        <v>6030</v>
      </c>
    </row>
    <row r="2521" spans="1:4" x14ac:dyDescent="0.25">
      <c r="A2521" s="139" t="s">
        <v>6031</v>
      </c>
      <c r="B2521" s="139" t="s">
        <v>6029</v>
      </c>
      <c r="C2521" s="139" t="s">
        <v>112</v>
      </c>
      <c r="D2521" s="139" t="s">
        <v>6032</v>
      </c>
    </row>
    <row r="2522" spans="1:4" x14ac:dyDescent="0.25">
      <c r="A2522" s="139" t="s">
        <v>6033</v>
      </c>
      <c r="B2522" s="139" t="s">
        <v>6034</v>
      </c>
      <c r="C2522" s="139" t="s">
        <v>112</v>
      </c>
      <c r="D2522" s="139" t="s">
        <v>6035</v>
      </c>
    </row>
    <row r="2523" spans="1:4" x14ac:dyDescent="0.25">
      <c r="A2523" s="139" t="s">
        <v>6036</v>
      </c>
      <c r="B2523" s="139" t="s">
        <v>6034</v>
      </c>
      <c r="C2523" s="139" t="s">
        <v>112</v>
      </c>
      <c r="D2523" s="139" t="s">
        <v>6037</v>
      </c>
    </row>
    <row r="2524" spans="1:4" x14ac:dyDescent="0.25">
      <c r="A2524" s="139" t="s">
        <v>6038</v>
      </c>
      <c r="B2524" s="139" t="s">
        <v>2485</v>
      </c>
      <c r="C2524" s="139" t="s">
        <v>112</v>
      </c>
      <c r="D2524" s="139" t="s">
        <v>6039</v>
      </c>
    </row>
    <row r="2525" spans="1:4" x14ac:dyDescent="0.25">
      <c r="A2525" s="139" t="s">
        <v>6040</v>
      </c>
      <c r="B2525" s="139" t="s">
        <v>2485</v>
      </c>
      <c r="C2525" s="139" t="s">
        <v>112</v>
      </c>
      <c r="D2525" s="139" t="s">
        <v>6041</v>
      </c>
    </row>
    <row r="2526" spans="1:4" x14ac:dyDescent="0.25">
      <c r="A2526" s="139" t="s">
        <v>6042</v>
      </c>
      <c r="B2526" s="139" t="s">
        <v>6043</v>
      </c>
      <c r="C2526" s="139" t="s">
        <v>112</v>
      </c>
      <c r="D2526" s="139" t="s">
        <v>6044</v>
      </c>
    </row>
    <row r="2527" spans="1:4" x14ac:dyDescent="0.25">
      <c r="A2527" s="139" t="s">
        <v>6045</v>
      </c>
      <c r="B2527" s="139" t="s">
        <v>6043</v>
      </c>
      <c r="C2527" s="139" t="s">
        <v>112</v>
      </c>
      <c r="D2527" s="139" t="s">
        <v>6046</v>
      </c>
    </row>
    <row r="2528" spans="1:4" x14ac:dyDescent="0.25">
      <c r="A2528" s="139" t="s">
        <v>6047</v>
      </c>
      <c r="B2528" s="139" t="s">
        <v>6048</v>
      </c>
      <c r="C2528" s="139" t="s">
        <v>112</v>
      </c>
      <c r="D2528" s="139" t="s">
        <v>6049</v>
      </c>
    </row>
    <row r="2529" spans="1:4" x14ac:dyDescent="0.25">
      <c r="A2529" s="139" t="s">
        <v>6050</v>
      </c>
      <c r="B2529" s="139" t="s">
        <v>6048</v>
      </c>
      <c r="C2529" s="139" t="s">
        <v>112</v>
      </c>
      <c r="D2529" s="139" t="s">
        <v>6051</v>
      </c>
    </row>
    <row r="2530" spans="1:4" x14ac:dyDescent="0.25">
      <c r="A2530" s="139" t="s">
        <v>6052</v>
      </c>
      <c r="B2530" s="139" t="s">
        <v>6053</v>
      </c>
      <c r="C2530" s="139" t="s">
        <v>112</v>
      </c>
      <c r="D2530" s="139" t="s">
        <v>6054</v>
      </c>
    </row>
    <row r="2531" spans="1:4" x14ac:dyDescent="0.25">
      <c r="A2531" s="139" t="s">
        <v>6055</v>
      </c>
      <c r="B2531" s="139" t="s">
        <v>6053</v>
      </c>
      <c r="C2531" s="139" t="s">
        <v>112</v>
      </c>
      <c r="D2531" s="139" t="s">
        <v>6056</v>
      </c>
    </row>
    <row r="2532" spans="1:4" x14ac:dyDescent="0.25">
      <c r="A2532" s="139" t="s">
        <v>6057</v>
      </c>
      <c r="B2532" s="139" t="s">
        <v>6058</v>
      </c>
      <c r="C2532" s="139" t="s">
        <v>112</v>
      </c>
      <c r="D2532" s="139" t="s">
        <v>6059</v>
      </c>
    </row>
    <row r="2533" spans="1:4" x14ac:dyDescent="0.25">
      <c r="A2533" s="139" t="s">
        <v>6060</v>
      </c>
      <c r="B2533" s="139" t="s">
        <v>6058</v>
      </c>
      <c r="C2533" s="139" t="s">
        <v>112</v>
      </c>
      <c r="D2533" s="139" t="s">
        <v>6061</v>
      </c>
    </row>
    <row r="2534" spans="1:4" x14ac:dyDescent="0.25">
      <c r="A2534" s="139" t="s">
        <v>6062</v>
      </c>
      <c r="B2534" s="139" t="s">
        <v>4903</v>
      </c>
      <c r="C2534" s="139" t="s">
        <v>112</v>
      </c>
      <c r="D2534" s="139" t="s">
        <v>6063</v>
      </c>
    </row>
    <row r="2535" spans="1:4" x14ac:dyDescent="0.25">
      <c r="A2535" s="139" t="s">
        <v>6064</v>
      </c>
      <c r="B2535" s="139" t="s">
        <v>4903</v>
      </c>
      <c r="C2535" s="139" t="s">
        <v>112</v>
      </c>
      <c r="D2535" s="139" t="s">
        <v>6065</v>
      </c>
    </row>
    <row r="2536" spans="1:4" x14ac:dyDescent="0.25">
      <c r="A2536" s="139" t="s">
        <v>6066</v>
      </c>
      <c r="B2536" s="139" t="s">
        <v>6067</v>
      </c>
      <c r="C2536" s="139" t="s">
        <v>112</v>
      </c>
      <c r="D2536" s="139" t="s">
        <v>6068</v>
      </c>
    </row>
    <row r="2537" spans="1:4" x14ac:dyDescent="0.25">
      <c r="A2537" s="139" t="s">
        <v>6069</v>
      </c>
      <c r="B2537" s="139" t="s">
        <v>6067</v>
      </c>
      <c r="C2537" s="139" t="s">
        <v>112</v>
      </c>
      <c r="D2537" s="139" t="s">
        <v>6070</v>
      </c>
    </row>
    <row r="2538" spans="1:4" x14ac:dyDescent="0.25">
      <c r="A2538" s="139" t="s">
        <v>6071</v>
      </c>
      <c r="B2538" s="139" t="s">
        <v>2316</v>
      </c>
      <c r="C2538" s="139" t="s">
        <v>112</v>
      </c>
      <c r="D2538" s="139" t="s">
        <v>6072</v>
      </c>
    </row>
    <row r="2539" spans="1:4" x14ac:dyDescent="0.25">
      <c r="A2539" s="139" t="s">
        <v>6073</v>
      </c>
      <c r="B2539" s="139" t="s">
        <v>2316</v>
      </c>
      <c r="C2539" s="139" t="s">
        <v>112</v>
      </c>
      <c r="D2539" s="139" t="s">
        <v>6074</v>
      </c>
    </row>
    <row r="2540" spans="1:4" x14ac:dyDescent="0.25">
      <c r="A2540" s="139" t="s">
        <v>6075</v>
      </c>
      <c r="B2540" s="139" t="s">
        <v>6076</v>
      </c>
      <c r="C2540" s="139" t="s">
        <v>112</v>
      </c>
      <c r="D2540" s="139" t="s">
        <v>6077</v>
      </c>
    </row>
    <row r="2541" spans="1:4" x14ac:dyDescent="0.25">
      <c r="A2541" s="139" t="s">
        <v>6078</v>
      </c>
      <c r="B2541" s="139" t="s">
        <v>6076</v>
      </c>
      <c r="C2541" s="139" t="s">
        <v>112</v>
      </c>
      <c r="D2541" s="139" t="s">
        <v>6079</v>
      </c>
    </row>
    <row r="2542" spans="1:4" x14ac:dyDescent="0.25">
      <c r="A2542" s="139" t="s">
        <v>6080</v>
      </c>
      <c r="B2542" s="139" t="s">
        <v>4173</v>
      </c>
      <c r="C2542" s="139" t="s">
        <v>112</v>
      </c>
      <c r="D2542" s="139" t="s">
        <v>6081</v>
      </c>
    </row>
    <row r="2543" spans="1:4" x14ac:dyDescent="0.25">
      <c r="A2543" s="139" t="s">
        <v>6082</v>
      </c>
      <c r="B2543" s="139" t="s">
        <v>4173</v>
      </c>
      <c r="C2543" s="139" t="s">
        <v>112</v>
      </c>
      <c r="D2543" s="139" t="s">
        <v>6083</v>
      </c>
    </row>
    <row r="2544" spans="1:4" x14ac:dyDescent="0.25">
      <c r="A2544" s="139" t="s">
        <v>6084</v>
      </c>
      <c r="B2544" s="139" t="s">
        <v>2438</v>
      </c>
      <c r="C2544" s="139" t="s">
        <v>112</v>
      </c>
      <c r="D2544" s="139" t="s">
        <v>6085</v>
      </c>
    </row>
    <row r="2545" spans="1:4" x14ac:dyDescent="0.25">
      <c r="A2545" s="139" t="s">
        <v>6086</v>
      </c>
      <c r="B2545" s="139" t="s">
        <v>2438</v>
      </c>
      <c r="C2545" s="139" t="s">
        <v>112</v>
      </c>
      <c r="D2545" s="139" t="s">
        <v>6087</v>
      </c>
    </row>
    <row r="2546" spans="1:4" x14ac:dyDescent="0.25">
      <c r="A2546" s="139" t="s">
        <v>6088</v>
      </c>
      <c r="B2546" s="139" t="s">
        <v>6089</v>
      </c>
      <c r="C2546" s="139" t="s">
        <v>112</v>
      </c>
      <c r="D2546" s="139" t="s">
        <v>6090</v>
      </c>
    </row>
    <row r="2547" spans="1:4" x14ac:dyDescent="0.25">
      <c r="A2547" s="139" t="s">
        <v>6091</v>
      </c>
      <c r="B2547" s="139" t="s">
        <v>6089</v>
      </c>
      <c r="C2547" s="139" t="s">
        <v>112</v>
      </c>
      <c r="D2547" s="139" t="s">
        <v>6092</v>
      </c>
    </row>
    <row r="2548" spans="1:4" x14ac:dyDescent="0.25">
      <c r="A2548" s="139" t="s">
        <v>6093</v>
      </c>
      <c r="B2548" s="139" t="s">
        <v>6094</v>
      </c>
      <c r="C2548" s="139" t="s">
        <v>112</v>
      </c>
      <c r="D2548" s="139" t="s">
        <v>6095</v>
      </c>
    </row>
    <row r="2549" spans="1:4" x14ac:dyDescent="0.25">
      <c r="A2549" s="139" t="s">
        <v>6096</v>
      </c>
      <c r="B2549" s="139" t="s">
        <v>6094</v>
      </c>
      <c r="C2549" s="139" t="s">
        <v>112</v>
      </c>
      <c r="D2549" s="139" t="s">
        <v>6097</v>
      </c>
    </row>
    <row r="2550" spans="1:4" x14ac:dyDescent="0.25">
      <c r="A2550" s="139" t="s">
        <v>6098</v>
      </c>
      <c r="B2550" s="139" t="s">
        <v>6099</v>
      </c>
      <c r="C2550" s="139" t="s">
        <v>112</v>
      </c>
      <c r="D2550" s="139" t="s">
        <v>6100</v>
      </c>
    </row>
    <row r="2551" spans="1:4" x14ac:dyDescent="0.25">
      <c r="A2551" s="139" t="s">
        <v>6101</v>
      </c>
      <c r="B2551" s="139" t="s">
        <v>6099</v>
      </c>
      <c r="C2551" s="139" t="s">
        <v>112</v>
      </c>
      <c r="D2551" s="139" t="s">
        <v>6102</v>
      </c>
    </row>
    <row r="2552" spans="1:4" x14ac:dyDescent="0.25">
      <c r="A2552" s="139" t="s">
        <v>6103</v>
      </c>
      <c r="B2552" s="139" t="s">
        <v>132</v>
      </c>
      <c r="C2552" s="139" t="s">
        <v>112</v>
      </c>
      <c r="D2552" s="139" t="s">
        <v>6104</v>
      </c>
    </row>
    <row r="2553" spans="1:4" x14ac:dyDescent="0.25">
      <c r="A2553" s="139" t="s">
        <v>6105</v>
      </c>
      <c r="B2553" s="139" t="s">
        <v>132</v>
      </c>
      <c r="C2553" s="139" t="s">
        <v>112</v>
      </c>
      <c r="D2553" s="139" t="s">
        <v>6106</v>
      </c>
    </row>
    <row r="2554" spans="1:4" x14ac:dyDescent="0.25">
      <c r="A2554" s="139" t="s">
        <v>6107</v>
      </c>
      <c r="B2554" s="139" t="s">
        <v>6108</v>
      </c>
      <c r="C2554" s="139" t="s">
        <v>112</v>
      </c>
      <c r="D2554" s="139" t="s">
        <v>6109</v>
      </c>
    </row>
    <row r="2555" spans="1:4" x14ac:dyDescent="0.25">
      <c r="A2555" s="139" t="s">
        <v>6110</v>
      </c>
      <c r="B2555" s="139" t="s">
        <v>6108</v>
      </c>
      <c r="C2555" s="139" t="s">
        <v>112</v>
      </c>
      <c r="D2555" s="139" t="s">
        <v>6111</v>
      </c>
    </row>
    <row r="2556" spans="1:4" x14ac:dyDescent="0.25">
      <c r="A2556" s="139" t="s">
        <v>6112</v>
      </c>
      <c r="B2556" s="139" t="s">
        <v>6113</v>
      </c>
      <c r="C2556" s="139" t="s">
        <v>112</v>
      </c>
      <c r="D2556" s="139" t="s">
        <v>6114</v>
      </c>
    </row>
    <row r="2557" spans="1:4" x14ac:dyDescent="0.25">
      <c r="A2557" s="139" t="s">
        <v>6115</v>
      </c>
      <c r="B2557" s="139" t="s">
        <v>6113</v>
      </c>
      <c r="C2557" s="139" t="s">
        <v>112</v>
      </c>
      <c r="D2557" s="139" t="s">
        <v>6116</v>
      </c>
    </row>
    <row r="2558" spans="1:4" x14ac:dyDescent="0.25">
      <c r="A2558" s="139" t="s">
        <v>6117</v>
      </c>
      <c r="B2558" s="139" t="s">
        <v>6118</v>
      </c>
      <c r="C2558" s="139" t="s">
        <v>65</v>
      </c>
      <c r="D2558" s="139" t="s">
        <v>6119</v>
      </c>
    </row>
    <row r="2559" spans="1:4" x14ac:dyDescent="0.25">
      <c r="A2559" s="139" t="s">
        <v>6120</v>
      </c>
      <c r="B2559" s="139" t="s">
        <v>6118</v>
      </c>
      <c r="C2559" s="139" t="s">
        <v>65</v>
      </c>
      <c r="D2559" s="139" t="s">
        <v>6121</v>
      </c>
    </row>
    <row r="2560" spans="1:4" x14ac:dyDescent="0.25">
      <c r="A2560" s="139" t="s">
        <v>6122</v>
      </c>
      <c r="B2560" s="139" t="s">
        <v>6123</v>
      </c>
      <c r="C2560" s="139" t="s">
        <v>65</v>
      </c>
      <c r="D2560" s="139" t="s">
        <v>6124</v>
      </c>
    </row>
    <row r="2561" spans="1:4" x14ac:dyDescent="0.25">
      <c r="A2561" s="139" t="s">
        <v>6125</v>
      </c>
      <c r="B2561" s="139" t="s">
        <v>6123</v>
      </c>
      <c r="C2561" s="139" t="s">
        <v>65</v>
      </c>
      <c r="D2561" s="139" t="s">
        <v>6126</v>
      </c>
    </row>
    <row r="2562" spans="1:4" x14ac:dyDescent="0.25">
      <c r="A2562" s="139" t="s">
        <v>6127</v>
      </c>
      <c r="B2562" s="139" t="s">
        <v>201</v>
      </c>
      <c r="C2562" s="139" t="s">
        <v>33</v>
      </c>
      <c r="D2562" s="139" t="s">
        <v>6128</v>
      </c>
    </row>
    <row r="2563" spans="1:4" x14ac:dyDescent="0.25">
      <c r="A2563" s="139" t="s">
        <v>6129</v>
      </c>
      <c r="B2563" s="139" t="s">
        <v>201</v>
      </c>
      <c r="C2563" s="139" t="s">
        <v>33</v>
      </c>
      <c r="D2563" s="139" t="s">
        <v>6130</v>
      </c>
    </row>
    <row r="2564" spans="1:4" x14ac:dyDescent="0.25">
      <c r="A2564" s="139" t="s">
        <v>6131</v>
      </c>
      <c r="B2564" s="139" t="s">
        <v>5835</v>
      </c>
      <c r="C2564" s="139" t="s">
        <v>127</v>
      </c>
      <c r="D2564" s="139" t="s">
        <v>6132</v>
      </c>
    </row>
    <row r="2565" spans="1:4" x14ac:dyDescent="0.25">
      <c r="A2565" s="139" t="s">
        <v>6133</v>
      </c>
      <c r="B2565" s="139" t="s">
        <v>5835</v>
      </c>
      <c r="C2565" s="139" t="s">
        <v>127</v>
      </c>
      <c r="D2565" s="139" t="s">
        <v>6134</v>
      </c>
    </row>
    <row r="2566" spans="1:4" x14ac:dyDescent="0.25">
      <c r="A2566" s="139" t="s">
        <v>6135</v>
      </c>
      <c r="B2566" s="139" t="s">
        <v>1479</v>
      </c>
      <c r="C2566" s="139" t="s">
        <v>65</v>
      </c>
      <c r="D2566" s="139" t="s">
        <v>6136</v>
      </c>
    </row>
    <row r="2567" spans="1:4" x14ac:dyDescent="0.25">
      <c r="A2567" s="139" t="s">
        <v>6137</v>
      </c>
      <c r="B2567" s="139" t="s">
        <v>1479</v>
      </c>
      <c r="C2567" s="139" t="s">
        <v>65</v>
      </c>
      <c r="D2567" s="139" t="s">
        <v>6138</v>
      </c>
    </row>
    <row r="2568" spans="1:4" x14ac:dyDescent="0.25">
      <c r="A2568" s="139" t="s">
        <v>6139</v>
      </c>
      <c r="B2568" s="139" t="s">
        <v>6140</v>
      </c>
      <c r="C2568" s="139" t="s">
        <v>65</v>
      </c>
      <c r="D2568" s="139" t="s">
        <v>6141</v>
      </c>
    </row>
    <row r="2569" spans="1:4" x14ac:dyDescent="0.25">
      <c r="A2569" s="139" t="s">
        <v>6142</v>
      </c>
      <c r="B2569" s="139" t="s">
        <v>6140</v>
      </c>
      <c r="C2569" s="139" t="s">
        <v>65</v>
      </c>
      <c r="D2569" s="139" t="s">
        <v>6143</v>
      </c>
    </row>
    <row r="2570" spans="1:4" x14ac:dyDescent="0.25">
      <c r="A2570" s="139" t="s">
        <v>6144</v>
      </c>
      <c r="B2570" s="139" t="s">
        <v>59</v>
      </c>
      <c r="C2570" s="139" t="s">
        <v>123</v>
      </c>
      <c r="D2570" s="139" t="s">
        <v>6145</v>
      </c>
    </row>
    <row r="2571" spans="1:4" x14ac:dyDescent="0.25">
      <c r="A2571" s="139" t="s">
        <v>6146</v>
      </c>
      <c r="B2571" s="139" t="s">
        <v>59</v>
      </c>
      <c r="C2571" s="139" t="s">
        <v>123</v>
      </c>
      <c r="D2571" s="139" t="s">
        <v>6147</v>
      </c>
    </row>
    <row r="2572" spans="1:4" x14ac:dyDescent="0.25">
      <c r="A2572" s="139" t="s">
        <v>6148</v>
      </c>
      <c r="B2572" s="139" t="s">
        <v>6149</v>
      </c>
      <c r="C2572" s="139" t="s">
        <v>65</v>
      </c>
      <c r="D2572" s="139" t="s">
        <v>6150</v>
      </c>
    </row>
    <row r="2573" spans="1:4" x14ac:dyDescent="0.25">
      <c r="A2573" s="139" t="s">
        <v>6151</v>
      </c>
      <c r="B2573" s="139" t="s">
        <v>6149</v>
      </c>
      <c r="C2573" s="139" t="s">
        <v>65</v>
      </c>
      <c r="D2573" s="139" t="s">
        <v>6152</v>
      </c>
    </row>
    <row r="2574" spans="1:4" x14ac:dyDescent="0.25">
      <c r="A2574" s="139" t="s">
        <v>6153</v>
      </c>
      <c r="B2574" s="139" t="s">
        <v>5016</v>
      </c>
      <c r="C2574" s="139" t="s">
        <v>33</v>
      </c>
      <c r="D2574" s="139" t="s">
        <v>6154</v>
      </c>
    </row>
    <row r="2575" spans="1:4" x14ac:dyDescent="0.25">
      <c r="A2575" s="139" t="s">
        <v>6155</v>
      </c>
      <c r="B2575" s="139" t="s">
        <v>5016</v>
      </c>
      <c r="C2575" s="139" t="s">
        <v>33</v>
      </c>
      <c r="D2575" s="139" t="s">
        <v>6156</v>
      </c>
    </row>
    <row r="2576" spans="1:4" x14ac:dyDescent="0.25">
      <c r="A2576" s="139" t="s">
        <v>6157</v>
      </c>
      <c r="B2576" s="139" t="s">
        <v>1233</v>
      </c>
      <c r="C2576" s="139" t="s">
        <v>33</v>
      </c>
      <c r="D2576" s="139" t="s">
        <v>6158</v>
      </c>
    </row>
    <row r="2577" spans="1:4" x14ac:dyDescent="0.25">
      <c r="A2577" s="139" t="s">
        <v>6159</v>
      </c>
      <c r="B2577" s="139" t="s">
        <v>1233</v>
      </c>
      <c r="C2577" s="139" t="s">
        <v>33</v>
      </c>
      <c r="D2577" s="139" t="s">
        <v>6160</v>
      </c>
    </row>
    <row r="2578" spans="1:4" x14ac:dyDescent="0.25">
      <c r="A2578" s="139" t="s">
        <v>6161</v>
      </c>
      <c r="B2578" s="139" t="s">
        <v>6162</v>
      </c>
      <c r="C2578" s="139" t="s">
        <v>33</v>
      </c>
      <c r="D2578" s="139" t="s">
        <v>6163</v>
      </c>
    </row>
    <row r="2579" spans="1:4" x14ac:dyDescent="0.25">
      <c r="A2579" s="139" t="s">
        <v>6164</v>
      </c>
      <c r="B2579" s="139" t="s">
        <v>6162</v>
      </c>
      <c r="C2579" s="139" t="s">
        <v>33</v>
      </c>
      <c r="D2579" s="139" t="s">
        <v>6165</v>
      </c>
    </row>
    <row r="2580" spans="1:4" x14ac:dyDescent="0.25">
      <c r="A2580" s="139" t="s">
        <v>6166</v>
      </c>
      <c r="B2580" s="139" t="s">
        <v>6167</v>
      </c>
      <c r="C2580" s="139" t="s">
        <v>65</v>
      </c>
      <c r="D2580" s="139" t="s">
        <v>6168</v>
      </c>
    </row>
    <row r="2581" spans="1:4" x14ac:dyDescent="0.25">
      <c r="A2581" s="139" t="s">
        <v>6169</v>
      </c>
      <c r="B2581" s="139" t="s">
        <v>6167</v>
      </c>
      <c r="C2581" s="139" t="s">
        <v>65</v>
      </c>
      <c r="D2581" s="139" t="s">
        <v>6170</v>
      </c>
    </row>
    <row r="2582" spans="1:4" x14ac:dyDescent="0.25">
      <c r="A2582" s="139" t="s">
        <v>6171</v>
      </c>
      <c r="B2582" s="139" t="s">
        <v>6172</v>
      </c>
      <c r="C2582" s="139" t="s">
        <v>65</v>
      </c>
      <c r="D2582" s="139" t="s">
        <v>6173</v>
      </c>
    </row>
    <row r="2583" spans="1:4" x14ac:dyDescent="0.25">
      <c r="A2583" s="139" t="s">
        <v>6174</v>
      </c>
      <c r="B2583" s="139" t="s">
        <v>6172</v>
      </c>
      <c r="C2583" s="139" t="s">
        <v>65</v>
      </c>
      <c r="D2583" s="139" t="s">
        <v>6175</v>
      </c>
    </row>
    <row r="2584" spans="1:4" x14ac:dyDescent="0.25">
      <c r="A2584" s="139" t="s">
        <v>6176</v>
      </c>
      <c r="B2584" s="139" t="s">
        <v>6177</v>
      </c>
      <c r="C2584" s="139" t="s">
        <v>65</v>
      </c>
      <c r="D2584" s="139" t="s">
        <v>6178</v>
      </c>
    </row>
    <row r="2585" spans="1:4" x14ac:dyDescent="0.25">
      <c r="A2585" s="139" t="s">
        <v>6179</v>
      </c>
      <c r="B2585" s="139" t="s">
        <v>6177</v>
      </c>
      <c r="C2585" s="139" t="s">
        <v>65</v>
      </c>
      <c r="D2585" s="139" t="s">
        <v>6180</v>
      </c>
    </row>
    <row r="2586" spans="1:4" x14ac:dyDescent="0.25">
      <c r="A2586" s="139" t="s">
        <v>6181</v>
      </c>
      <c r="B2586" s="139" t="s">
        <v>6182</v>
      </c>
      <c r="C2586" s="139" t="s">
        <v>65</v>
      </c>
      <c r="D2586" s="139" t="s">
        <v>6183</v>
      </c>
    </row>
    <row r="2587" spans="1:4" x14ac:dyDescent="0.25">
      <c r="A2587" s="139" t="s">
        <v>6184</v>
      </c>
      <c r="B2587" s="139" t="s">
        <v>6182</v>
      </c>
      <c r="C2587" s="139" t="s">
        <v>65</v>
      </c>
      <c r="D2587" s="139" t="s">
        <v>6185</v>
      </c>
    </row>
    <row r="2588" spans="1:4" x14ac:dyDescent="0.25">
      <c r="A2588" s="139" t="s">
        <v>6186</v>
      </c>
      <c r="B2588" s="139" t="s">
        <v>6187</v>
      </c>
      <c r="C2588" s="139" t="s">
        <v>65</v>
      </c>
      <c r="D2588" s="139" t="s">
        <v>6188</v>
      </c>
    </row>
    <row r="2589" spans="1:4" x14ac:dyDescent="0.25">
      <c r="A2589" s="139" t="s">
        <v>6189</v>
      </c>
      <c r="B2589" s="139" t="s">
        <v>6187</v>
      </c>
      <c r="C2589" s="139" t="s">
        <v>65</v>
      </c>
      <c r="D2589" s="139" t="s">
        <v>6190</v>
      </c>
    </row>
    <row r="2590" spans="1:4" x14ac:dyDescent="0.25">
      <c r="A2590" s="139" t="s">
        <v>6191</v>
      </c>
      <c r="B2590" s="139" t="s">
        <v>6192</v>
      </c>
      <c r="C2590" s="139" t="s">
        <v>65</v>
      </c>
      <c r="D2590" s="139" t="s">
        <v>6193</v>
      </c>
    </row>
    <row r="2591" spans="1:4" x14ac:dyDescent="0.25">
      <c r="A2591" s="139" t="s">
        <v>6194</v>
      </c>
      <c r="B2591" s="139" t="s">
        <v>6192</v>
      </c>
      <c r="C2591" s="139" t="s">
        <v>65</v>
      </c>
      <c r="D2591" s="139" t="s">
        <v>6195</v>
      </c>
    </row>
    <row r="2592" spans="1:4" x14ac:dyDescent="0.25">
      <c r="A2592" s="139" t="s">
        <v>6196</v>
      </c>
      <c r="B2592" s="139" t="s">
        <v>6197</v>
      </c>
      <c r="C2592" s="139" t="s">
        <v>112</v>
      </c>
      <c r="D2592" s="139" t="s">
        <v>6198</v>
      </c>
    </row>
    <row r="2593" spans="1:4" x14ac:dyDescent="0.25">
      <c r="A2593" s="139" t="s">
        <v>6199</v>
      </c>
      <c r="B2593" s="139" t="s">
        <v>6197</v>
      </c>
      <c r="C2593" s="139" t="s">
        <v>112</v>
      </c>
      <c r="D2593" s="139" t="s">
        <v>6200</v>
      </c>
    </row>
    <row r="2594" spans="1:4" x14ac:dyDescent="0.25">
      <c r="A2594" s="139" t="s">
        <v>6201</v>
      </c>
      <c r="B2594" s="139" t="s">
        <v>6202</v>
      </c>
      <c r="C2594" s="139" t="s">
        <v>112</v>
      </c>
      <c r="D2594" s="139" t="s">
        <v>6203</v>
      </c>
    </row>
    <row r="2595" spans="1:4" x14ac:dyDescent="0.25">
      <c r="A2595" s="139" t="s">
        <v>6204</v>
      </c>
      <c r="B2595" s="139" t="s">
        <v>6202</v>
      </c>
      <c r="C2595" s="139" t="s">
        <v>112</v>
      </c>
      <c r="D2595" s="139" t="s">
        <v>6205</v>
      </c>
    </row>
    <row r="2596" spans="1:4" x14ac:dyDescent="0.25">
      <c r="A2596" s="139" t="s">
        <v>6206</v>
      </c>
      <c r="B2596" s="139" t="s">
        <v>6207</v>
      </c>
      <c r="C2596" s="139" t="s">
        <v>112</v>
      </c>
      <c r="D2596" s="139" t="s">
        <v>6208</v>
      </c>
    </row>
    <row r="2597" spans="1:4" x14ac:dyDescent="0.25">
      <c r="A2597" s="139" t="s">
        <v>6209</v>
      </c>
      <c r="B2597" s="139" t="s">
        <v>6207</v>
      </c>
      <c r="C2597" s="139" t="s">
        <v>112</v>
      </c>
      <c r="D2597" s="139" t="s">
        <v>6210</v>
      </c>
    </row>
    <row r="2598" spans="1:4" x14ac:dyDescent="0.25">
      <c r="A2598" s="139" t="s">
        <v>6211</v>
      </c>
      <c r="B2598" s="139" t="s">
        <v>6212</v>
      </c>
      <c r="C2598" s="139" t="s">
        <v>112</v>
      </c>
      <c r="D2598" s="139" t="s">
        <v>6213</v>
      </c>
    </row>
    <row r="2599" spans="1:4" x14ac:dyDescent="0.25">
      <c r="A2599" s="139" t="s">
        <v>6214</v>
      </c>
      <c r="B2599" s="139" t="s">
        <v>6212</v>
      </c>
      <c r="C2599" s="139" t="s">
        <v>112</v>
      </c>
      <c r="D2599" s="139" t="s">
        <v>6215</v>
      </c>
    </row>
    <row r="2600" spans="1:4" x14ac:dyDescent="0.25">
      <c r="A2600" s="139" t="s">
        <v>6216</v>
      </c>
      <c r="B2600" s="139" t="s">
        <v>6217</v>
      </c>
      <c r="C2600" s="139" t="s">
        <v>112</v>
      </c>
      <c r="D2600" s="139" t="s">
        <v>6218</v>
      </c>
    </row>
    <row r="2601" spans="1:4" x14ac:dyDescent="0.25">
      <c r="A2601" s="139" t="s">
        <v>6219</v>
      </c>
      <c r="B2601" s="139" t="s">
        <v>6217</v>
      </c>
      <c r="C2601" s="139" t="s">
        <v>112</v>
      </c>
      <c r="D2601" s="139" t="s">
        <v>6220</v>
      </c>
    </row>
    <row r="2602" spans="1:4" x14ac:dyDescent="0.25">
      <c r="A2602" s="139" t="s">
        <v>6221</v>
      </c>
      <c r="B2602" s="139" t="s">
        <v>6222</v>
      </c>
      <c r="C2602" s="139" t="s">
        <v>112</v>
      </c>
      <c r="D2602" s="139" t="s">
        <v>6223</v>
      </c>
    </row>
    <row r="2603" spans="1:4" x14ac:dyDescent="0.25">
      <c r="A2603" s="139" t="s">
        <v>6224</v>
      </c>
      <c r="B2603" s="139" t="s">
        <v>6222</v>
      </c>
      <c r="C2603" s="139" t="s">
        <v>112</v>
      </c>
      <c r="D2603" s="139" t="s">
        <v>6225</v>
      </c>
    </row>
    <row r="2604" spans="1:4" x14ac:dyDescent="0.25">
      <c r="A2604" s="139" t="s">
        <v>6226</v>
      </c>
      <c r="B2604" s="139" t="s">
        <v>1847</v>
      </c>
      <c r="C2604" s="139" t="s">
        <v>112</v>
      </c>
      <c r="D2604" s="139" t="s">
        <v>6227</v>
      </c>
    </row>
    <row r="2605" spans="1:4" x14ac:dyDescent="0.25">
      <c r="A2605" s="139" t="s">
        <v>6228</v>
      </c>
      <c r="B2605" s="139" t="s">
        <v>1847</v>
      </c>
      <c r="C2605" s="139" t="s">
        <v>112</v>
      </c>
      <c r="D2605" s="139" t="s">
        <v>6229</v>
      </c>
    </row>
    <row r="2606" spans="1:4" x14ac:dyDescent="0.25">
      <c r="A2606" s="139" t="s">
        <v>6230</v>
      </c>
      <c r="B2606" s="139" t="s">
        <v>6231</v>
      </c>
      <c r="C2606" s="139" t="s">
        <v>112</v>
      </c>
      <c r="D2606" s="139" t="s">
        <v>6232</v>
      </c>
    </row>
    <row r="2607" spans="1:4" x14ac:dyDescent="0.25">
      <c r="A2607" s="139" t="s">
        <v>6233</v>
      </c>
      <c r="B2607" s="139" t="s">
        <v>6231</v>
      </c>
      <c r="C2607" s="139" t="s">
        <v>112</v>
      </c>
      <c r="D2607" s="139" t="s">
        <v>6234</v>
      </c>
    </row>
    <row r="2608" spans="1:4" x14ac:dyDescent="0.25">
      <c r="A2608" s="139" t="s">
        <v>6235</v>
      </c>
      <c r="B2608" s="139" t="s">
        <v>2272</v>
      </c>
      <c r="C2608" s="139" t="s">
        <v>112</v>
      </c>
      <c r="D2608" s="139" t="s">
        <v>6236</v>
      </c>
    </row>
    <row r="2609" spans="1:4" x14ac:dyDescent="0.25">
      <c r="A2609" s="139" t="s">
        <v>6237</v>
      </c>
      <c r="B2609" s="139" t="s">
        <v>2272</v>
      </c>
      <c r="C2609" s="139" t="s">
        <v>112</v>
      </c>
      <c r="D2609" s="139" t="s">
        <v>6238</v>
      </c>
    </row>
    <row r="2610" spans="1:4" x14ac:dyDescent="0.25">
      <c r="A2610" s="139" t="s">
        <v>6239</v>
      </c>
      <c r="B2610" s="139" t="s">
        <v>6240</v>
      </c>
      <c r="C2610" s="139" t="s">
        <v>112</v>
      </c>
      <c r="D2610" s="139" t="s">
        <v>6241</v>
      </c>
    </row>
    <row r="2611" spans="1:4" x14ac:dyDescent="0.25">
      <c r="A2611" s="139" t="s">
        <v>6242</v>
      </c>
      <c r="B2611" s="139" t="s">
        <v>6240</v>
      </c>
      <c r="C2611" s="139" t="s">
        <v>112</v>
      </c>
      <c r="D2611" s="139" t="s">
        <v>6243</v>
      </c>
    </row>
    <row r="2612" spans="1:4" x14ac:dyDescent="0.25">
      <c r="A2612" s="139" t="s">
        <v>6244</v>
      </c>
      <c r="B2612" s="139" t="s">
        <v>2208</v>
      </c>
      <c r="C2612" s="139" t="s">
        <v>112</v>
      </c>
      <c r="D2612" s="139" t="s">
        <v>6245</v>
      </c>
    </row>
    <row r="2613" spans="1:4" x14ac:dyDescent="0.25">
      <c r="A2613" s="139" t="s">
        <v>6246</v>
      </c>
      <c r="B2613" s="139" t="s">
        <v>2208</v>
      </c>
      <c r="C2613" s="139" t="s">
        <v>112</v>
      </c>
      <c r="D2613" s="139" t="s">
        <v>6247</v>
      </c>
    </row>
    <row r="2614" spans="1:4" x14ac:dyDescent="0.25">
      <c r="A2614" s="139" t="s">
        <v>6248</v>
      </c>
      <c r="B2614" s="139" t="s">
        <v>6249</v>
      </c>
      <c r="C2614" s="139" t="s">
        <v>112</v>
      </c>
      <c r="D2614" s="139" t="s">
        <v>6250</v>
      </c>
    </row>
    <row r="2615" spans="1:4" x14ac:dyDescent="0.25">
      <c r="A2615" s="139" t="s">
        <v>6251</v>
      </c>
      <c r="B2615" s="139" t="s">
        <v>6249</v>
      </c>
      <c r="C2615" s="139" t="s">
        <v>112</v>
      </c>
      <c r="D2615" s="139" t="s">
        <v>6252</v>
      </c>
    </row>
    <row r="2616" spans="1:4" x14ac:dyDescent="0.25">
      <c r="A2616" s="139" t="s">
        <v>6253</v>
      </c>
      <c r="B2616" s="139" t="s">
        <v>6254</v>
      </c>
      <c r="C2616" s="139" t="s">
        <v>112</v>
      </c>
      <c r="D2616" s="139" t="s">
        <v>6255</v>
      </c>
    </row>
    <row r="2617" spans="1:4" x14ac:dyDescent="0.25">
      <c r="A2617" s="139" t="s">
        <v>6256</v>
      </c>
      <c r="B2617" s="139" t="s">
        <v>6254</v>
      </c>
      <c r="C2617" s="139" t="s">
        <v>112</v>
      </c>
      <c r="D2617" s="139" t="s">
        <v>6257</v>
      </c>
    </row>
    <row r="2618" spans="1:4" x14ac:dyDescent="0.25">
      <c r="A2618" s="139" t="s">
        <v>6258</v>
      </c>
      <c r="B2618" s="139" t="s">
        <v>1907</v>
      </c>
      <c r="C2618" s="139" t="s">
        <v>112</v>
      </c>
      <c r="D2618" s="139" t="s">
        <v>6259</v>
      </c>
    </row>
    <row r="2619" spans="1:4" x14ac:dyDescent="0.25">
      <c r="A2619" s="139" t="s">
        <v>6260</v>
      </c>
      <c r="B2619" s="139" t="s">
        <v>1907</v>
      </c>
      <c r="C2619" s="139" t="s">
        <v>112</v>
      </c>
      <c r="D2619" s="139" t="s">
        <v>6261</v>
      </c>
    </row>
    <row r="2620" spans="1:4" x14ac:dyDescent="0.25">
      <c r="A2620" s="139" t="s">
        <v>6262</v>
      </c>
      <c r="B2620" s="139" t="s">
        <v>6263</v>
      </c>
      <c r="C2620" s="139" t="s">
        <v>33</v>
      </c>
      <c r="D2620" s="139" t="s">
        <v>6264</v>
      </c>
    </row>
    <row r="2621" spans="1:4" x14ac:dyDescent="0.25">
      <c r="A2621" s="139" t="s">
        <v>6265</v>
      </c>
      <c r="B2621" s="139" t="s">
        <v>6263</v>
      </c>
      <c r="C2621" s="139" t="s">
        <v>33</v>
      </c>
      <c r="D2621" s="139" t="s">
        <v>6266</v>
      </c>
    </row>
    <row r="2622" spans="1:4" x14ac:dyDescent="0.25">
      <c r="A2622" s="139" t="s">
        <v>6267</v>
      </c>
      <c r="B2622" s="139" t="s">
        <v>6268</v>
      </c>
      <c r="C2622" s="139" t="s">
        <v>33</v>
      </c>
      <c r="D2622" s="139" t="s">
        <v>6269</v>
      </c>
    </row>
    <row r="2623" spans="1:4" x14ac:dyDescent="0.25">
      <c r="A2623" s="139" t="s">
        <v>6270</v>
      </c>
      <c r="B2623" s="139" t="s">
        <v>6268</v>
      </c>
      <c r="C2623" s="139" t="s">
        <v>33</v>
      </c>
      <c r="D2623" s="139" t="s">
        <v>6271</v>
      </c>
    </row>
    <row r="2624" spans="1:4" x14ac:dyDescent="0.25">
      <c r="A2624" s="139" t="s">
        <v>6272</v>
      </c>
      <c r="B2624" s="139" t="s">
        <v>6273</v>
      </c>
      <c r="C2624" s="139" t="s">
        <v>33</v>
      </c>
      <c r="D2624" s="139" t="s">
        <v>6274</v>
      </c>
    </row>
    <row r="2625" spans="1:4" x14ac:dyDescent="0.25">
      <c r="A2625" s="139" t="s">
        <v>6275</v>
      </c>
      <c r="B2625" s="139" t="s">
        <v>6273</v>
      </c>
      <c r="C2625" s="139" t="s">
        <v>33</v>
      </c>
      <c r="D2625" s="139" t="s">
        <v>6276</v>
      </c>
    </row>
    <row r="2626" spans="1:4" x14ac:dyDescent="0.25">
      <c r="A2626" s="139" t="s">
        <v>6277</v>
      </c>
      <c r="B2626" s="139" t="s">
        <v>6278</v>
      </c>
      <c r="C2626" s="139" t="s">
        <v>33</v>
      </c>
      <c r="D2626" s="139" t="s">
        <v>6279</v>
      </c>
    </row>
    <row r="2627" spans="1:4" x14ac:dyDescent="0.25">
      <c r="A2627" s="139" t="s">
        <v>6280</v>
      </c>
      <c r="B2627" s="139" t="s">
        <v>6278</v>
      </c>
      <c r="C2627" s="139" t="s">
        <v>33</v>
      </c>
      <c r="D2627" s="139" t="s">
        <v>6281</v>
      </c>
    </row>
    <row r="2628" spans="1:4" x14ac:dyDescent="0.25">
      <c r="A2628" s="139" t="s">
        <v>6282</v>
      </c>
      <c r="B2628" s="139" t="s">
        <v>5792</v>
      </c>
      <c r="C2628" s="139" t="s">
        <v>65</v>
      </c>
      <c r="D2628" s="139" t="s">
        <v>6283</v>
      </c>
    </row>
    <row r="2629" spans="1:4" x14ac:dyDescent="0.25">
      <c r="A2629" s="139" t="s">
        <v>6284</v>
      </c>
      <c r="B2629" s="139" t="s">
        <v>5792</v>
      </c>
      <c r="C2629" s="139" t="s">
        <v>65</v>
      </c>
      <c r="D2629" s="139" t="s">
        <v>6285</v>
      </c>
    </row>
    <row r="2630" spans="1:4" x14ac:dyDescent="0.25">
      <c r="A2630" s="139" t="s">
        <v>6286</v>
      </c>
      <c r="B2630" s="139" t="s">
        <v>3371</v>
      </c>
      <c r="C2630" s="139" t="s">
        <v>33</v>
      </c>
      <c r="D2630" s="139" t="s">
        <v>6287</v>
      </c>
    </row>
    <row r="2631" spans="1:4" x14ac:dyDescent="0.25">
      <c r="A2631" s="139" t="s">
        <v>6288</v>
      </c>
      <c r="B2631" s="139" t="s">
        <v>3371</v>
      </c>
      <c r="C2631" s="139" t="s">
        <v>33</v>
      </c>
      <c r="D2631" s="139" t="s">
        <v>6289</v>
      </c>
    </row>
    <row r="2632" spans="1:4" x14ac:dyDescent="0.25">
      <c r="A2632" s="139" t="s">
        <v>6290</v>
      </c>
      <c r="B2632" s="139" t="s">
        <v>1444</v>
      </c>
      <c r="C2632" s="139" t="s">
        <v>65</v>
      </c>
      <c r="D2632" s="139" t="s">
        <v>6291</v>
      </c>
    </row>
    <row r="2633" spans="1:4" x14ac:dyDescent="0.25">
      <c r="A2633" s="139" t="s">
        <v>6292</v>
      </c>
      <c r="B2633" s="139" t="s">
        <v>1444</v>
      </c>
      <c r="C2633" s="139" t="s">
        <v>65</v>
      </c>
      <c r="D2633" s="139" t="s">
        <v>6293</v>
      </c>
    </row>
    <row r="2634" spans="1:4" x14ac:dyDescent="0.25">
      <c r="A2634" s="139" t="s">
        <v>6294</v>
      </c>
      <c r="B2634" s="139" t="s">
        <v>147</v>
      </c>
      <c r="C2634" s="139" t="s">
        <v>44</v>
      </c>
      <c r="D2634" s="139" t="s">
        <v>6295</v>
      </c>
    </row>
    <row r="2635" spans="1:4" x14ac:dyDescent="0.25">
      <c r="A2635" s="139" t="s">
        <v>6296</v>
      </c>
      <c r="B2635" s="139" t="s">
        <v>2393</v>
      </c>
      <c r="C2635" s="139" t="s">
        <v>44</v>
      </c>
      <c r="D2635" s="139" t="s">
        <v>6297</v>
      </c>
    </row>
    <row r="2636" spans="1:4" x14ac:dyDescent="0.25">
      <c r="A2636" s="139" t="s">
        <v>6298</v>
      </c>
      <c r="B2636" s="139" t="s">
        <v>374</v>
      </c>
      <c r="C2636" s="139" t="s">
        <v>33</v>
      </c>
      <c r="D2636" s="139" t="s">
        <v>6299</v>
      </c>
    </row>
    <row r="2637" spans="1:4" x14ac:dyDescent="0.25">
      <c r="A2637" s="139" t="s">
        <v>6300</v>
      </c>
      <c r="B2637" s="139" t="s">
        <v>220</v>
      </c>
      <c r="C2637" s="139" t="s">
        <v>33</v>
      </c>
      <c r="D2637" s="139" t="s">
        <v>6301</v>
      </c>
    </row>
    <row r="2638" spans="1:4" x14ac:dyDescent="0.25">
      <c r="A2638" s="139" t="s">
        <v>6302</v>
      </c>
      <c r="B2638" s="139" t="s">
        <v>422</v>
      </c>
      <c r="C2638" s="139" t="s">
        <v>33</v>
      </c>
      <c r="D2638" s="139" t="s">
        <v>6303</v>
      </c>
    </row>
    <row r="2639" spans="1:4" x14ac:dyDescent="0.25">
      <c r="A2639" s="139" t="s">
        <v>6304</v>
      </c>
      <c r="B2639" s="139" t="s">
        <v>147</v>
      </c>
      <c r="C2639" s="139" t="s">
        <v>44</v>
      </c>
      <c r="D2639" s="139" t="s">
        <v>6305</v>
      </c>
    </row>
    <row r="2640" spans="1:4" x14ac:dyDescent="0.25">
      <c r="A2640" s="139" t="s">
        <v>6306</v>
      </c>
      <c r="B2640" s="139" t="s">
        <v>2393</v>
      </c>
      <c r="C2640" s="139" t="s">
        <v>44</v>
      </c>
      <c r="D2640" s="139" t="s">
        <v>6307</v>
      </c>
    </row>
    <row r="2641" spans="1:4" x14ac:dyDescent="0.25">
      <c r="A2641" s="139" t="s">
        <v>6308</v>
      </c>
      <c r="B2641" s="139" t="s">
        <v>374</v>
      </c>
      <c r="C2641" s="139" t="s">
        <v>33</v>
      </c>
      <c r="D2641" s="139" t="s">
        <v>6309</v>
      </c>
    </row>
    <row r="2642" spans="1:4" x14ac:dyDescent="0.25">
      <c r="A2642" s="139" t="s">
        <v>6310</v>
      </c>
      <c r="B2642" s="139" t="s">
        <v>220</v>
      </c>
      <c r="C2642" s="139" t="s">
        <v>33</v>
      </c>
      <c r="D2642" s="139" t="s">
        <v>6311</v>
      </c>
    </row>
    <row r="2643" spans="1:4" x14ac:dyDescent="0.25">
      <c r="A2643" s="139" t="s">
        <v>6312</v>
      </c>
      <c r="B2643" s="139" t="s">
        <v>422</v>
      </c>
      <c r="C2643" s="139" t="s">
        <v>33</v>
      </c>
      <c r="D2643" s="139" t="s">
        <v>6313</v>
      </c>
    </row>
    <row r="2644" spans="1:4" x14ac:dyDescent="0.25">
      <c r="A2644" s="139" t="s">
        <v>6314</v>
      </c>
      <c r="B2644" s="139" t="s">
        <v>6315</v>
      </c>
      <c r="C2644" s="139" t="s">
        <v>33</v>
      </c>
      <c r="D2644" s="139" t="s">
        <v>6316</v>
      </c>
    </row>
    <row r="2645" spans="1:4" x14ac:dyDescent="0.25">
      <c r="A2645" s="139" t="s">
        <v>6317</v>
      </c>
      <c r="B2645" s="139" t="s">
        <v>6315</v>
      </c>
      <c r="C2645" s="139" t="s">
        <v>33</v>
      </c>
      <c r="D2645" s="139" t="s">
        <v>6318</v>
      </c>
    </row>
    <row r="2646" spans="1:4" x14ac:dyDescent="0.25">
      <c r="A2646" s="139" t="s">
        <v>6319</v>
      </c>
      <c r="B2646" s="139" t="s">
        <v>716</v>
      </c>
      <c r="C2646" s="139" t="s">
        <v>33</v>
      </c>
      <c r="D2646" s="139" t="s">
        <v>6320</v>
      </c>
    </row>
    <row r="2647" spans="1:4" x14ac:dyDescent="0.25">
      <c r="A2647" s="139" t="s">
        <v>6321</v>
      </c>
      <c r="B2647" s="139" t="s">
        <v>716</v>
      </c>
      <c r="C2647" s="139" t="s">
        <v>33</v>
      </c>
      <c r="D2647" s="139" t="s">
        <v>6322</v>
      </c>
    </row>
    <row r="2648" spans="1:4" x14ac:dyDescent="0.25">
      <c r="A2648" s="139" t="s">
        <v>6323</v>
      </c>
      <c r="B2648" s="139" t="s">
        <v>725</v>
      </c>
      <c r="C2648" s="139" t="s">
        <v>33</v>
      </c>
      <c r="D2648" s="139" t="s">
        <v>6324</v>
      </c>
    </row>
    <row r="2649" spans="1:4" x14ac:dyDescent="0.25">
      <c r="A2649" s="139" t="s">
        <v>6325</v>
      </c>
      <c r="B2649" s="139" t="s">
        <v>725</v>
      </c>
      <c r="C2649" s="139" t="s">
        <v>33</v>
      </c>
      <c r="D2649" s="139" t="s">
        <v>6326</v>
      </c>
    </row>
    <row r="2650" spans="1:4" x14ac:dyDescent="0.25">
      <c r="A2650" s="139" t="s">
        <v>6327</v>
      </c>
      <c r="B2650" s="139" t="s">
        <v>6328</v>
      </c>
      <c r="C2650" s="139" t="s">
        <v>33</v>
      </c>
      <c r="D2650" s="139" t="s">
        <v>6329</v>
      </c>
    </row>
    <row r="2651" spans="1:4" x14ac:dyDescent="0.25">
      <c r="A2651" s="139" t="s">
        <v>6330</v>
      </c>
      <c r="B2651" s="139" t="s">
        <v>6328</v>
      </c>
      <c r="C2651" s="139" t="s">
        <v>33</v>
      </c>
      <c r="D2651" s="139" t="s">
        <v>6331</v>
      </c>
    </row>
    <row r="2652" spans="1:4" x14ac:dyDescent="0.25">
      <c r="A2652" s="139" t="s">
        <v>6332</v>
      </c>
      <c r="B2652" s="139" t="s">
        <v>6333</v>
      </c>
      <c r="C2652" s="139" t="s">
        <v>33</v>
      </c>
      <c r="D2652" s="139" t="s">
        <v>6334</v>
      </c>
    </row>
    <row r="2653" spans="1:4" x14ac:dyDescent="0.25">
      <c r="A2653" s="139" t="s">
        <v>6335</v>
      </c>
      <c r="B2653" s="139" t="s">
        <v>6333</v>
      </c>
      <c r="C2653" s="139" t="s">
        <v>33</v>
      </c>
      <c r="D2653" s="139" t="s">
        <v>6336</v>
      </c>
    </row>
    <row r="2654" spans="1:4" x14ac:dyDescent="0.25">
      <c r="A2654" s="139" t="s">
        <v>6337</v>
      </c>
      <c r="B2654" s="139" t="s">
        <v>6338</v>
      </c>
      <c r="C2654" s="139" t="s">
        <v>33</v>
      </c>
      <c r="D2654" s="139" t="s">
        <v>6339</v>
      </c>
    </row>
    <row r="2655" spans="1:4" x14ac:dyDescent="0.25">
      <c r="A2655" s="139" t="s">
        <v>6340</v>
      </c>
      <c r="B2655" s="139" t="s">
        <v>6338</v>
      </c>
      <c r="C2655" s="139" t="s">
        <v>33</v>
      </c>
      <c r="D2655" s="139" t="s">
        <v>6341</v>
      </c>
    </row>
    <row r="2656" spans="1:4" x14ac:dyDescent="0.25">
      <c r="A2656" s="139" t="s">
        <v>6342</v>
      </c>
      <c r="B2656" s="139" t="s">
        <v>2331</v>
      </c>
      <c r="C2656" s="139" t="s">
        <v>65</v>
      </c>
      <c r="D2656" s="139" t="s">
        <v>6343</v>
      </c>
    </row>
    <row r="2657" spans="1:4" x14ac:dyDescent="0.25">
      <c r="A2657" s="139" t="s">
        <v>6344</v>
      </c>
      <c r="B2657" s="139" t="s">
        <v>2331</v>
      </c>
      <c r="C2657" s="139" t="s">
        <v>65</v>
      </c>
      <c r="D2657" s="139" t="s">
        <v>6345</v>
      </c>
    </row>
    <row r="2658" spans="1:4" x14ac:dyDescent="0.25">
      <c r="A2658" s="139" t="s">
        <v>6346</v>
      </c>
      <c r="B2658" s="139" t="s">
        <v>6347</v>
      </c>
      <c r="C2658" s="139" t="s">
        <v>65</v>
      </c>
      <c r="D2658" s="139" t="s">
        <v>6348</v>
      </c>
    </row>
    <row r="2659" spans="1:4" x14ac:dyDescent="0.25">
      <c r="A2659" s="139" t="s">
        <v>6349</v>
      </c>
      <c r="B2659" s="139" t="s">
        <v>6347</v>
      </c>
      <c r="C2659" s="139" t="s">
        <v>65</v>
      </c>
      <c r="D2659" s="139" t="s">
        <v>6350</v>
      </c>
    </row>
    <row r="2660" spans="1:4" x14ac:dyDescent="0.25">
      <c r="A2660" s="139" t="s">
        <v>6351</v>
      </c>
      <c r="B2660" s="139" t="s">
        <v>6352</v>
      </c>
      <c r="C2660" s="139" t="s">
        <v>65</v>
      </c>
      <c r="D2660" s="139" t="s">
        <v>6353</v>
      </c>
    </row>
    <row r="2661" spans="1:4" x14ac:dyDescent="0.25">
      <c r="A2661" s="139" t="s">
        <v>6354</v>
      </c>
      <c r="B2661" s="139" t="s">
        <v>6352</v>
      </c>
      <c r="C2661" s="139" t="s">
        <v>65</v>
      </c>
      <c r="D2661" s="139" t="s">
        <v>6355</v>
      </c>
    </row>
    <row r="2662" spans="1:4" x14ac:dyDescent="0.25">
      <c r="A2662" s="139" t="s">
        <v>6356</v>
      </c>
      <c r="B2662" s="139" t="s">
        <v>6357</v>
      </c>
      <c r="C2662" s="139" t="s">
        <v>65</v>
      </c>
      <c r="D2662" s="139" t="s">
        <v>6358</v>
      </c>
    </row>
    <row r="2663" spans="1:4" x14ac:dyDescent="0.25">
      <c r="A2663" s="139" t="s">
        <v>6359</v>
      </c>
      <c r="B2663" s="139" t="s">
        <v>6357</v>
      </c>
      <c r="C2663" s="139" t="s">
        <v>65</v>
      </c>
      <c r="D2663" s="139" t="s">
        <v>6360</v>
      </c>
    </row>
    <row r="2664" spans="1:4" x14ac:dyDescent="0.25">
      <c r="A2664" s="139" t="s">
        <v>6361</v>
      </c>
      <c r="B2664" s="139" t="s">
        <v>6362</v>
      </c>
      <c r="C2664" s="139" t="s">
        <v>65</v>
      </c>
      <c r="D2664" s="139" t="s">
        <v>6363</v>
      </c>
    </row>
    <row r="2665" spans="1:4" x14ac:dyDescent="0.25">
      <c r="A2665" s="139" t="s">
        <v>6364</v>
      </c>
      <c r="B2665" s="139" t="s">
        <v>6362</v>
      </c>
      <c r="C2665" s="139" t="s">
        <v>65</v>
      </c>
      <c r="D2665" s="139" t="s">
        <v>6365</v>
      </c>
    </row>
    <row r="2666" spans="1:4" x14ac:dyDescent="0.25">
      <c r="A2666" s="139" t="s">
        <v>6366</v>
      </c>
      <c r="B2666" s="139" t="s">
        <v>6367</v>
      </c>
      <c r="C2666" s="139" t="s">
        <v>65</v>
      </c>
      <c r="D2666" s="139" t="s">
        <v>6368</v>
      </c>
    </row>
    <row r="2667" spans="1:4" x14ac:dyDescent="0.25">
      <c r="A2667" s="139" t="s">
        <v>6369</v>
      </c>
      <c r="B2667" s="139" t="s">
        <v>6367</v>
      </c>
      <c r="C2667" s="139" t="s">
        <v>65</v>
      </c>
      <c r="D2667" s="139" t="s">
        <v>6370</v>
      </c>
    </row>
    <row r="2668" spans="1:4" x14ac:dyDescent="0.25">
      <c r="A2668" s="139" t="s">
        <v>6371</v>
      </c>
      <c r="B2668" s="139" t="s">
        <v>6372</v>
      </c>
      <c r="C2668" s="139" t="s">
        <v>65</v>
      </c>
      <c r="D2668" s="139" t="s">
        <v>6373</v>
      </c>
    </row>
    <row r="2669" spans="1:4" x14ac:dyDescent="0.25">
      <c r="A2669" s="139" t="s">
        <v>6374</v>
      </c>
      <c r="B2669" s="139" t="s">
        <v>6372</v>
      </c>
      <c r="C2669" s="139" t="s">
        <v>65</v>
      </c>
      <c r="D2669" s="139" t="s">
        <v>6375</v>
      </c>
    </row>
    <row r="2670" spans="1:4" x14ac:dyDescent="0.25">
      <c r="A2670" s="139" t="s">
        <v>6376</v>
      </c>
      <c r="B2670" s="139" t="s">
        <v>628</v>
      </c>
      <c r="C2670" s="139" t="s">
        <v>65</v>
      </c>
      <c r="D2670" s="139" t="s">
        <v>6377</v>
      </c>
    </row>
    <row r="2671" spans="1:4" x14ac:dyDescent="0.25">
      <c r="A2671" s="139" t="s">
        <v>6378</v>
      </c>
      <c r="B2671" s="139" t="s">
        <v>628</v>
      </c>
      <c r="C2671" s="139" t="s">
        <v>65</v>
      </c>
      <c r="D2671" s="139" t="s">
        <v>6379</v>
      </c>
    </row>
    <row r="2672" spans="1:4" x14ac:dyDescent="0.25">
      <c r="A2672" s="139" t="s">
        <v>6380</v>
      </c>
      <c r="B2672" s="139" t="s">
        <v>6381</v>
      </c>
      <c r="C2672" s="139" t="s">
        <v>65</v>
      </c>
      <c r="D2672" s="139" t="s">
        <v>6382</v>
      </c>
    </row>
    <row r="2673" spans="1:4" x14ac:dyDescent="0.25">
      <c r="A2673" s="139" t="s">
        <v>6383</v>
      </c>
      <c r="B2673" s="139" t="s">
        <v>6381</v>
      </c>
      <c r="C2673" s="139" t="s">
        <v>65</v>
      </c>
      <c r="D2673" s="139" t="s">
        <v>6384</v>
      </c>
    </row>
    <row r="2674" spans="1:4" x14ac:dyDescent="0.25">
      <c r="A2674" s="139" t="s">
        <v>6385</v>
      </c>
      <c r="B2674" s="139" t="s">
        <v>6386</v>
      </c>
      <c r="C2674" s="139" t="s">
        <v>65</v>
      </c>
      <c r="D2674" s="139" t="s">
        <v>6387</v>
      </c>
    </row>
    <row r="2675" spans="1:4" x14ac:dyDescent="0.25">
      <c r="A2675" s="139" t="s">
        <v>6388</v>
      </c>
      <c r="B2675" s="139" t="s">
        <v>6386</v>
      </c>
      <c r="C2675" s="139" t="s">
        <v>65</v>
      </c>
      <c r="D2675" s="139" t="s">
        <v>6389</v>
      </c>
    </row>
    <row r="2676" spans="1:4" x14ac:dyDescent="0.25">
      <c r="A2676" s="139" t="s">
        <v>6390</v>
      </c>
      <c r="B2676" s="139" t="s">
        <v>6391</v>
      </c>
      <c r="C2676" s="139" t="s">
        <v>316</v>
      </c>
      <c r="D2676" s="139" t="s">
        <v>6392</v>
      </c>
    </row>
    <row r="2677" spans="1:4" x14ac:dyDescent="0.25">
      <c r="A2677" s="139" t="s">
        <v>6393</v>
      </c>
      <c r="B2677" s="139" t="s">
        <v>6391</v>
      </c>
      <c r="C2677" s="139" t="s">
        <v>316</v>
      </c>
      <c r="D2677" s="139" t="s">
        <v>6394</v>
      </c>
    </row>
    <row r="2678" spans="1:4" x14ac:dyDescent="0.25">
      <c r="A2678" s="139" t="s">
        <v>6395</v>
      </c>
      <c r="B2678" s="139" t="s">
        <v>6396</v>
      </c>
      <c r="C2678" s="139" t="s">
        <v>316</v>
      </c>
      <c r="D2678" s="139" t="s">
        <v>6397</v>
      </c>
    </row>
    <row r="2679" spans="1:4" x14ac:dyDescent="0.25">
      <c r="A2679" s="139" t="s">
        <v>6398</v>
      </c>
      <c r="B2679" s="139" t="s">
        <v>6396</v>
      </c>
      <c r="C2679" s="139" t="s">
        <v>316</v>
      </c>
      <c r="D2679" s="139" t="s">
        <v>6399</v>
      </c>
    </row>
    <row r="2680" spans="1:4" x14ac:dyDescent="0.25">
      <c r="A2680" s="139" t="s">
        <v>6400</v>
      </c>
      <c r="B2680" s="139" t="s">
        <v>5528</v>
      </c>
      <c r="C2680" s="139" t="s">
        <v>316</v>
      </c>
      <c r="D2680" s="139" t="s">
        <v>6401</v>
      </c>
    </row>
    <row r="2681" spans="1:4" x14ac:dyDescent="0.25">
      <c r="A2681" s="139" t="s">
        <v>6402</v>
      </c>
      <c r="B2681" s="139" t="s">
        <v>5528</v>
      </c>
      <c r="C2681" s="139" t="s">
        <v>316</v>
      </c>
      <c r="D2681" s="139" t="s">
        <v>6403</v>
      </c>
    </row>
    <row r="2682" spans="1:4" x14ac:dyDescent="0.25">
      <c r="A2682" s="139" t="s">
        <v>6404</v>
      </c>
      <c r="B2682" s="139" t="s">
        <v>6396</v>
      </c>
      <c r="C2682" s="139" t="s">
        <v>2895</v>
      </c>
      <c r="D2682" s="139" t="s">
        <v>6405</v>
      </c>
    </row>
    <row r="2683" spans="1:4" x14ac:dyDescent="0.25">
      <c r="A2683" s="139" t="s">
        <v>6406</v>
      </c>
      <c r="B2683" s="139" t="s">
        <v>6396</v>
      </c>
      <c r="C2683" s="139" t="s">
        <v>2895</v>
      </c>
      <c r="D2683" s="139" t="s">
        <v>6407</v>
      </c>
    </row>
    <row r="2684" spans="1:4" x14ac:dyDescent="0.25">
      <c r="A2684" s="139" t="s">
        <v>6408</v>
      </c>
      <c r="B2684" s="139" t="s">
        <v>994</v>
      </c>
      <c r="C2684" s="139" t="s">
        <v>316</v>
      </c>
      <c r="D2684" s="139" t="s">
        <v>6409</v>
      </c>
    </row>
    <row r="2685" spans="1:4" x14ac:dyDescent="0.25">
      <c r="A2685" s="139" t="s">
        <v>6410</v>
      </c>
      <c r="B2685" s="139" t="s">
        <v>994</v>
      </c>
      <c r="C2685" s="139" t="s">
        <v>316</v>
      </c>
      <c r="D2685" s="139" t="s">
        <v>6411</v>
      </c>
    </row>
    <row r="2686" spans="1:4" x14ac:dyDescent="0.25">
      <c r="A2686" s="139" t="s">
        <v>6412</v>
      </c>
      <c r="B2686" s="139" t="s">
        <v>6413</v>
      </c>
      <c r="C2686" s="139" t="s">
        <v>316</v>
      </c>
      <c r="D2686" s="139" t="s">
        <v>6414</v>
      </c>
    </row>
    <row r="2687" spans="1:4" x14ac:dyDescent="0.25">
      <c r="A2687" s="139" t="s">
        <v>6415</v>
      </c>
      <c r="B2687" s="139" t="s">
        <v>6413</v>
      </c>
      <c r="C2687" s="139" t="s">
        <v>316</v>
      </c>
      <c r="D2687" s="139" t="s">
        <v>6416</v>
      </c>
    </row>
    <row r="2688" spans="1:4" x14ac:dyDescent="0.25">
      <c r="A2688" s="139" t="s">
        <v>6417</v>
      </c>
      <c r="B2688" s="139" t="s">
        <v>4039</v>
      </c>
      <c r="C2688" s="139" t="s">
        <v>2895</v>
      </c>
      <c r="D2688" s="139" t="s">
        <v>6418</v>
      </c>
    </row>
    <row r="2689" spans="1:4" x14ac:dyDescent="0.25">
      <c r="A2689" s="139" t="s">
        <v>6419</v>
      </c>
      <c r="B2689" s="139" t="s">
        <v>4039</v>
      </c>
      <c r="C2689" s="139" t="s">
        <v>2895</v>
      </c>
      <c r="D2689" s="139" t="s">
        <v>6420</v>
      </c>
    </row>
    <row r="2690" spans="1:4" x14ac:dyDescent="0.25">
      <c r="A2690" s="139" t="s">
        <v>6421</v>
      </c>
      <c r="B2690" s="139" t="s">
        <v>4139</v>
      </c>
      <c r="C2690" s="139" t="s">
        <v>2895</v>
      </c>
      <c r="D2690" s="139" t="s">
        <v>6422</v>
      </c>
    </row>
    <row r="2691" spans="1:4" x14ac:dyDescent="0.25">
      <c r="A2691" s="139" t="s">
        <v>6423</v>
      </c>
      <c r="B2691" s="139" t="s">
        <v>4139</v>
      </c>
      <c r="C2691" s="139" t="s">
        <v>2895</v>
      </c>
      <c r="D2691" s="139" t="s">
        <v>6424</v>
      </c>
    </row>
    <row r="2692" spans="1:4" x14ac:dyDescent="0.25">
      <c r="A2692" s="139" t="s">
        <v>6425</v>
      </c>
      <c r="B2692" s="139" t="s">
        <v>6413</v>
      </c>
      <c r="C2692" s="139" t="s">
        <v>65</v>
      </c>
      <c r="D2692" s="139" t="s">
        <v>6426</v>
      </c>
    </row>
    <row r="2693" spans="1:4" x14ac:dyDescent="0.25">
      <c r="A2693" s="139" t="s">
        <v>6427</v>
      </c>
      <c r="B2693" s="139" t="s">
        <v>6413</v>
      </c>
      <c r="C2693" s="139" t="s">
        <v>65</v>
      </c>
      <c r="D2693" s="139" t="s">
        <v>6428</v>
      </c>
    </row>
    <row r="2694" spans="1:4" x14ac:dyDescent="0.25">
      <c r="A2694" s="139" t="s">
        <v>6429</v>
      </c>
      <c r="B2694" s="139" t="s">
        <v>5169</v>
      </c>
      <c r="C2694" s="139" t="s">
        <v>127</v>
      </c>
      <c r="D2694" s="139" t="s">
        <v>6430</v>
      </c>
    </row>
    <row r="2695" spans="1:4" x14ac:dyDescent="0.25">
      <c r="A2695" s="139" t="s">
        <v>6431</v>
      </c>
      <c r="B2695" s="139" t="s">
        <v>5169</v>
      </c>
      <c r="C2695" s="139" t="s">
        <v>127</v>
      </c>
      <c r="D2695" s="139" t="s">
        <v>6432</v>
      </c>
    </row>
    <row r="2696" spans="1:4" x14ac:dyDescent="0.25">
      <c r="A2696" s="139" t="s">
        <v>6433</v>
      </c>
      <c r="B2696" s="139" t="s">
        <v>6434</v>
      </c>
      <c r="C2696" s="139" t="s">
        <v>127</v>
      </c>
      <c r="D2696" s="139" t="s">
        <v>6435</v>
      </c>
    </row>
    <row r="2697" spans="1:4" x14ac:dyDescent="0.25">
      <c r="A2697" s="139" t="s">
        <v>6436</v>
      </c>
      <c r="B2697" s="139" t="s">
        <v>6434</v>
      </c>
      <c r="C2697" s="139" t="s">
        <v>127</v>
      </c>
      <c r="D2697" s="139" t="s">
        <v>6437</v>
      </c>
    </row>
    <row r="2698" spans="1:4" x14ac:dyDescent="0.25">
      <c r="A2698" s="139" t="s">
        <v>6438</v>
      </c>
      <c r="B2698" s="139" t="s">
        <v>6439</v>
      </c>
      <c r="C2698" s="139" t="s">
        <v>112</v>
      </c>
      <c r="D2698" s="139" t="s">
        <v>6440</v>
      </c>
    </row>
    <row r="2699" spans="1:4" x14ac:dyDescent="0.25">
      <c r="A2699" s="139" t="s">
        <v>6441</v>
      </c>
      <c r="B2699" s="139" t="s">
        <v>6439</v>
      </c>
      <c r="C2699" s="139" t="s">
        <v>112</v>
      </c>
      <c r="D2699" s="139" t="s">
        <v>6442</v>
      </c>
    </row>
    <row r="2700" spans="1:4" x14ac:dyDescent="0.25">
      <c r="A2700" s="139" t="s">
        <v>6443</v>
      </c>
      <c r="B2700" s="139" t="s">
        <v>6444</v>
      </c>
      <c r="C2700" s="139" t="s">
        <v>112</v>
      </c>
      <c r="D2700" s="139" t="s">
        <v>6445</v>
      </c>
    </row>
    <row r="2701" spans="1:4" x14ac:dyDescent="0.25">
      <c r="A2701" s="139" t="s">
        <v>6446</v>
      </c>
      <c r="B2701" s="139" t="s">
        <v>6444</v>
      </c>
      <c r="C2701" s="139" t="s">
        <v>112</v>
      </c>
      <c r="D2701" s="139" t="s">
        <v>6447</v>
      </c>
    </row>
    <row r="2702" spans="1:4" x14ac:dyDescent="0.25">
      <c r="A2702" s="139" t="s">
        <v>6448</v>
      </c>
      <c r="B2702" s="139" t="s">
        <v>6449</v>
      </c>
      <c r="C2702" s="139" t="s">
        <v>123</v>
      </c>
      <c r="D2702" s="139" t="s">
        <v>6450</v>
      </c>
    </row>
    <row r="2703" spans="1:4" x14ac:dyDescent="0.25">
      <c r="A2703" s="139" t="s">
        <v>6451</v>
      </c>
      <c r="B2703" s="139" t="s">
        <v>6449</v>
      </c>
      <c r="C2703" s="139" t="s">
        <v>123</v>
      </c>
      <c r="D2703" s="139" t="s">
        <v>6452</v>
      </c>
    </row>
    <row r="2704" spans="1:4" x14ac:dyDescent="0.25">
      <c r="A2704" s="139" t="s">
        <v>6453</v>
      </c>
      <c r="B2704" s="139" t="s">
        <v>6454</v>
      </c>
      <c r="C2704" s="139" t="s">
        <v>123</v>
      </c>
      <c r="D2704" s="139" t="s">
        <v>6455</v>
      </c>
    </row>
    <row r="2705" spans="1:4" x14ac:dyDescent="0.25">
      <c r="A2705" s="139" t="s">
        <v>6456</v>
      </c>
      <c r="B2705" s="139" t="s">
        <v>6454</v>
      </c>
      <c r="C2705" s="139" t="s">
        <v>123</v>
      </c>
      <c r="D2705" s="139" t="s">
        <v>6457</v>
      </c>
    </row>
    <row r="2706" spans="1:4" x14ac:dyDescent="0.25">
      <c r="A2706" s="139" t="s">
        <v>6458</v>
      </c>
      <c r="B2706" s="139" t="s">
        <v>6459</v>
      </c>
      <c r="C2706" s="139" t="s">
        <v>123</v>
      </c>
      <c r="D2706" s="139" t="s">
        <v>6460</v>
      </c>
    </row>
    <row r="2707" spans="1:4" x14ac:dyDescent="0.25">
      <c r="A2707" s="139" t="s">
        <v>6461</v>
      </c>
      <c r="B2707" s="139" t="s">
        <v>6459</v>
      </c>
      <c r="C2707" s="139" t="s">
        <v>123</v>
      </c>
      <c r="D2707" s="139" t="s">
        <v>6462</v>
      </c>
    </row>
    <row r="2708" spans="1:4" x14ac:dyDescent="0.25">
      <c r="A2708" s="139" t="s">
        <v>6463</v>
      </c>
      <c r="B2708" s="139" t="s">
        <v>6464</v>
      </c>
      <c r="C2708" s="139" t="s">
        <v>123</v>
      </c>
      <c r="D2708" s="139" t="s">
        <v>6465</v>
      </c>
    </row>
    <row r="2709" spans="1:4" x14ac:dyDescent="0.25">
      <c r="A2709" s="139" t="s">
        <v>6466</v>
      </c>
      <c r="B2709" s="139" t="s">
        <v>6464</v>
      </c>
      <c r="C2709" s="139" t="s">
        <v>123</v>
      </c>
      <c r="D2709" s="139" t="s">
        <v>6467</v>
      </c>
    </row>
    <row r="2710" spans="1:4" x14ac:dyDescent="0.25">
      <c r="A2710" s="139" t="s">
        <v>6468</v>
      </c>
      <c r="B2710" s="139" t="s">
        <v>6469</v>
      </c>
      <c r="C2710" s="139" t="s">
        <v>123</v>
      </c>
      <c r="D2710" s="139" t="s">
        <v>6470</v>
      </c>
    </row>
    <row r="2711" spans="1:4" x14ac:dyDescent="0.25">
      <c r="A2711" s="139" t="s">
        <v>6471</v>
      </c>
      <c r="B2711" s="139" t="s">
        <v>6469</v>
      </c>
      <c r="C2711" s="139" t="s">
        <v>123</v>
      </c>
      <c r="D2711" s="139" t="s">
        <v>6472</v>
      </c>
    </row>
    <row r="2712" spans="1:4" x14ac:dyDescent="0.25">
      <c r="A2712" s="139" t="s">
        <v>6473</v>
      </c>
      <c r="B2712" s="139" t="s">
        <v>6474</v>
      </c>
      <c r="C2712" s="139" t="s">
        <v>123</v>
      </c>
      <c r="D2712" s="139" t="s">
        <v>6475</v>
      </c>
    </row>
    <row r="2713" spans="1:4" x14ac:dyDescent="0.25">
      <c r="A2713" s="139" t="s">
        <v>6476</v>
      </c>
      <c r="B2713" s="139" t="s">
        <v>6474</v>
      </c>
      <c r="C2713" s="139" t="s">
        <v>123</v>
      </c>
      <c r="D2713" s="139" t="s">
        <v>6477</v>
      </c>
    </row>
    <row r="2714" spans="1:4" x14ac:dyDescent="0.25">
      <c r="A2714" s="139" t="s">
        <v>6478</v>
      </c>
      <c r="B2714" s="139" t="s">
        <v>6479</v>
      </c>
      <c r="C2714" s="139" t="s">
        <v>123</v>
      </c>
      <c r="D2714" s="139" t="s">
        <v>6480</v>
      </c>
    </row>
    <row r="2715" spans="1:4" x14ac:dyDescent="0.25">
      <c r="A2715" s="139" t="s">
        <v>6481</v>
      </c>
      <c r="B2715" s="139" t="s">
        <v>6479</v>
      </c>
      <c r="C2715" s="139" t="s">
        <v>123</v>
      </c>
      <c r="D2715" s="139" t="s">
        <v>6482</v>
      </c>
    </row>
    <row r="2716" spans="1:4" x14ac:dyDescent="0.25">
      <c r="A2716" s="139" t="s">
        <v>6483</v>
      </c>
      <c r="B2716" s="139" t="s">
        <v>6484</v>
      </c>
      <c r="C2716" s="139" t="s">
        <v>123</v>
      </c>
      <c r="D2716" s="139" t="s">
        <v>6485</v>
      </c>
    </row>
    <row r="2717" spans="1:4" x14ac:dyDescent="0.25">
      <c r="A2717" s="139" t="s">
        <v>6486</v>
      </c>
      <c r="B2717" s="139" t="s">
        <v>6484</v>
      </c>
      <c r="C2717" s="139" t="s">
        <v>123</v>
      </c>
      <c r="D2717" s="139" t="s">
        <v>6487</v>
      </c>
    </row>
    <row r="2718" spans="1:4" x14ac:dyDescent="0.25">
      <c r="A2718" s="139" t="s">
        <v>6488</v>
      </c>
      <c r="B2718" s="139" t="s">
        <v>6489</v>
      </c>
      <c r="C2718" s="139" t="s">
        <v>33</v>
      </c>
      <c r="D2718" s="139" t="s">
        <v>6490</v>
      </c>
    </row>
    <row r="2719" spans="1:4" x14ac:dyDescent="0.25">
      <c r="A2719" s="139" t="s">
        <v>6491</v>
      </c>
      <c r="B2719" s="139" t="s">
        <v>6489</v>
      </c>
      <c r="C2719" s="139" t="s">
        <v>33</v>
      </c>
      <c r="D2719" s="139" t="s">
        <v>6492</v>
      </c>
    </row>
    <row r="2720" spans="1:4" x14ac:dyDescent="0.25">
      <c r="A2720" s="139" t="s">
        <v>6493</v>
      </c>
      <c r="B2720" s="139" t="s">
        <v>6494</v>
      </c>
      <c r="C2720" s="139" t="s">
        <v>33</v>
      </c>
      <c r="D2720" s="139" t="s">
        <v>6495</v>
      </c>
    </row>
    <row r="2721" spans="1:4" x14ac:dyDescent="0.25">
      <c r="A2721" s="139" t="s">
        <v>6496</v>
      </c>
      <c r="B2721" s="139" t="s">
        <v>6494</v>
      </c>
      <c r="C2721" s="139" t="s">
        <v>33</v>
      </c>
      <c r="D2721" s="139" t="s">
        <v>6497</v>
      </c>
    </row>
    <row r="2722" spans="1:4" x14ac:dyDescent="0.25">
      <c r="A2722" s="139" t="s">
        <v>6498</v>
      </c>
      <c r="B2722" s="139" t="s">
        <v>6499</v>
      </c>
      <c r="C2722" s="139" t="s">
        <v>33</v>
      </c>
      <c r="D2722" s="139" t="s">
        <v>6500</v>
      </c>
    </row>
    <row r="2723" spans="1:4" x14ac:dyDescent="0.25">
      <c r="A2723" s="139" t="s">
        <v>6501</v>
      </c>
      <c r="B2723" s="139" t="s">
        <v>6499</v>
      </c>
      <c r="C2723" s="139" t="s">
        <v>33</v>
      </c>
      <c r="D2723" s="139" t="s">
        <v>6502</v>
      </c>
    </row>
    <row r="2724" spans="1:4" x14ac:dyDescent="0.25">
      <c r="A2724" s="139" t="s">
        <v>6503</v>
      </c>
      <c r="B2724" s="139" t="s">
        <v>6504</v>
      </c>
      <c r="C2724" s="139" t="s">
        <v>33</v>
      </c>
      <c r="D2724" s="139" t="s">
        <v>6505</v>
      </c>
    </row>
    <row r="2725" spans="1:4" x14ac:dyDescent="0.25">
      <c r="A2725" s="139" t="s">
        <v>6506</v>
      </c>
      <c r="B2725" s="139" t="s">
        <v>6504</v>
      </c>
      <c r="C2725" s="139" t="s">
        <v>33</v>
      </c>
      <c r="D2725" s="139" t="s">
        <v>6507</v>
      </c>
    </row>
    <row r="2726" spans="1:4" x14ac:dyDescent="0.25">
      <c r="A2726" s="139" t="s">
        <v>6508</v>
      </c>
      <c r="B2726" s="139" t="s">
        <v>6509</v>
      </c>
      <c r="C2726" s="139" t="s">
        <v>33</v>
      </c>
      <c r="D2726" s="139" t="s">
        <v>6510</v>
      </c>
    </row>
    <row r="2727" spans="1:4" x14ac:dyDescent="0.25">
      <c r="A2727" s="139" t="s">
        <v>6511</v>
      </c>
      <c r="B2727" s="139" t="s">
        <v>6509</v>
      </c>
      <c r="C2727" s="139" t="s">
        <v>33</v>
      </c>
      <c r="D2727" s="139" t="s">
        <v>6512</v>
      </c>
    </row>
    <row r="2728" spans="1:4" x14ac:dyDescent="0.25">
      <c r="A2728" s="139" t="s">
        <v>6513</v>
      </c>
      <c r="B2728" s="139" t="s">
        <v>6514</v>
      </c>
      <c r="C2728" s="139" t="s">
        <v>33</v>
      </c>
      <c r="D2728" s="139" t="s">
        <v>6515</v>
      </c>
    </row>
    <row r="2729" spans="1:4" x14ac:dyDescent="0.25">
      <c r="A2729" s="139" t="s">
        <v>6516</v>
      </c>
      <c r="B2729" s="139" t="s">
        <v>6514</v>
      </c>
      <c r="C2729" s="139" t="s">
        <v>33</v>
      </c>
      <c r="D2729" s="139" t="s">
        <v>6517</v>
      </c>
    </row>
    <row r="2730" spans="1:4" x14ac:dyDescent="0.25">
      <c r="A2730" s="139" t="s">
        <v>6518</v>
      </c>
      <c r="B2730" s="139" t="s">
        <v>6519</v>
      </c>
      <c r="C2730" s="139" t="s">
        <v>33</v>
      </c>
      <c r="D2730" s="139" t="s">
        <v>6520</v>
      </c>
    </row>
    <row r="2731" spans="1:4" x14ac:dyDescent="0.25">
      <c r="A2731" s="139" t="s">
        <v>6521</v>
      </c>
      <c r="B2731" s="139" t="s">
        <v>6519</v>
      </c>
      <c r="C2731" s="139" t="s">
        <v>33</v>
      </c>
      <c r="D2731" s="139" t="s">
        <v>6522</v>
      </c>
    </row>
    <row r="2732" spans="1:4" x14ac:dyDescent="0.25">
      <c r="A2732" s="139" t="s">
        <v>6523</v>
      </c>
      <c r="B2732" s="139" t="s">
        <v>6524</v>
      </c>
      <c r="C2732" s="139" t="s">
        <v>33</v>
      </c>
      <c r="D2732" s="139" t="s">
        <v>6525</v>
      </c>
    </row>
    <row r="2733" spans="1:4" x14ac:dyDescent="0.25">
      <c r="A2733" s="139" t="s">
        <v>6526</v>
      </c>
      <c r="B2733" s="139" t="s">
        <v>6524</v>
      </c>
      <c r="C2733" s="139" t="s">
        <v>33</v>
      </c>
      <c r="D2733" s="139" t="s">
        <v>6527</v>
      </c>
    </row>
    <row r="2734" spans="1:4" x14ac:dyDescent="0.25">
      <c r="A2734" s="139" t="s">
        <v>6528</v>
      </c>
      <c r="B2734" s="139" t="s">
        <v>6529</v>
      </c>
      <c r="C2734" s="139" t="s">
        <v>33</v>
      </c>
      <c r="D2734" s="139" t="s">
        <v>6530</v>
      </c>
    </row>
    <row r="2735" spans="1:4" x14ac:dyDescent="0.25">
      <c r="A2735" s="139" t="s">
        <v>6531</v>
      </c>
      <c r="B2735" s="139" t="s">
        <v>6529</v>
      </c>
      <c r="C2735" s="139" t="s">
        <v>33</v>
      </c>
      <c r="D2735" s="139" t="s">
        <v>6532</v>
      </c>
    </row>
    <row r="2736" spans="1:4" x14ac:dyDescent="0.25">
      <c r="A2736" s="139" t="s">
        <v>6533</v>
      </c>
      <c r="B2736" s="139" t="s">
        <v>6534</v>
      </c>
      <c r="C2736" s="139" t="s">
        <v>33</v>
      </c>
      <c r="D2736" s="139" t="s">
        <v>6535</v>
      </c>
    </row>
    <row r="2737" spans="1:4" x14ac:dyDescent="0.25">
      <c r="A2737" s="139" t="s">
        <v>6536</v>
      </c>
      <c r="B2737" s="139" t="s">
        <v>6534</v>
      </c>
      <c r="C2737" s="139" t="s">
        <v>33</v>
      </c>
      <c r="D2737" s="139" t="s">
        <v>6537</v>
      </c>
    </row>
    <row r="2738" spans="1:4" x14ac:dyDescent="0.25">
      <c r="A2738" s="139" t="s">
        <v>6538</v>
      </c>
      <c r="B2738" s="139" t="s">
        <v>6539</v>
      </c>
      <c r="C2738" s="139" t="s">
        <v>33</v>
      </c>
      <c r="D2738" s="139" t="s">
        <v>6540</v>
      </c>
    </row>
    <row r="2739" spans="1:4" x14ac:dyDescent="0.25">
      <c r="A2739" s="139" t="s">
        <v>6541</v>
      </c>
      <c r="B2739" s="139" t="s">
        <v>6539</v>
      </c>
      <c r="C2739" s="139" t="s">
        <v>33</v>
      </c>
      <c r="D2739" s="139" t="s">
        <v>6542</v>
      </c>
    </row>
    <row r="2740" spans="1:4" x14ac:dyDescent="0.25">
      <c r="A2740" s="139" t="s">
        <v>6543</v>
      </c>
      <c r="B2740" s="139" t="s">
        <v>5783</v>
      </c>
      <c r="C2740" s="139" t="s">
        <v>6544</v>
      </c>
      <c r="D2740" s="139" t="s">
        <v>6545</v>
      </c>
    </row>
    <row r="2741" spans="1:4" x14ac:dyDescent="0.25">
      <c r="A2741" s="139" t="s">
        <v>6546</v>
      </c>
      <c r="B2741" s="139" t="s">
        <v>5783</v>
      </c>
      <c r="C2741" s="139" t="s">
        <v>6544</v>
      </c>
      <c r="D2741" s="139" t="s">
        <v>6547</v>
      </c>
    </row>
    <row r="2742" spans="1:4" x14ac:dyDescent="0.25">
      <c r="A2742" s="139" t="s">
        <v>6548</v>
      </c>
      <c r="B2742" s="139" t="s">
        <v>5613</v>
      </c>
      <c r="C2742" s="139" t="s">
        <v>6544</v>
      </c>
      <c r="D2742" s="139" t="s">
        <v>6549</v>
      </c>
    </row>
    <row r="2743" spans="1:4" x14ac:dyDescent="0.25">
      <c r="A2743" s="139" t="s">
        <v>6550</v>
      </c>
      <c r="B2743" s="139" t="s">
        <v>5613</v>
      </c>
      <c r="C2743" s="139" t="s">
        <v>6544</v>
      </c>
      <c r="D2743" s="139" t="s">
        <v>6551</v>
      </c>
    </row>
    <row r="2744" spans="1:4" x14ac:dyDescent="0.25">
      <c r="A2744" s="139" t="s">
        <v>6552</v>
      </c>
      <c r="B2744" s="139" t="s">
        <v>885</v>
      </c>
      <c r="C2744" s="139" t="s">
        <v>6544</v>
      </c>
      <c r="D2744" s="139" t="s">
        <v>6553</v>
      </c>
    </row>
    <row r="2745" spans="1:4" x14ac:dyDescent="0.25">
      <c r="A2745" s="139" t="s">
        <v>6554</v>
      </c>
      <c r="B2745" s="139" t="s">
        <v>885</v>
      </c>
      <c r="C2745" s="139" t="s">
        <v>6544</v>
      </c>
      <c r="D2745" s="139" t="s">
        <v>6555</v>
      </c>
    </row>
    <row r="2746" spans="1:4" x14ac:dyDescent="0.25">
      <c r="A2746" s="139" t="s">
        <v>6556</v>
      </c>
      <c r="B2746" s="139" t="s">
        <v>1598</v>
      </c>
      <c r="C2746" s="139" t="s">
        <v>6544</v>
      </c>
      <c r="D2746" s="139" t="s">
        <v>6557</v>
      </c>
    </row>
    <row r="2747" spans="1:4" x14ac:dyDescent="0.25">
      <c r="A2747" s="139" t="s">
        <v>6558</v>
      </c>
      <c r="B2747" s="139" t="s">
        <v>1598</v>
      </c>
      <c r="C2747" s="139" t="s">
        <v>6544</v>
      </c>
      <c r="D2747" s="139" t="s">
        <v>6559</v>
      </c>
    </row>
    <row r="2748" spans="1:4" x14ac:dyDescent="0.25">
      <c r="A2748" s="139" t="s">
        <v>6560</v>
      </c>
      <c r="B2748" s="139" t="s">
        <v>6561</v>
      </c>
      <c r="C2748" s="139" t="s">
        <v>6544</v>
      </c>
      <c r="D2748" s="139" t="s">
        <v>6562</v>
      </c>
    </row>
    <row r="2749" spans="1:4" x14ac:dyDescent="0.25">
      <c r="A2749" s="139" t="s">
        <v>6563</v>
      </c>
      <c r="B2749" s="139" t="s">
        <v>6561</v>
      </c>
      <c r="C2749" s="139" t="s">
        <v>6544</v>
      </c>
      <c r="D2749" s="139" t="s">
        <v>6564</v>
      </c>
    </row>
    <row r="2750" spans="1:4" x14ac:dyDescent="0.25">
      <c r="A2750" s="139" t="s">
        <v>6565</v>
      </c>
      <c r="B2750" s="139" t="s">
        <v>1588</v>
      </c>
      <c r="C2750" s="139" t="s">
        <v>6544</v>
      </c>
      <c r="D2750" s="139" t="s">
        <v>6566</v>
      </c>
    </row>
    <row r="2751" spans="1:4" x14ac:dyDescent="0.25">
      <c r="A2751" s="139" t="s">
        <v>6567</v>
      </c>
      <c r="B2751" s="139" t="s">
        <v>1588</v>
      </c>
      <c r="C2751" s="139" t="s">
        <v>6544</v>
      </c>
      <c r="D2751" s="139" t="s">
        <v>6568</v>
      </c>
    </row>
    <row r="2752" spans="1:4" x14ac:dyDescent="0.25">
      <c r="A2752" s="139" t="s">
        <v>6569</v>
      </c>
      <c r="B2752" s="139" t="s">
        <v>6570</v>
      </c>
      <c r="C2752" s="139" t="s">
        <v>112</v>
      </c>
      <c r="D2752" s="139" t="s">
        <v>6571</v>
      </c>
    </row>
    <row r="2753" spans="1:4" x14ac:dyDescent="0.25">
      <c r="A2753" s="139" t="s">
        <v>6572</v>
      </c>
      <c r="B2753" s="139" t="s">
        <v>6570</v>
      </c>
      <c r="C2753" s="139" t="s">
        <v>112</v>
      </c>
      <c r="D2753" s="139" t="s">
        <v>6573</v>
      </c>
    </row>
    <row r="2754" spans="1:4" x14ac:dyDescent="0.25">
      <c r="A2754" s="139" t="s">
        <v>6574</v>
      </c>
      <c r="B2754" s="139" t="s">
        <v>6575</v>
      </c>
      <c r="C2754" s="139" t="s">
        <v>112</v>
      </c>
      <c r="D2754" s="139" t="s">
        <v>6576</v>
      </c>
    </row>
    <row r="2755" spans="1:4" x14ac:dyDescent="0.25">
      <c r="A2755" s="139" t="s">
        <v>6577</v>
      </c>
      <c r="B2755" s="139" t="s">
        <v>6575</v>
      </c>
      <c r="C2755" s="139" t="s">
        <v>112</v>
      </c>
      <c r="D2755" s="139" t="s">
        <v>6578</v>
      </c>
    </row>
    <row r="2756" spans="1:4" x14ac:dyDescent="0.25">
      <c r="A2756" s="139" t="s">
        <v>6579</v>
      </c>
      <c r="B2756" s="139" t="s">
        <v>6580</v>
      </c>
      <c r="C2756" s="139" t="s">
        <v>112</v>
      </c>
      <c r="D2756" s="139" t="s">
        <v>6581</v>
      </c>
    </row>
    <row r="2757" spans="1:4" x14ac:dyDescent="0.25">
      <c r="A2757" s="139" t="s">
        <v>6582</v>
      </c>
      <c r="B2757" s="139" t="s">
        <v>6580</v>
      </c>
      <c r="C2757" s="139" t="s">
        <v>112</v>
      </c>
      <c r="D2757" s="139" t="s">
        <v>6583</v>
      </c>
    </row>
    <row r="2758" spans="1:4" x14ac:dyDescent="0.25">
      <c r="A2758" s="139" t="s">
        <v>6584</v>
      </c>
      <c r="B2758" s="139" t="s">
        <v>6585</v>
      </c>
      <c r="C2758" s="139" t="s">
        <v>112</v>
      </c>
      <c r="D2758" s="139" t="s">
        <v>6586</v>
      </c>
    </row>
    <row r="2759" spans="1:4" x14ac:dyDescent="0.25">
      <c r="A2759" s="139" t="s">
        <v>6587</v>
      </c>
      <c r="B2759" s="139" t="s">
        <v>6585</v>
      </c>
      <c r="C2759" s="139" t="s">
        <v>112</v>
      </c>
      <c r="D2759" s="139" t="s">
        <v>6588</v>
      </c>
    </row>
    <row r="2760" spans="1:4" x14ac:dyDescent="0.25">
      <c r="A2760" s="139" t="s">
        <v>6589</v>
      </c>
      <c r="B2760" s="139" t="s">
        <v>6590</v>
      </c>
      <c r="C2760" s="139" t="s">
        <v>112</v>
      </c>
      <c r="D2760" s="139" t="s">
        <v>6591</v>
      </c>
    </row>
    <row r="2761" spans="1:4" x14ac:dyDescent="0.25">
      <c r="A2761" s="139" t="s">
        <v>6592</v>
      </c>
      <c r="B2761" s="139" t="s">
        <v>6590</v>
      </c>
      <c r="C2761" s="139" t="s">
        <v>112</v>
      </c>
      <c r="D2761" s="139" t="s">
        <v>6593</v>
      </c>
    </row>
    <row r="2762" spans="1:4" x14ac:dyDescent="0.25">
      <c r="A2762" s="139" t="s">
        <v>6594</v>
      </c>
      <c r="B2762" s="139" t="s">
        <v>6595</v>
      </c>
      <c r="C2762" s="139" t="s">
        <v>112</v>
      </c>
      <c r="D2762" s="139" t="s">
        <v>6596</v>
      </c>
    </row>
    <row r="2763" spans="1:4" x14ac:dyDescent="0.25">
      <c r="A2763" s="139" t="s">
        <v>6597</v>
      </c>
      <c r="B2763" s="139" t="s">
        <v>6595</v>
      </c>
      <c r="C2763" s="139" t="s">
        <v>112</v>
      </c>
      <c r="D2763" s="139" t="s">
        <v>6598</v>
      </c>
    </row>
    <row r="2764" spans="1:4" x14ac:dyDescent="0.25">
      <c r="A2764" s="139" t="s">
        <v>6599</v>
      </c>
      <c r="B2764" s="139" t="s">
        <v>6600</v>
      </c>
      <c r="C2764" s="139" t="s">
        <v>112</v>
      </c>
      <c r="D2764" s="139" t="s">
        <v>6601</v>
      </c>
    </row>
    <row r="2765" spans="1:4" x14ac:dyDescent="0.25">
      <c r="A2765" s="139" t="s">
        <v>6602</v>
      </c>
      <c r="B2765" s="139" t="s">
        <v>6600</v>
      </c>
      <c r="C2765" s="139" t="s">
        <v>112</v>
      </c>
      <c r="D2765" s="139" t="s">
        <v>6603</v>
      </c>
    </row>
    <row r="2766" spans="1:4" x14ac:dyDescent="0.25">
      <c r="A2766" s="139" t="s">
        <v>6604</v>
      </c>
      <c r="B2766" s="139" t="s">
        <v>6605</v>
      </c>
      <c r="C2766" s="139" t="s">
        <v>44</v>
      </c>
      <c r="D2766" s="139" t="s">
        <v>6606</v>
      </c>
    </row>
    <row r="2767" spans="1:4" x14ac:dyDescent="0.25">
      <c r="A2767" s="139" t="s">
        <v>6607</v>
      </c>
      <c r="B2767" s="139" t="s">
        <v>6605</v>
      </c>
      <c r="C2767" s="139" t="s">
        <v>44</v>
      </c>
      <c r="D2767" s="139" t="s">
        <v>6608</v>
      </c>
    </row>
    <row r="2768" spans="1:4" x14ac:dyDescent="0.25">
      <c r="A2768" s="139" t="s">
        <v>6609</v>
      </c>
      <c r="B2768" s="139" t="s">
        <v>6610</v>
      </c>
      <c r="C2768" s="139" t="s">
        <v>44</v>
      </c>
      <c r="D2768" s="139" t="s">
        <v>6611</v>
      </c>
    </row>
    <row r="2769" spans="1:4" x14ac:dyDescent="0.25">
      <c r="A2769" s="139" t="s">
        <v>6612</v>
      </c>
      <c r="B2769" s="139" t="s">
        <v>6610</v>
      </c>
      <c r="C2769" s="139" t="s">
        <v>44</v>
      </c>
      <c r="D2769" s="139" t="s">
        <v>6613</v>
      </c>
    </row>
    <row r="2770" spans="1:4" x14ac:dyDescent="0.25">
      <c r="A2770" s="139" t="s">
        <v>6614</v>
      </c>
      <c r="B2770" s="139" t="s">
        <v>6561</v>
      </c>
      <c r="C2770" s="139" t="s">
        <v>44</v>
      </c>
      <c r="D2770" s="139" t="s">
        <v>6615</v>
      </c>
    </row>
    <row r="2771" spans="1:4" x14ac:dyDescent="0.25">
      <c r="A2771" s="139" t="s">
        <v>6616</v>
      </c>
      <c r="B2771" s="139" t="s">
        <v>6561</v>
      </c>
      <c r="C2771" s="139" t="s">
        <v>44</v>
      </c>
      <c r="D2771" s="139" t="s">
        <v>6617</v>
      </c>
    </row>
    <row r="2772" spans="1:4" x14ac:dyDescent="0.25">
      <c r="A2772" s="139" t="s">
        <v>6618</v>
      </c>
      <c r="B2772" s="139" t="s">
        <v>5622</v>
      </c>
      <c r="C2772" s="139" t="s">
        <v>44</v>
      </c>
      <c r="D2772" s="139" t="s">
        <v>6619</v>
      </c>
    </row>
    <row r="2773" spans="1:4" x14ac:dyDescent="0.25">
      <c r="A2773" s="139" t="s">
        <v>6620</v>
      </c>
      <c r="B2773" s="139" t="s">
        <v>5622</v>
      </c>
      <c r="C2773" s="139" t="s">
        <v>44</v>
      </c>
      <c r="D2773" s="139" t="s">
        <v>6621</v>
      </c>
    </row>
    <row r="2774" spans="1:4" x14ac:dyDescent="0.25">
      <c r="A2774" s="139" t="s">
        <v>6622</v>
      </c>
      <c r="B2774" s="139" t="s">
        <v>6623</v>
      </c>
      <c r="C2774" s="139" t="s">
        <v>44</v>
      </c>
      <c r="D2774" s="139" t="s">
        <v>6624</v>
      </c>
    </row>
    <row r="2775" spans="1:4" x14ac:dyDescent="0.25">
      <c r="A2775" s="139" t="s">
        <v>6625</v>
      </c>
      <c r="B2775" s="139" t="s">
        <v>6623</v>
      </c>
      <c r="C2775" s="139" t="s">
        <v>44</v>
      </c>
      <c r="D2775" s="139" t="s">
        <v>6626</v>
      </c>
    </row>
    <row r="2776" spans="1:4" x14ac:dyDescent="0.25">
      <c r="A2776" s="139" t="s">
        <v>6627</v>
      </c>
      <c r="B2776" s="139" t="s">
        <v>989</v>
      </c>
      <c r="C2776" s="139" t="s">
        <v>316</v>
      </c>
      <c r="D2776" s="139" t="s">
        <v>6628</v>
      </c>
    </row>
    <row r="2777" spans="1:4" x14ac:dyDescent="0.25">
      <c r="A2777" s="139" t="s">
        <v>6629</v>
      </c>
      <c r="B2777" s="139" t="s">
        <v>989</v>
      </c>
      <c r="C2777" s="139" t="s">
        <v>316</v>
      </c>
      <c r="D2777" s="139" t="s">
        <v>6630</v>
      </c>
    </row>
    <row r="2778" spans="1:4" x14ac:dyDescent="0.25">
      <c r="A2778" s="139" t="s">
        <v>6631</v>
      </c>
      <c r="B2778" s="139" t="s">
        <v>6632</v>
      </c>
      <c r="C2778" s="139" t="s">
        <v>316</v>
      </c>
      <c r="D2778" s="139" t="s">
        <v>6633</v>
      </c>
    </row>
    <row r="2779" spans="1:4" x14ac:dyDescent="0.25">
      <c r="A2779" s="139" t="s">
        <v>6634</v>
      </c>
      <c r="B2779" s="139" t="s">
        <v>6632</v>
      </c>
      <c r="C2779" s="139" t="s">
        <v>316</v>
      </c>
      <c r="D2779" s="139" t="s">
        <v>6635</v>
      </c>
    </row>
    <row r="2780" spans="1:4" x14ac:dyDescent="0.25">
      <c r="A2780" s="139" t="s">
        <v>6636</v>
      </c>
      <c r="B2780" s="139" t="s">
        <v>6637</v>
      </c>
      <c r="C2780" s="139" t="s">
        <v>316</v>
      </c>
      <c r="D2780" s="139" t="s">
        <v>6638</v>
      </c>
    </row>
    <row r="2781" spans="1:4" x14ac:dyDescent="0.25">
      <c r="A2781" s="139" t="s">
        <v>6639</v>
      </c>
      <c r="B2781" s="139" t="s">
        <v>6637</v>
      </c>
      <c r="C2781" s="139" t="s">
        <v>316</v>
      </c>
      <c r="D2781" s="139" t="s">
        <v>6640</v>
      </c>
    </row>
    <row r="2782" spans="1:4" x14ac:dyDescent="0.25">
      <c r="A2782" s="139" t="s">
        <v>6641</v>
      </c>
      <c r="B2782" s="139" t="s">
        <v>6642</v>
      </c>
      <c r="C2782" s="139" t="s">
        <v>316</v>
      </c>
      <c r="D2782" s="139" t="s">
        <v>6643</v>
      </c>
    </row>
    <row r="2783" spans="1:4" x14ac:dyDescent="0.25">
      <c r="A2783" s="139" t="s">
        <v>6644</v>
      </c>
      <c r="B2783" s="139" t="s">
        <v>6642</v>
      </c>
      <c r="C2783" s="139" t="s">
        <v>316</v>
      </c>
      <c r="D2783" s="139" t="s">
        <v>6645</v>
      </c>
    </row>
    <row r="2784" spans="1:4" x14ac:dyDescent="0.25">
      <c r="A2784" s="139" t="s">
        <v>6646</v>
      </c>
      <c r="B2784" s="139" t="s">
        <v>6647</v>
      </c>
      <c r="C2784" s="139" t="s">
        <v>316</v>
      </c>
      <c r="D2784" s="139" t="s">
        <v>6648</v>
      </c>
    </row>
    <row r="2785" spans="1:4" x14ac:dyDescent="0.25">
      <c r="A2785" s="139" t="s">
        <v>6649</v>
      </c>
      <c r="B2785" s="139" t="s">
        <v>6647</v>
      </c>
      <c r="C2785" s="139" t="s">
        <v>316</v>
      </c>
      <c r="D2785" s="139" t="s">
        <v>6650</v>
      </c>
    </row>
    <row r="2786" spans="1:4" x14ac:dyDescent="0.25">
      <c r="A2786" s="139" t="s">
        <v>6651</v>
      </c>
      <c r="B2786" s="139" t="s">
        <v>6652</v>
      </c>
      <c r="C2786" s="139" t="s">
        <v>33</v>
      </c>
      <c r="D2786" s="139" t="s">
        <v>6653</v>
      </c>
    </row>
    <row r="2787" spans="1:4" x14ac:dyDescent="0.25">
      <c r="A2787" s="139" t="s">
        <v>6654</v>
      </c>
      <c r="B2787" s="139" t="s">
        <v>6652</v>
      </c>
      <c r="C2787" s="139" t="s">
        <v>33</v>
      </c>
      <c r="D2787" s="139" t="s">
        <v>6655</v>
      </c>
    </row>
    <row r="2788" spans="1:4" x14ac:dyDescent="0.25">
      <c r="A2788" s="139" t="s">
        <v>6656</v>
      </c>
      <c r="B2788" s="139" t="s">
        <v>1044</v>
      </c>
      <c r="C2788" s="139" t="s">
        <v>33</v>
      </c>
      <c r="D2788" s="139" t="s">
        <v>6657</v>
      </c>
    </row>
    <row r="2789" spans="1:4" x14ac:dyDescent="0.25">
      <c r="A2789" s="139" t="s">
        <v>6658</v>
      </c>
      <c r="B2789" s="139" t="s">
        <v>1044</v>
      </c>
      <c r="C2789" s="139" t="s">
        <v>33</v>
      </c>
      <c r="D2789" s="139" t="s">
        <v>6659</v>
      </c>
    </row>
    <row r="2790" spans="1:4" x14ac:dyDescent="0.25">
      <c r="A2790" s="139" t="s">
        <v>6660</v>
      </c>
      <c r="B2790" s="139" t="s">
        <v>4352</v>
      </c>
      <c r="C2790" s="139" t="s">
        <v>664</v>
      </c>
      <c r="D2790" s="139" t="s">
        <v>6661</v>
      </c>
    </row>
    <row r="2791" spans="1:4" x14ac:dyDescent="0.25">
      <c r="A2791" s="139" t="s">
        <v>6662</v>
      </c>
      <c r="B2791" s="139" t="s">
        <v>4352</v>
      </c>
      <c r="C2791" s="139" t="s">
        <v>664</v>
      </c>
      <c r="D2791" s="139" t="s">
        <v>6663</v>
      </c>
    </row>
    <row r="2792" spans="1:4" x14ac:dyDescent="0.25">
      <c r="A2792" s="139" t="s">
        <v>6664</v>
      </c>
      <c r="B2792" s="139" t="s">
        <v>6665</v>
      </c>
      <c r="C2792" s="139" t="s">
        <v>664</v>
      </c>
      <c r="D2792" s="139" t="s">
        <v>6666</v>
      </c>
    </row>
    <row r="2793" spans="1:4" x14ac:dyDescent="0.25">
      <c r="A2793" s="139" t="s">
        <v>6667</v>
      </c>
      <c r="B2793" s="139" t="s">
        <v>6665</v>
      </c>
      <c r="C2793" s="139" t="s">
        <v>664</v>
      </c>
      <c r="D2793" s="139" t="s">
        <v>6668</v>
      </c>
    </row>
    <row r="2794" spans="1:4" x14ac:dyDescent="0.25">
      <c r="A2794" s="139" t="s">
        <v>6669</v>
      </c>
      <c r="B2794" s="139" t="s">
        <v>6670</v>
      </c>
      <c r="C2794" s="139" t="s">
        <v>664</v>
      </c>
      <c r="D2794" s="139" t="s">
        <v>6671</v>
      </c>
    </row>
    <row r="2795" spans="1:4" x14ac:dyDescent="0.25">
      <c r="A2795" s="139" t="s">
        <v>6672</v>
      </c>
      <c r="B2795" s="139" t="s">
        <v>6670</v>
      </c>
      <c r="C2795" s="139" t="s">
        <v>664</v>
      </c>
      <c r="D2795" s="139" t="s">
        <v>6673</v>
      </c>
    </row>
    <row r="2796" spans="1:4" x14ac:dyDescent="0.25">
      <c r="A2796" s="139" t="s">
        <v>6674</v>
      </c>
      <c r="B2796" s="139" t="s">
        <v>790</v>
      </c>
      <c r="C2796" s="139" t="s">
        <v>664</v>
      </c>
      <c r="D2796" s="139" t="s">
        <v>6675</v>
      </c>
    </row>
    <row r="2797" spans="1:4" x14ac:dyDescent="0.25">
      <c r="A2797" s="139" t="s">
        <v>6676</v>
      </c>
      <c r="B2797" s="139" t="s">
        <v>790</v>
      </c>
      <c r="C2797" s="139" t="s">
        <v>664</v>
      </c>
      <c r="D2797" s="139" t="s">
        <v>6677</v>
      </c>
    </row>
    <row r="2798" spans="1:4" x14ac:dyDescent="0.25">
      <c r="A2798" s="139" t="s">
        <v>6678</v>
      </c>
      <c r="B2798" s="139" t="s">
        <v>6679</v>
      </c>
      <c r="C2798" s="139" t="s">
        <v>664</v>
      </c>
      <c r="D2798" s="139" t="s">
        <v>6680</v>
      </c>
    </row>
    <row r="2799" spans="1:4" x14ac:dyDescent="0.25">
      <c r="A2799" s="139" t="s">
        <v>6681</v>
      </c>
      <c r="B2799" s="139" t="s">
        <v>6679</v>
      </c>
      <c r="C2799" s="139" t="s">
        <v>664</v>
      </c>
      <c r="D2799" s="139" t="s">
        <v>6682</v>
      </c>
    </row>
    <row r="2800" spans="1:4" x14ac:dyDescent="0.25">
      <c r="A2800" s="139" t="s">
        <v>6683</v>
      </c>
      <c r="B2800" s="139" t="s">
        <v>4651</v>
      </c>
      <c r="C2800" s="139" t="s">
        <v>664</v>
      </c>
      <c r="D2800" s="139" t="s">
        <v>6684</v>
      </c>
    </row>
    <row r="2801" spans="1:4" x14ac:dyDescent="0.25">
      <c r="A2801" s="139" t="s">
        <v>6685</v>
      </c>
      <c r="B2801" s="139" t="s">
        <v>4651</v>
      </c>
      <c r="C2801" s="139" t="s">
        <v>664</v>
      </c>
      <c r="D2801" s="139" t="s">
        <v>6686</v>
      </c>
    </row>
    <row r="2802" spans="1:4" x14ac:dyDescent="0.25">
      <c r="A2802" s="139" t="s">
        <v>6687</v>
      </c>
      <c r="B2802" s="139" t="s">
        <v>6688</v>
      </c>
      <c r="C2802" s="139" t="s">
        <v>664</v>
      </c>
      <c r="D2802" s="139" t="s">
        <v>6689</v>
      </c>
    </row>
    <row r="2803" spans="1:4" x14ac:dyDescent="0.25">
      <c r="A2803" s="139" t="s">
        <v>6690</v>
      </c>
      <c r="B2803" s="139" t="s">
        <v>6688</v>
      </c>
      <c r="C2803" s="139" t="s">
        <v>664</v>
      </c>
      <c r="D2803" s="139" t="s">
        <v>6691</v>
      </c>
    </row>
    <row r="2804" spans="1:4" x14ac:dyDescent="0.25">
      <c r="A2804" s="139" t="s">
        <v>6692</v>
      </c>
      <c r="B2804" s="139" t="s">
        <v>2402</v>
      </c>
      <c r="C2804" s="139" t="s">
        <v>658</v>
      </c>
      <c r="D2804" s="139" t="s">
        <v>6693</v>
      </c>
    </row>
    <row r="2805" spans="1:4" x14ac:dyDescent="0.25">
      <c r="A2805" s="139" t="s">
        <v>6694</v>
      </c>
      <c r="B2805" s="139" t="s">
        <v>2402</v>
      </c>
      <c r="C2805" s="139" t="s">
        <v>658</v>
      </c>
      <c r="D2805" s="139" t="s">
        <v>6695</v>
      </c>
    </row>
    <row r="2806" spans="1:4" x14ac:dyDescent="0.25">
      <c r="A2806" s="139" t="s">
        <v>6696</v>
      </c>
      <c r="B2806" s="139" t="s">
        <v>4852</v>
      </c>
      <c r="C2806" s="139" t="s">
        <v>658</v>
      </c>
      <c r="D2806" s="139" t="s">
        <v>6697</v>
      </c>
    </row>
    <row r="2807" spans="1:4" x14ac:dyDescent="0.25">
      <c r="A2807" s="139" t="s">
        <v>6698</v>
      </c>
      <c r="B2807" s="139" t="s">
        <v>4852</v>
      </c>
      <c r="C2807" s="139" t="s">
        <v>658</v>
      </c>
      <c r="D2807" s="139" t="s">
        <v>6699</v>
      </c>
    </row>
    <row r="2808" spans="1:4" x14ac:dyDescent="0.25">
      <c r="A2808" s="139" t="s">
        <v>6700</v>
      </c>
      <c r="B2808" s="139" t="s">
        <v>2411</v>
      </c>
      <c r="C2808" s="139" t="s">
        <v>658</v>
      </c>
      <c r="D2808" s="139" t="s">
        <v>6701</v>
      </c>
    </row>
    <row r="2809" spans="1:4" x14ac:dyDescent="0.25">
      <c r="A2809" s="139" t="s">
        <v>6702</v>
      </c>
      <c r="B2809" s="139" t="s">
        <v>2411</v>
      </c>
      <c r="C2809" s="139" t="s">
        <v>658</v>
      </c>
      <c r="D2809" s="139" t="s">
        <v>6703</v>
      </c>
    </row>
    <row r="2810" spans="1:4" x14ac:dyDescent="0.25">
      <c r="A2810" s="139" t="s">
        <v>6704</v>
      </c>
      <c r="B2810" s="139" t="s">
        <v>2475</v>
      </c>
      <c r="C2810" s="139" t="s">
        <v>658</v>
      </c>
      <c r="D2810" s="139" t="s">
        <v>6705</v>
      </c>
    </row>
    <row r="2811" spans="1:4" x14ac:dyDescent="0.25">
      <c r="A2811" s="139" t="s">
        <v>6706</v>
      </c>
      <c r="B2811" s="139" t="s">
        <v>2475</v>
      </c>
      <c r="C2811" s="139" t="s">
        <v>658</v>
      </c>
      <c r="D2811" s="139" t="s">
        <v>6707</v>
      </c>
    </row>
    <row r="2812" spans="1:4" x14ac:dyDescent="0.25">
      <c r="A2812" s="139" t="s">
        <v>6708</v>
      </c>
      <c r="B2812" s="139" t="s">
        <v>6067</v>
      </c>
      <c r="C2812" s="139" t="s">
        <v>658</v>
      </c>
      <c r="D2812" s="139" t="s">
        <v>6709</v>
      </c>
    </row>
    <row r="2813" spans="1:4" x14ac:dyDescent="0.25">
      <c r="A2813" s="139" t="s">
        <v>6710</v>
      </c>
      <c r="B2813" s="139" t="s">
        <v>6067</v>
      </c>
      <c r="C2813" s="139" t="s">
        <v>658</v>
      </c>
      <c r="D2813" s="139" t="s">
        <v>6711</v>
      </c>
    </row>
    <row r="2814" spans="1:4" x14ac:dyDescent="0.25">
      <c r="A2814" s="139" t="s">
        <v>6712</v>
      </c>
      <c r="B2814" s="139" t="s">
        <v>340</v>
      </c>
      <c r="C2814" s="139" t="s">
        <v>65</v>
      </c>
      <c r="D2814" s="139" t="s">
        <v>6713</v>
      </c>
    </row>
    <row r="2815" spans="1:4" x14ac:dyDescent="0.25">
      <c r="A2815" s="139" t="s">
        <v>6714</v>
      </c>
      <c r="B2815" s="139" t="s">
        <v>340</v>
      </c>
      <c r="C2815" s="139" t="s">
        <v>65</v>
      </c>
      <c r="D2815" s="139" t="s">
        <v>6715</v>
      </c>
    </row>
    <row r="2816" spans="1:4" x14ac:dyDescent="0.25">
      <c r="A2816" s="139" t="s">
        <v>6716</v>
      </c>
      <c r="B2816" s="139" t="s">
        <v>2945</v>
      </c>
      <c r="C2816" s="139" t="s">
        <v>65</v>
      </c>
      <c r="D2816" s="139" t="s">
        <v>6717</v>
      </c>
    </row>
    <row r="2817" spans="1:4" x14ac:dyDescent="0.25">
      <c r="A2817" s="139" t="s">
        <v>6718</v>
      </c>
      <c r="B2817" s="139" t="s">
        <v>2945</v>
      </c>
      <c r="C2817" s="139" t="s">
        <v>65</v>
      </c>
      <c r="D2817" s="139" t="s">
        <v>6719</v>
      </c>
    </row>
    <row r="2818" spans="1:4" x14ac:dyDescent="0.25">
      <c r="A2818" s="139" t="s">
        <v>6720</v>
      </c>
      <c r="B2818" s="139" t="s">
        <v>6721</v>
      </c>
      <c r="C2818" s="139" t="s">
        <v>65</v>
      </c>
      <c r="D2818" s="139" t="s">
        <v>6722</v>
      </c>
    </row>
    <row r="2819" spans="1:4" x14ac:dyDescent="0.25">
      <c r="A2819" s="139" t="s">
        <v>6723</v>
      </c>
      <c r="B2819" s="139" t="s">
        <v>6721</v>
      </c>
      <c r="C2819" s="139" t="s">
        <v>65</v>
      </c>
      <c r="D2819" s="139" t="s">
        <v>6724</v>
      </c>
    </row>
    <row r="2820" spans="1:4" x14ac:dyDescent="0.25">
      <c r="A2820" s="139" t="s">
        <v>6725</v>
      </c>
      <c r="B2820" s="139" t="s">
        <v>6726</v>
      </c>
      <c r="C2820" s="139" t="s">
        <v>65</v>
      </c>
      <c r="D2820" s="139" t="s">
        <v>6727</v>
      </c>
    </row>
    <row r="2821" spans="1:4" x14ac:dyDescent="0.25">
      <c r="A2821" s="139" t="s">
        <v>6728</v>
      </c>
      <c r="B2821" s="139" t="s">
        <v>6726</v>
      </c>
      <c r="C2821" s="139" t="s">
        <v>65</v>
      </c>
      <c r="D2821" s="139" t="s">
        <v>6729</v>
      </c>
    </row>
    <row r="2822" spans="1:4" x14ac:dyDescent="0.25">
      <c r="A2822" s="139" t="s">
        <v>6730</v>
      </c>
      <c r="B2822" s="139" t="s">
        <v>1218</v>
      </c>
      <c r="C2822" s="139" t="s">
        <v>65</v>
      </c>
      <c r="D2822" s="139" t="s">
        <v>6731</v>
      </c>
    </row>
    <row r="2823" spans="1:4" x14ac:dyDescent="0.25">
      <c r="A2823" s="139" t="s">
        <v>6732</v>
      </c>
      <c r="B2823" s="139" t="s">
        <v>1218</v>
      </c>
      <c r="C2823" s="139" t="s">
        <v>65</v>
      </c>
      <c r="D2823" s="139" t="s">
        <v>6733</v>
      </c>
    </row>
    <row r="2824" spans="1:4" x14ac:dyDescent="0.25">
      <c r="A2824" s="139" t="s">
        <v>6734</v>
      </c>
      <c r="B2824" s="139" t="s">
        <v>6735</v>
      </c>
      <c r="C2824" s="139" t="s">
        <v>65</v>
      </c>
      <c r="D2824" s="139" t="s">
        <v>6736</v>
      </c>
    </row>
    <row r="2825" spans="1:4" x14ac:dyDescent="0.25">
      <c r="A2825" s="139" t="s">
        <v>6737</v>
      </c>
      <c r="B2825" s="139" t="s">
        <v>6735</v>
      </c>
      <c r="C2825" s="139" t="s">
        <v>65</v>
      </c>
      <c r="D2825" s="139" t="s">
        <v>6738</v>
      </c>
    </row>
    <row r="2826" spans="1:4" x14ac:dyDescent="0.25">
      <c r="A2826" s="139" t="s">
        <v>6739</v>
      </c>
      <c r="B2826" s="139" t="s">
        <v>357</v>
      </c>
      <c r="C2826" s="139" t="s">
        <v>65</v>
      </c>
      <c r="D2826" s="139" t="s">
        <v>6740</v>
      </c>
    </row>
    <row r="2827" spans="1:4" x14ac:dyDescent="0.25">
      <c r="A2827" s="139" t="s">
        <v>6741</v>
      </c>
      <c r="B2827" s="139" t="s">
        <v>357</v>
      </c>
      <c r="C2827" s="139" t="s">
        <v>65</v>
      </c>
      <c r="D2827" s="139" t="s">
        <v>6742</v>
      </c>
    </row>
    <row r="2828" spans="1:4" x14ac:dyDescent="0.25">
      <c r="A2828" s="139" t="s">
        <v>6743</v>
      </c>
      <c r="B2828" s="139" t="s">
        <v>6744</v>
      </c>
      <c r="C2828" s="139" t="s">
        <v>65</v>
      </c>
      <c r="D2828" s="139" t="s">
        <v>6745</v>
      </c>
    </row>
    <row r="2829" spans="1:4" x14ac:dyDescent="0.25">
      <c r="A2829" s="139" t="s">
        <v>6746</v>
      </c>
      <c r="B2829" s="139" t="s">
        <v>6744</v>
      </c>
      <c r="C2829" s="139" t="s">
        <v>65</v>
      </c>
      <c r="D2829" s="139" t="s">
        <v>6747</v>
      </c>
    </row>
    <row r="2830" spans="1:4" x14ac:dyDescent="0.25">
      <c r="A2830" s="139" t="s">
        <v>6748</v>
      </c>
      <c r="B2830" s="139" t="s">
        <v>6749</v>
      </c>
      <c r="C2830" s="139" t="s">
        <v>65</v>
      </c>
      <c r="D2830" s="139" t="s">
        <v>6750</v>
      </c>
    </row>
    <row r="2831" spans="1:4" x14ac:dyDescent="0.25">
      <c r="A2831" s="139" t="s">
        <v>6751</v>
      </c>
      <c r="B2831" s="139" t="s">
        <v>6749</v>
      </c>
      <c r="C2831" s="139" t="s">
        <v>65</v>
      </c>
      <c r="D2831" s="139" t="s">
        <v>6752</v>
      </c>
    </row>
    <row r="2832" spans="1:4" x14ac:dyDescent="0.25">
      <c r="A2832" s="139" t="s">
        <v>6753</v>
      </c>
      <c r="B2832" s="139" t="s">
        <v>4730</v>
      </c>
      <c r="C2832" s="139" t="s">
        <v>65</v>
      </c>
      <c r="D2832" s="139" t="s">
        <v>6754</v>
      </c>
    </row>
    <row r="2833" spans="1:4" x14ac:dyDescent="0.25">
      <c r="A2833" s="139" t="s">
        <v>6755</v>
      </c>
      <c r="B2833" s="139" t="s">
        <v>4730</v>
      </c>
      <c r="C2833" s="139" t="s">
        <v>65</v>
      </c>
      <c r="D2833" s="139" t="s">
        <v>6756</v>
      </c>
    </row>
    <row r="2834" spans="1:4" x14ac:dyDescent="0.25">
      <c r="A2834" s="139" t="s">
        <v>6757</v>
      </c>
      <c r="B2834" s="139" t="s">
        <v>6758</v>
      </c>
      <c r="C2834" s="139" t="s">
        <v>65</v>
      </c>
      <c r="D2834" s="139" t="s">
        <v>6759</v>
      </c>
    </row>
    <row r="2835" spans="1:4" x14ac:dyDescent="0.25">
      <c r="A2835" s="139" t="s">
        <v>6760</v>
      </c>
      <c r="B2835" s="139" t="s">
        <v>6758</v>
      </c>
      <c r="C2835" s="139" t="s">
        <v>65</v>
      </c>
      <c r="D2835" s="139" t="s">
        <v>6761</v>
      </c>
    </row>
    <row r="2836" spans="1:4" x14ac:dyDescent="0.25">
      <c r="A2836" s="139" t="s">
        <v>6762</v>
      </c>
      <c r="B2836" s="139" t="s">
        <v>6585</v>
      </c>
      <c r="C2836" s="139" t="s">
        <v>65</v>
      </c>
      <c r="D2836" s="139" t="s">
        <v>6763</v>
      </c>
    </row>
    <row r="2837" spans="1:4" x14ac:dyDescent="0.25">
      <c r="A2837" s="139" t="s">
        <v>6764</v>
      </c>
      <c r="B2837" s="139" t="s">
        <v>6585</v>
      </c>
      <c r="C2837" s="139" t="s">
        <v>65</v>
      </c>
      <c r="D2837" s="139" t="s">
        <v>6765</v>
      </c>
    </row>
    <row r="2838" spans="1:4" x14ac:dyDescent="0.25">
      <c r="A2838" s="139" t="s">
        <v>6766</v>
      </c>
      <c r="B2838" s="139" t="s">
        <v>43</v>
      </c>
      <c r="C2838" s="139" t="s">
        <v>123</v>
      </c>
      <c r="D2838" s="139" t="s">
        <v>6767</v>
      </c>
    </row>
    <row r="2839" spans="1:4" x14ac:dyDescent="0.25">
      <c r="A2839" s="139" t="s">
        <v>6768</v>
      </c>
      <c r="B2839" s="139" t="s">
        <v>43</v>
      </c>
      <c r="C2839" s="139" t="s">
        <v>123</v>
      </c>
      <c r="D2839" s="139" t="s">
        <v>6769</v>
      </c>
    </row>
    <row r="2840" spans="1:4" x14ac:dyDescent="0.25">
      <c r="A2840" s="139" t="s">
        <v>6770</v>
      </c>
      <c r="B2840" s="139" t="s">
        <v>6771</v>
      </c>
      <c r="C2840" s="139" t="s">
        <v>123</v>
      </c>
      <c r="D2840" s="139" t="s">
        <v>6772</v>
      </c>
    </row>
    <row r="2841" spans="1:4" x14ac:dyDescent="0.25">
      <c r="A2841" s="139" t="s">
        <v>6773</v>
      </c>
      <c r="B2841" s="139" t="s">
        <v>6771</v>
      </c>
      <c r="C2841" s="139" t="s">
        <v>123</v>
      </c>
      <c r="D2841" s="139" t="s">
        <v>6774</v>
      </c>
    </row>
    <row r="2842" spans="1:4" x14ac:dyDescent="0.25">
      <c r="A2842" s="139" t="s">
        <v>6775</v>
      </c>
      <c r="B2842" s="139" t="s">
        <v>740</v>
      </c>
      <c r="C2842" s="139" t="s">
        <v>123</v>
      </c>
      <c r="D2842" s="139" t="s">
        <v>6776</v>
      </c>
    </row>
    <row r="2843" spans="1:4" x14ac:dyDescent="0.25">
      <c r="A2843" s="139" t="s">
        <v>6777</v>
      </c>
      <c r="B2843" s="139" t="s">
        <v>740</v>
      </c>
      <c r="C2843" s="139" t="s">
        <v>123</v>
      </c>
      <c r="D2843" s="139" t="s">
        <v>6778</v>
      </c>
    </row>
    <row r="2844" spans="1:4" x14ac:dyDescent="0.25">
      <c r="A2844" s="139" t="s">
        <v>6779</v>
      </c>
      <c r="B2844" s="139" t="s">
        <v>6780</v>
      </c>
      <c r="C2844" s="139" t="s">
        <v>123</v>
      </c>
      <c r="D2844" s="139" t="s">
        <v>6781</v>
      </c>
    </row>
    <row r="2845" spans="1:4" x14ac:dyDescent="0.25">
      <c r="A2845" s="139" t="s">
        <v>6782</v>
      </c>
      <c r="B2845" s="139" t="s">
        <v>6780</v>
      </c>
      <c r="C2845" s="139" t="s">
        <v>123</v>
      </c>
      <c r="D2845" s="139" t="s">
        <v>6783</v>
      </c>
    </row>
    <row r="2846" spans="1:4" x14ac:dyDescent="0.25">
      <c r="A2846" s="139" t="s">
        <v>6784</v>
      </c>
      <c r="B2846" s="139" t="s">
        <v>248</v>
      </c>
      <c r="C2846" s="139" t="s">
        <v>123</v>
      </c>
      <c r="D2846" s="139" t="s">
        <v>6785</v>
      </c>
    </row>
    <row r="2847" spans="1:4" x14ac:dyDescent="0.25">
      <c r="A2847" s="139" t="s">
        <v>6786</v>
      </c>
      <c r="B2847" s="139" t="s">
        <v>248</v>
      </c>
      <c r="C2847" s="139" t="s">
        <v>123</v>
      </c>
      <c r="D2847" s="139" t="s">
        <v>6787</v>
      </c>
    </row>
    <row r="2848" spans="1:4" x14ac:dyDescent="0.25">
      <c r="A2848" s="139" t="s">
        <v>6788</v>
      </c>
      <c r="B2848" s="139" t="s">
        <v>49</v>
      </c>
      <c r="C2848" s="139" t="s">
        <v>123</v>
      </c>
      <c r="D2848" s="139" t="s">
        <v>6789</v>
      </c>
    </row>
    <row r="2849" spans="1:4" x14ac:dyDescent="0.25">
      <c r="A2849" s="139" t="s">
        <v>6790</v>
      </c>
      <c r="B2849" s="139" t="s">
        <v>49</v>
      </c>
      <c r="C2849" s="139" t="s">
        <v>123</v>
      </c>
      <c r="D2849" s="139" t="s">
        <v>6791</v>
      </c>
    </row>
    <row r="2850" spans="1:4" x14ac:dyDescent="0.25">
      <c r="A2850" s="139" t="s">
        <v>6792</v>
      </c>
      <c r="B2850" s="139" t="s">
        <v>6793</v>
      </c>
      <c r="C2850" s="139" t="s">
        <v>4913</v>
      </c>
      <c r="D2850" s="139" t="s">
        <v>6794</v>
      </c>
    </row>
    <row r="2851" spans="1:4" x14ac:dyDescent="0.25">
      <c r="A2851" s="139" t="s">
        <v>6795</v>
      </c>
      <c r="B2851" s="139" t="s">
        <v>6793</v>
      </c>
      <c r="C2851" s="139" t="s">
        <v>4913</v>
      </c>
      <c r="D2851" s="139" t="s">
        <v>6796</v>
      </c>
    </row>
    <row r="2852" spans="1:4" x14ac:dyDescent="0.25">
      <c r="A2852" s="139" t="s">
        <v>6797</v>
      </c>
      <c r="B2852" s="139" t="s">
        <v>6798</v>
      </c>
      <c r="C2852" s="139" t="s">
        <v>4913</v>
      </c>
      <c r="D2852" s="139" t="s">
        <v>6799</v>
      </c>
    </row>
    <row r="2853" spans="1:4" x14ac:dyDescent="0.25">
      <c r="A2853" s="139" t="s">
        <v>6800</v>
      </c>
      <c r="B2853" s="139" t="s">
        <v>6798</v>
      </c>
      <c r="C2853" s="139" t="s">
        <v>4913</v>
      </c>
      <c r="D2853" s="139" t="s">
        <v>6801</v>
      </c>
    </row>
    <row r="2854" spans="1:4" x14ac:dyDescent="0.25">
      <c r="A2854" s="139" t="s">
        <v>6802</v>
      </c>
      <c r="B2854" s="139" t="s">
        <v>6803</v>
      </c>
      <c r="C2854" s="139" t="s">
        <v>4913</v>
      </c>
      <c r="D2854" s="139" t="s">
        <v>6804</v>
      </c>
    </row>
    <row r="2855" spans="1:4" x14ac:dyDescent="0.25">
      <c r="A2855" s="139" t="s">
        <v>6805</v>
      </c>
      <c r="B2855" s="139" t="s">
        <v>6803</v>
      </c>
      <c r="C2855" s="139" t="s">
        <v>4913</v>
      </c>
      <c r="D2855" s="139" t="s">
        <v>6806</v>
      </c>
    </row>
    <row r="2856" spans="1:4" x14ac:dyDescent="0.25">
      <c r="A2856" s="139" t="s">
        <v>6807</v>
      </c>
      <c r="B2856" s="139" t="s">
        <v>6808</v>
      </c>
      <c r="C2856" s="139" t="s">
        <v>4913</v>
      </c>
      <c r="D2856" s="139" t="s">
        <v>6809</v>
      </c>
    </row>
    <row r="2857" spans="1:4" x14ac:dyDescent="0.25">
      <c r="A2857" s="139" t="s">
        <v>6810</v>
      </c>
      <c r="B2857" s="139" t="s">
        <v>6808</v>
      </c>
      <c r="C2857" s="139" t="s">
        <v>4913</v>
      </c>
      <c r="D2857" s="139" t="s">
        <v>6811</v>
      </c>
    </row>
    <row r="2858" spans="1:4" x14ac:dyDescent="0.25">
      <c r="A2858" s="139" t="s">
        <v>6812</v>
      </c>
      <c r="B2858" s="139" t="s">
        <v>6813</v>
      </c>
      <c r="C2858" s="139" t="s">
        <v>112</v>
      </c>
      <c r="D2858" s="139" t="s">
        <v>6814</v>
      </c>
    </row>
    <row r="2859" spans="1:4" x14ac:dyDescent="0.25">
      <c r="A2859" s="139" t="s">
        <v>6815</v>
      </c>
      <c r="B2859" s="139" t="s">
        <v>6813</v>
      </c>
      <c r="C2859" s="139" t="s">
        <v>112</v>
      </c>
      <c r="D2859" s="139" t="s">
        <v>6816</v>
      </c>
    </row>
    <row r="2860" spans="1:4" x14ac:dyDescent="0.25">
      <c r="A2860" s="139" t="s">
        <v>6817</v>
      </c>
      <c r="B2860" s="139" t="s">
        <v>6818</v>
      </c>
      <c r="C2860" s="139" t="s">
        <v>112</v>
      </c>
      <c r="D2860" s="139" t="s">
        <v>6819</v>
      </c>
    </row>
    <row r="2861" spans="1:4" x14ac:dyDescent="0.25">
      <c r="A2861" s="139" t="s">
        <v>6820</v>
      </c>
      <c r="B2861" s="139" t="s">
        <v>6818</v>
      </c>
      <c r="C2861" s="139" t="s">
        <v>112</v>
      </c>
      <c r="D2861" s="139" t="s">
        <v>6821</v>
      </c>
    </row>
    <row r="2862" spans="1:4" x14ac:dyDescent="0.25">
      <c r="A2862" s="139" t="s">
        <v>6822</v>
      </c>
      <c r="B2862" s="139" t="s">
        <v>6823</v>
      </c>
      <c r="C2862" s="139" t="s">
        <v>112</v>
      </c>
      <c r="D2862" s="139" t="s">
        <v>6824</v>
      </c>
    </row>
    <row r="2863" spans="1:4" x14ac:dyDescent="0.25">
      <c r="A2863" s="139" t="s">
        <v>6825</v>
      </c>
      <c r="B2863" s="139" t="s">
        <v>6823</v>
      </c>
      <c r="C2863" s="139" t="s">
        <v>112</v>
      </c>
      <c r="D2863" s="139" t="s">
        <v>6826</v>
      </c>
    </row>
    <row r="2864" spans="1:4" x14ac:dyDescent="0.25">
      <c r="A2864" s="139" t="s">
        <v>6827</v>
      </c>
      <c r="B2864" s="139" t="s">
        <v>6828</v>
      </c>
      <c r="C2864" s="139" t="s">
        <v>112</v>
      </c>
      <c r="D2864" s="139" t="s">
        <v>6829</v>
      </c>
    </row>
    <row r="2865" spans="1:4" x14ac:dyDescent="0.25">
      <c r="A2865" s="139" t="s">
        <v>6830</v>
      </c>
      <c r="B2865" s="139" t="s">
        <v>6828</v>
      </c>
      <c r="C2865" s="139" t="s">
        <v>112</v>
      </c>
      <c r="D2865" s="139" t="s">
        <v>6831</v>
      </c>
    </row>
    <row r="2866" spans="1:4" x14ac:dyDescent="0.25">
      <c r="A2866" s="139" t="s">
        <v>6832</v>
      </c>
      <c r="B2866" s="139" t="s">
        <v>6833</v>
      </c>
      <c r="C2866" s="139" t="s">
        <v>112</v>
      </c>
      <c r="D2866" s="139" t="s">
        <v>6834</v>
      </c>
    </row>
    <row r="2867" spans="1:4" x14ac:dyDescent="0.25">
      <c r="A2867" s="139" t="s">
        <v>6835</v>
      </c>
      <c r="B2867" s="139" t="s">
        <v>6833</v>
      </c>
      <c r="C2867" s="139" t="s">
        <v>112</v>
      </c>
      <c r="D2867" s="139" t="s">
        <v>6836</v>
      </c>
    </row>
    <row r="2868" spans="1:4" x14ac:dyDescent="0.25">
      <c r="A2868" s="139" t="s">
        <v>6837</v>
      </c>
      <c r="B2868" s="139" t="s">
        <v>2425</v>
      </c>
      <c r="C2868" s="139" t="s">
        <v>112</v>
      </c>
      <c r="D2868" s="139" t="s">
        <v>6838</v>
      </c>
    </row>
    <row r="2869" spans="1:4" x14ac:dyDescent="0.25">
      <c r="A2869" s="139" t="s">
        <v>6839</v>
      </c>
      <c r="B2869" s="139" t="s">
        <v>2425</v>
      </c>
      <c r="C2869" s="139" t="s">
        <v>112</v>
      </c>
      <c r="D2869" s="139" t="s">
        <v>6840</v>
      </c>
    </row>
    <row r="2870" spans="1:4" x14ac:dyDescent="0.25">
      <c r="A2870" s="139" t="s">
        <v>6841</v>
      </c>
      <c r="B2870" s="139" t="s">
        <v>6842</v>
      </c>
      <c r="C2870" s="139" t="s">
        <v>112</v>
      </c>
      <c r="D2870" s="139" t="s">
        <v>6843</v>
      </c>
    </row>
    <row r="2871" spans="1:4" x14ac:dyDescent="0.25">
      <c r="A2871" s="139" t="s">
        <v>6844</v>
      </c>
      <c r="B2871" s="139" t="s">
        <v>6842</v>
      </c>
      <c r="C2871" s="139" t="s">
        <v>112</v>
      </c>
      <c r="D2871" s="139" t="s">
        <v>6845</v>
      </c>
    </row>
    <row r="2872" spans="1:4" x14ac:dyDescent="0.25">
      <c r="A2872" s="139" t="s">
        <v>6846</v>
      </c>
      <c r="B2872" s="139" t="s">
        <v>6847</v>
      </c>
      <c r="C2872" s="139" t="s">
        <v>112</v>
      </c>
      <c r="D2872" s="139" t="s">
        <v>6848</v>
      </c>
    </row>
    <row r="2873" spans="1:4" x14ac:dyDescent="0.25">
      <c r="A2873" s="139" t="s">
        <v>6849</v>
      </c>
      <c r="B2873" s="139" t="s">
        <v>6847</v>
      </c>
      <c r="C2873" s="139" t="s">
        <v>112</v>
      </c>
      <c r="D2873" s="139" t="s">
        <v>6850</v>
      </c>
    </row>
    <row r="2874" spans="1:4" x14ac:dyDescent="0.25">
      <c r="A2874" s="139" t="s">
        <v>6851</v>
      </c>
      <c r="B2874" s="139" t="s">
        <v>6852</v>
      </c>
      <c r="C2874" s="139" t="s">
        <v>112</v>
      </c>
      <c r="D2874" s="139" t="s">
        <v>6853</v>
      </c>
    </row>
    <row r="2875" spans="1:4" x14ac:dyDescent="0.25">
      <c r="A2875" s="139" t="s">
        <v>6854</v>
      </c>
      <c r="B2875" s="139" t="s">
        <v>6852</v>
      </c>
      <c r="C2875" s="139" t="s">
        <v>112</v>
      </c>
      <c r="D2875" s="139" t="s">
        <v>6855</v>
      </c>
    </row>
    <row r="2876" spans="1:4" x14ac:dyDescent="0.25">
      <c r="A2876" s="139" t="s">
        <v>6856</v>
      </c>
      <c r="B2876" s="139" t="s">
        <v>6857</v>
      </c>
      <c r="C2876" s="139" t="s">
        <v>112</v>
      </c>
      <c r="D2876" s="139" t="s">
        <v>6858</v>
      </c>
    </row>
    <row r="2877" spans="1:4" x14ac:dyDescent="0.25">
      <c r="A2877" s="139" t="s">
        <v>6859</v>
      </c>
      <c r="B2877" s="139" t="s">
        <v>6857</v>
      </c>
      <c r="C2877" s="139" t="s">
        <v>112</v>
      </c>
      <c r="D2877" s="139" t="s">
        <v>6860</v>
      </c>
    </row>
    <row r="2878" spans="1:4" x14ac:dyDescent="0.25">
      <c r="A2878" s="139" t="s">
        <v>6861</v>
      </c>
      <c r="B2878" s="139" t="s">
        <v>6862</v>
      </c>
      <c r="C2878" s="139" t="s">
        <v>112</v>
      </c>
      <c r="D2878" s="139" t="s">
        <v>6863</v>
      </c>
    </row>
    <row r="2879" spans="1:4" x14ac:dyDescent="0.25">
      <c r="A2879" s="139" t="s">
        <v>6864</v>
      </c>
      <c r="B2879" s="139" t="s">
        <v>6862</v>
      </c>
      <c r="C2879" s="139" t="s">
        <v>112</v>
      </c>
      <c r="D2879" s="139" t="s">
        <v>6865</v>
      </c>
    </row>
    <row r="2880" spans="1:4" x14ac:dyDescent="0.25">
      <c r="A2880" s="139" t="s">
        <v>6866</v>
      </c>
      <c r="B2880" s="139" t="s">
        <v>2468</v>
      </c>
      <c r="C2880" s="139" t="s">
        <v>112</v>
      </c>
      <c r="D2880" s="139" t="s">
        <v>6867</v>
      </c>
    </row>
    <row r="2881" spans="1:4" x14ac:dyDescent="0.25">
      <c r="A2881" s="139" t="s">
        <v>6868</v>
      </c>
      <c r="B2881" s="139" t="s">
        <v>2468</v>
      </c>
      <c r="C2881" s="139" t="s">
        <v>112</v>
      </c>
      <c r="D2881" s="139" t="s">
        <v>6869</v>
      </c>
    </row>
    <row r="2882" spans="1:4" x14ac:dyDescent="0.25">
      <c r="A2882" s="139" t="s">
        <v>6870</v>
      </c>
      <c r="B2882" s="139" t="s">
        <v>2458</v>
      </c>
      <c r="C2882" s="139" t="s">
        <v>112</v>
      </c>
      <c r="D2882" s="139" t="s">
        <v>6871</v>
      </c>
    </row>
    <row r="2883" spans="1:4" x14ac:dyDescent="0.25">
      <c r="A2883" s="139" t="s">
        <v>6872</v>
      </c>
      <c r="B2883" s="139" t="s">
        <v>2458</v>
      </c>
      <c r="C2883" s="139" t="s">
        <v>112</v>
      </c>
      <c r="D2883" s="139" t="s">
        <v>6873</v>
      </c>
    </row>
    <row r="2884" spans="1:4" x14ac:dyDescent="0.25">
      <c r="A2884" s="139" t="s">
        <v>6874</v>
      </c>
      <c r="B2884" s="139" t="s">
        <v>2393</v>
      </c>
      <c r="C2884" s="139" t="s">
        <v>112</v>
      </c>
      <c r="D2884" s="139" t="s">
        <v>6875</v>
      </c>
    </row>
    <row r="2885" spans="1:4" x14ac:dyDescent="0.25">
      <c r="A2885" s="139" t="s">
        <v>6876</v>
      </c>
      <c r="B2885" s="139" t="s">
        <v>2393</v>
      </c>
      <c r="C2885" s="139" t="s">
        <v>112</v>
      </c>
      <c r="D2885" s="139" t="s">
        <v>6877</v>
      </c>
    </row>
    <row r="2886" spans="1:4" x14ac:dyDescent="0.25">
      <c r="A2886" s="139" t="s">
        <v>6878</v>
      </c>
      <c r="B2886" s="139" t="s">
        <v>875</v>
      </c>
      <c r="C2886" s="139" t="s">
        <v>112</v>
      </c>
      <c r="D2886" s="139" t="s">
        <v>6879</v>
      </c>
    </row>
    <row r="2887" spans="1:4" x14ac:dyDescent="0.25">
      <c r="A2887" s="139" t="s">
        <v>6880</v>
      </c>
      <c r="B2887" s="139" t="s">
        <v>875</v>
      </c>
      <c r="C2887" s="139" t="s">
        <v>112</v>
      </c>
      <c r="D2887" s="139" t="s">
        <v>6881</v>
      </c>
    </row>
    <row r="2888" spans="1:4" x14ac:dyDescent="0.25">
      <c r="A2888" s="139" t="s">
        <v>6882</v>
      </c>
      <c r="B2888" s="139" t="s">
        <v>5406</v>
      </c>
      <c r="C2888" s="139" t="s">
        <v>112</v>
      </c>
      <c r="D2888" s="139" t="s">
        <v>6883</v>
      </c>
    </row>
    <row r="2889" spans="1:4" x14ac:dyDescent="0.25">
      <c r="A2889" s="139" t="s">
        <v>6884</v>
      </c>
      <c r="B2889" s="139" t="s">
        <v>5406</v>
      </c>
      <c r="C2889" s="139" t="s">
        <v>112</v>
      </c>
      <c r="D2889" s="139" t="s">
        <v>6885</v>
      </c>
    </row>
    <row r="2890" spans="1:4" x14ac:dyDescent="0.25">
      <c r="A2890" s="139" t="s">
        <v>6886</v>
      </c>
      <c r="B2890" s="139" t="s">
        <v>1248</v>
      </c>
      <c r="C2890" s="139" t="s">
        <v>112</v>
      </c>
      <c r="D2890" s="139" t="s">
        <v>6887</v>
      </c>
    </row>
    <row r="2891" spans="1:4" x14ac:dyDescent="0.25">
      <c r="A2891" s="139" t="s">
        <v>6888</v>
      </c>
      <c r="B2891" s="139" t="s">
        <v>1248</v>
      </c>
      <c r="C2891" s="139" t="s">
        <v>112</v>
      </c>
      <c r="D2891" s="139" t="s">
        <v>6889</v>
      </c>
    </row>
    <row r="2892" spans="1:4" x14ac:dyDescent="0.25">
      <c r="A2892" s="139" t="s">
        <v>6890</v>
      </c>
      <c r="B2892" s="139" t="s">
        <v>2411</v>
      </c>
      <c r="C2892" s="139" t="s">
        <v>112</v>
      </c>
      <c r="D2892" s="139" t="s">
        <v>6891</v>
      </c>
    </row>
    <row r="2893" spans="1:4" x14ac:dyDescent="0.25">
      <c r="A2893" s="139" t="s">
        <v>6892</v>
      </c>
      <c r="B2893" s="139" t="s">
        <v>2411</v>
      </c>
      <c r="C2893" s="139" t="s">
        <v>112</v>
      </c>
      <c r="D2893" s="139" t="s">
        <v>6893</v>
      </c>
    </row>
    <row r="2894" spans="1:4" x14ac:dyDescent="0.25">
      <c r="A2894" s="139" t="s">
        <v>6894</v>
      </c>
      <c r="B2894" s="139" t="s">
        <v>6895</v>
      </c>
      <c r="C2894" s="139" t="s">
        <v>112</v>
      </c>
      <c r="D2894" s="139" t="s">
        <v>6896</v>
      </c>
    </row>
    <row r="2895" spans="1:4" x14ac:dyDescent="0.25">
      <c r="A2895" s="139" t="s">
        <v>6897</v>
      </c>
      <c r="B2895" s="139" t="s">
        <v>6895</v>
      </c>
      <c r="C2895" s="139" t="s">
        <v>112</v>
      </c>
      <c r="D2895" s="139" t="s">
        <v>6898</v>
      </c>
    </row>
    <row r="2896" spans="1:4" x14ac:dyDescent="0.25">
      <c r="A2896" s="139" t="s">
        <v>6899</v>
      </c>
      <c r="B2896" s="139" t="s">
        <v>541</v>
      </c>
      <c r="C2896" s="139" t="s">
        <v>65</v>
      </c>
      <c r="D2896" s="139" t="s">
        <v>6900</v>
      </c>
    </row>
    <row r="2897" spans="1:4" x14ac:dyDescent="0.25">
      <c r="A2897" s="139" t="s">
        <v>6901</v>
      </c>
      <c r="B2897" s="139" t="s">
        <v>541</v>
      </c>
      <c r="C2897" s="139" t="s">
        <v>65</v>
      </c>
      <c r="D2897" s="139" t="s">
        <v>6902</v>
      </c>
    </row>
    <row r="2898" spans="1:4" x14ac:dyDescent="0.25">
      <c r="A2898" s="139" t="s">
        <v>6903</v>
      </c>
      <c r="B2898" s="139" t="s">
        <v>6904</v>
      </c>
      <c r="C2898" s="139" t="s">
        <v>65</v>
      </c>
      <c r="D2898" s="139" t="s">
        <v>6905</v>
      </c>
    </row>
    <row r="2899" spans="1:4" x14ac:dyDescent="0.25">
      <c r="A2899" s="139" t="s">
        <v>6906</v>
      </c>
      <c r="B2899" s="139" t="s">
        <v>6904</v>
      </c>
      <c r="C2899" s="139" t="s">
        <v>65</v>
      </c>
      <c r="D2899" s="139" t="s">
        <v>6907</v>
      </c>
    </row>
    <row r="2900" spans="1:4" x14ac:dyDescent="0.25">
      <c r="A2900" s="139" t="s">
        <v>6908</v>
      </c>
      <c r="B2900" s="139" t="s">
        <v>6909</v>
      </c>
      <c r="C2900" s="139" t="s">
        <v>65</v>
      </c>
      <c r="D2900" s="139" t="s">
        <v>6910</v>
      </c>
    </row>
    <row r="2901" spans="1:4" x14ac:dyDescent="0.25">
      <c r="A2901" s="139" t="s">
        <v>6911</v>
      </c>
      <c r="B2901" s="139" t="s">
        <v>6909</v>
      </c>
      <c r="C2901" s="139" t="s">
        <v>65</v>
      </c>
      <c r="D2901" s="139" t="s">
        <v>6912</v>
      </c>
    </row>
    <row r="2902" spans="1:4" x14ac:dyDescent="0.25">
      <c r="A2902" s="139" t="s">
        <v>6913</v>
      </c>
      <c r="B2902" s="139" t="s">
        <v>59</v>
      </c>
      <c r="C2902" s="139" t="s">
        <v>65</v>
      </c>
      <c r="D2902" s="139" t="s">
        <v>6914</v>
      </c>
    </row>
    <row r="2903" spans="1:4" x14ac:dyDescent="0.25">
      <c r="A2903" s="139" t="s">
        <v>6915</v>
      </c>
      <c r="B2903" s="139" t="s">
        <v>59</v>
      </c>
      <c r="C2903" s="139" t="s">
        <v>65</v>
      </c>
      <c r="D2903" s="139" t="s">
        <v>6916</v>
      </c>
    </row>
    <row r="2904" spans="1:4" x14ac:dyDescent="0.25">
      <c r="A2904" s="139" t="s">
        <v>6917</v>
      </c>
      <c r="B2904" s="139" t="s">
        <v>4442</v>
      </c>
      <c r="C2904" s="139" t="s">
        <v>2895</v>
      </c>
      <c r="D2904" s="139" t="s">
        <v>6918</v>
      </c>
    </row>
    <row r="2905" spans="1:4" x14ac:dyDescent="0.25">
      <c r="A2905" s="139" t="s">
        <v>6919</v>
      </c>
      <c r="B2905" s="139" t="s">
        <v>4442</v>
      </c>
      <c r="C2905" s="139" t="s">
        <v>2895</v>
      </c>
      <c r="D2905" s="139" t="s">
        <v>6920</v>
      </c>
    </row>
    <row r="2906" spans="1:4" x14ac:dyDescent="0.25">
      <c r="A2906" s="139" t="s">
        <v>6921</v>
      </c>
      <c r="B2906" s="139" t="s">
        <v>994</v>
      </c>
      <c r="C2906" s="139" t="s">
        <v>2895</v>
      </c>
      <c r="D2906" s="139" t="s">
        <v>6922</v>
      </c>
    </row>
    <row r="2907" spans="1:4" x14ac:dyDescent="0.25">
      <c r="A2907" s="139" t="s">
        <v>6923</v>
      </c>
      <c r="B2907" s="139" t="s">
        <v>994</v>
      </c>
      <c r="C2907" s="139" t="s">
        <v>2895</v>
      </c>
      <c r="D2907" s="139" t="s">
        <v>6924</v>
      </c>
    </row>
    <row r="2908" spans="1:4" x14ac:dyDescent="0.25">
      <c r="A2908" s="139" t="s">
        <v>6925</v>
      </c>
      <c r="B2908" s="139" t="s">
        <v>6413</v>
      </c>
      <c r="C2908" s="139" t="s">
        <v>2895</v>
      </c>
      <c r="D2908" s="139" t="s">
        <v>6926</v>
      </c>
    </row>
    <row r="2909" spans="1:4" x14ac:dyDescent="0.25">
      <c r="A2909" s="139" t="s">
        <v>6927</v>
      </c>
      <c r="B2909" s="139" t="s">
        <v>6413</v>
      </c>
      <c r="C2909" s="139" t="s">
        <v>2895</v>
      </c>
      <c r="D2909" s="139" t="s">
        <v>6928</v>
      </c>
    </row>
    <row r="2910" spans="1:4" x14ac:dyDescent="0.25">
      <c r="A2910" s="139" t="s">
        <v>6929</v>
      </c>
      <c r="B2910" s="139" t="s">
        <v>1159</v>
      </c>
      <c r="C2910" s="139" t="s">
        <v>65</v>
      </c>
      <c r="D2910" s="139" t="s">
        <v>6930</v>
      </c>
    </row>
    <row r="2911" spans="1:4" x14ac:dyDescent="0.25">
      <c r="A2911" s="139" t="s">
        <v>6931</v>
      </c>
      <c r="B2911" s="139" t="s">
        <v>1159</v>
      </c>
      <c r="C2911" s="139" t="s">
        <v>65</v>
      </c>
      <c r="D2911" s="139" t="s">
        <v>6932</v>
      </c>
    </row>
    <row r="2912" spans="1:4" x14ac:dyDescent="0.25">
      <c r="A2912" s="139" t="s">
        <v>6933</v>
      </c>
      <c r="B2912" s="139" t="s">
        <v>4227</v>
      </c>
      <c r="C2912" s="139" t="s">
        <v>65</v>
      </c>
      <c r="D2912" s="139" t="s">
        <v>6934</v>
      </c>
    </row>
    <row r="2913" spans="1:4" x14ac:dyDescent="0.25">
      <c r="A2913" s="139" t="s">
        <v>6935</v>
      </c>
      <c r="B2913" s="139" t="s">
        <v>4227</v>
      </c>
      <c r="C2913" s="139" t="s">
        <v>65</v>
      </c>
      <c r="D2913" s="139" t="s">
        <v>6936</v>
      </c>
    </row>
    <row r="2914" spans="1:4" x14ac:dyDescent="0.25">
      <c r="A2914" s="139" t="s">
        <v>6937</v>
      </c>
      <c r="B2914" s="139" t="s">
        <v>4136</v>
      </c>
      <c r="C2914" s="139" t="s">
        <v>65</v>
      </c>
      <c r="D2914" s="139" t="s">
        <v>6938</v>
      </c>
    </row>
    <row r="2915" spans="1:4" x14ac:dyDescent="0.25">
      <c r="A2915" s="139" t="s">
        <v>6939</v>
      </c>
      <c r="B2915" s="139" t="s">
        <v>4136</v>
      </c>
      <c r="C2915" s="139" t="s">
        <v>65</v>
      </c>
      <c r="D2915" s="139" t="s">
        <v>6940</v>
      </c>
    </row>
    <row r="2916" spans="1:4" x14ac:dyDescent="0.25">
      <c r="A2916" s="139" t="s">
        <v>6941</v>
      </c>
      <c r="B2916" s="139" t="s">
        <v>6942</v>
      </c>
      <c r="C2916" s="139" t="s">
        <v>65</v>
      </c>
      <c r="D2916" s="139" t="s">
        <v>6943</v>
      </c>
    </row>
    <row r="2917" spans="1:4" x14ac:dyDescent="0.25">
      <c r="A2917" s="139" t="s">
        <v>6944</v>
      </c>
      <c r="B2917" s="139" t="s">
        <v>6942</v>
      </c>
      <c r="C2917" s="139" t="s">
        <v>65</v>
      </c>
      <c r="D2917" s="139" t="s">
        <v>6945</v>
      </c>
    </row>
    <row r="2918" spans="1:4" x14ac:dyDescent="0.25">
      <c r="A2918" s="139" t="s">
        <v>6946</v>
      </c>
      <c r="B2918" s="139" t="s">
        <v>4139</v>
      </c>
      <c r="C2918" s="139" t="s">
        <v>65</v>
      </c>
      <c r="D2918" s="139" t="s">
        <v>6947</v>
      </c>
    </row>
    <row r="2919" spans="1:4" x14ac:dyDescent="0.25">
      <c r="A2919" s="139" t="s">
        <v>6948</v>
      </c>
      <c r="B2919" s="139" t="s">
        <v>4139</v>
      </c>
      <c r="C2919" s="139" t="s">
        <v>65</v>
      </c>
      <c r="D2919" s="139" t="s">
        <v>6949</v>
      </c>
    </row>
    <row r="2920" spans="1:4" x14ac:dyDescent="0.25">
      <c r="A2920" s="139" t="s">
        <v>6950</v>
      </c>
      <c r="B2920" s="139" t="s">
        <v>6951</v>
      </c>
      <c r="C2920" s="139" t="s">
        <v>65</v>
      </c>
      <c r="D2920" s="139" t="s">
        <v>6952</v>
      </c>
    </row>
    <row r="2921" spans="1:4" x14ac:dyDescent="0.25">
      <c r="A2921" s="139" t="s">
        <v>6953</v>
      </c>
      <c r="B2921" s="139" t="s">
        <v>6951</v>
      </c>
      <c r="C2921" s="139" t="s">
        <v>65</v>
      </c>
      <c r="D2921" s="139" t="s">
        <v>6954</v>
      </c>
    </row>
    <row r="2922" spans="1:4" x14ac:dyDescent="0.25">
      <c r="A2922" s="139" t="s">
        <v>6955</v>
      </c>
      <c r="B2922" s="139" t="s">
        <v>4039</v>
      </c>
      <c r="C2922" s="139" t="s">
        <v>65</v>
      </c>
      <c r="D2922" s="139" t="s">
        <v>6956</v>
      </c>
    </row>
    <row r="2923" spans="1:4" x14ac:dyDescent="0.25">
      <c r="A2923" s="139" t="s">
        <v>6957</v>
      </c>
      <c r="B2923" s="139" t="s">
        <v>4039</v>
      </c>
      <c r="C2923" s="139" t="s">
        <v>65</v>
      </c>
      <c r="D2923" s="139" t="s">
        <v>6958</v>
      </c>
    </row>
    <row r="2924" spans="1:4" x14ac:dyDescent="0.25">
      <c r="A2924" s="139" t="s">
        <v>6959</v>
      </c>
      <c r="B2924" s="139" t="s">
        <v>6960</v>
      </c>
      <c r="C2924" s="139" t="s">
        <v>65</v>
      </c>
      <c r="D2924" s="139" t="s">
        <v>6961</v>
      </c>
    </row>
    <row r="2925" spans="1:4" x14ac:dyDescent="0.25">
      <c r="A2925" s="139" t="s">
        <v>6962</v>
      </c>
      <c r="B2925" s="139" t="s">
        <v>6960</v>
      </c>
      <c r="C2925" s="139" t="s">
        <v>65</v>
      </c>
      <c r="D2925" s="139" t="s">
        <v>6963</v>
      </c>
    </row>
    <row r="2926" spans="1:4" x14ac:dyDescent="0.25">
      <c r="A2926" s="139" t="s">
        <v>6964</v>
      </c>
      <c r="B2926" s="139" t="s">
        <v>6965</v>
      </c>
      <c r="C2926" s="139" t="s">
        <v>65</v>
      </c>
      <c r="D2926" s="139" t="s">
        <v>6966</v>
      </c>
    </row>
    <row r="2927" spans="1:4" x14ac:dyDescent="0.25">
      <c r="A2927" s="139" t="s">
        <v>6967</v>
      </c>
      <c r="B2927" s="139" t="s">
        <v>6965</v>
      </c>
      <c r="C2927" s="139" t="s">
        <v>65</v>
      </c>
      <c r="D2927" s="139" t="s">
        <v>6968</v>
      </c>
    </row>
    <row r="2928" spans="1:4" x14ac:dyDescent="0.25">
      <c r="A2928" s="139" t="s">
        <v>6969</v>
      </c>
      <c r="B2928" s="139" t="s">
        <v>6970</v>
      </c>
      <c r="C2928" s="139" t="s">
        <v>65</v>
      </c>
      <c r="D2928" s="139" t="s">
        <v>6971</v>
      </c>
    </row>
    <row r="2929" spans="1:4" x14ac:dyDescent="0.25">
      <c r="A2929" s="139" t="s">
        <v>6972</v>
      </c>
      <c r="B2929" s="139" t="s">
        <v>6970</v>
      </c>
      <c r="C2929" s="139" t="s">
        <v>65</v>
      </c>
      <c r="D2929" s="139" t="s">
        <v>6973</v>
      </c>
    </row>
    <row r="2930" spans="1:4" x14ac:dyDescent="0.25">
      <c r="A2930" s="139" t="s">
        <v>6974</v>
      </c>
      <c r="B2930" s="139" t="s">
        <v>332</v>
      </c>
      <c r="C2930" s="139" t="s">
        <v>65</v>
      </c>
      <c r="D2930" s="139" t="s">
        <v>6975</v>
      </c>
    </row>
    <row r="2931" spans="1:4" x14ac:dyDescent="0.25">
      <c r="A2931" s="139" t="s">
        <v>6976</v>
      </c>
      <c r="B2931" s="139" t="s">
        <v>332</v>
      </c>
      <c r="C2931" s="139" t="s">
        <v>65</v>
      </c>
      <c r="D2931" s="139" t="s">
        <v>6977</v>
      </c>
    </row>
    <row r="2932" spans="1:4" x14ac:dyDescent="0.25">
      <c r="A2932" s="139" t="s">
        <v>6978</v>
      </c>
      <c r="B2932" s="139" t="s">
        <v>1238</v>
      </c>
      <c r="C2932" s="139" t="s">
        <v>65</v>
      </c>
      <c r="D2932" s="139" t="s">
        <v>6979</v>
      </c>
    </row>
    <row r="2933" spans="1:4" x14ac:dyDescent="0.25">
      <c r="A2933" s="139" t="s">
        <v>6980</v>
      </c>
      <c r="B2933" s="139" t="s">
        <v>1238</v>
      </c>
      <c r="C2933" s="139" t="s">
        <v>65</v>
      </c>
      <c r="D2933" s="139" t="s">
        <v>6981</v>
      </c>
    </row>
    <row r="2934" spans="1:4" x14ac:dyDescent="0.25">
      <c r="A2934" s="139" t="s">
        <v>6982</v>
      </c>
      <c r="B2934" s="139" t="s">
        <v>329</v>
      </c>
      <c r="C2934" s="139" t="s">
        <v>65</v>
      </c>
      <c r="D2934" s="139" t="s">
        <v>6983</v>
      </c>
    </row>
    <row r="2935" spans="1:4" x14ac:dyDescent="0.25">
      <c r="A2935" s="139" t="s">
        <v>6984</v>
      </c>
      <c r="B2935" s="139" t="s">
        <v>329</v>
      </c>
      <c r="C2935" s="139" t="s">
        <v>65</v>
      </c>
      <c r="D2935" s="139" t="s">
        <v>6985</v>
      </c>
    </row>
    <row r="2936" spans="1:4" x14ac:dyDescent="0.25">
      <c r="A2936" s="139" t="s">
        <v>6986</v>
      </c>
      <c r="B2936" s="139" t="s">
        <v>5236</v>
      </c>
      <c r="C2936" s="139" t="s">
        <v>65</v>
      </c>
      <c r="D2936" s="139" t="s">
        <v>6987</v>
      </c>
    </row>
    <row r="2937" spans="1:4" x14ac:dyDescent="0.25">
      <c r="A2937" s="139" t="s">
        <v>6988</v>
      </c>
      <c r="B2937" s="139" t="s">
        <v>5236</v>
      </c>
      <c r="C2937" s="139" t="s">
        <v>65</v>
      </c>
      <c r="D2937" s="139" t="s">
        <v>6989</v>
      </c>
    </row>
    <row r="2938" spans="1:4" x14ac:dyDescent="0.25">
      <c r="A2938" s="139" t="s">
        <v>6990</v>
      </c>
      <c r="B2938" s="139" t="s">
        <v>122</v>
      </c>
      <c r="C2938" s="139" t="s">
        <v>65</v>
      </c>
      <c r="D2938" s="139" t="s">
        <v>6991</v>
      </c>
    </row>
    <row r="2939" spans="1:4" x14ac:dyDescent="0.25">
      <c r="A2939" s="139" t="s">
        <v>6992</v>
      </c>
      <c r="B2939" s="139" t="s">
        <v>122</v>
      </c>
      <c r="C2939" s="139" t="s">
        <v>65</v>
      </c>
      <c r="D2939" s="139" t="s">
        <v>6993</v>
      </c>
    </row>
    <row r="2940" spans="1:4" x14ac:dyDescent="0.25">
      <c r="A2940" s="139" t="s">
        <v>6994</v>
      </c>
      <c r="B2940" s="139" t="s">
        <v>6995</v>
      </c>
      <c r="C2940" s="139" t="s">
        <v>65</v>
      </c>
      <c r="D2940" s="139" t="s">
        <v>6996</v>
      </c>
    </row>
    <row r="2941" spans="1:4" x14ac:dyDescent="0.25">
      <c r="A2941" s="139" t="s">
        <v>6997</v>
      </c>
      <c r="B2941" s="139" t="s">
        <v>6995</v>
      </c>
      <c r="C2941" s="139" t="s">
        <v>65</v>
      </c>
      <c r="D2941" s="139" t="s">
        <v>6998</v>
      </c>
    </row>
    <row r="2942" spans="1:4" x14ac:dyDescent="0.25">
      <c r="A2942" s="139" t="s">
        <v>6999</v>
      </c>
      <c r="B2942" s="139" t="s">
        <v>7000</v>
      </c>
      <c r="C2942" s="139" t="s">
        <v>65</v>
      </c>
      <c r="D2942" s="139" t="s">
        <v>7001</v>
      </c>
    </row>
    <row r="2943" spans="1:4" x14ac:dyDescent="0.25">
      <c r="A2943" s="139" t="s">
        <v>7002</v>
      </c>
      <c r="B2943" s="139" t="s">
        <v>7000</v>
      </c>
      <c r="C2943" s="139" t="s">
        <v>65</v>
      </c>
      <c r="D2943" s="139" t="s">
        <v>7003</v>
      </c>
    </row>
    <row r="2944" spans="1:4" x14ac:dyDescent="0.25">
      <c r="A2944" s="139" t="s">
        <v>7004</v>
      </c>
      <c r="B2944" s="139" t="s">
        <v>989</v>
      </c>
      <c r="C2944" s="139" t="s">
        <v>65</v>
      </c>
      <c r="D2944" s="139" t="s">
        <v>7005</v>
      </c>
    </row>
    <row r="2945" spans="1:4" x14ac:dyDescent="0.25">
      <c r="A2945" s="139" t="s">
        <v>7006</v>
      </c>
      <c r="B2945" s="139" t="s">
        <v>989</v>
      </c>
      <c r="C2945" s="139" t="s">
        <v>65</v>
      </c>
      <c r="D2945" s="139" t="s">
        <v>7007</v>
      </c>
    </row>
    <row r="2946" spans="1:4" x14ac:dyDescent="0.25">
      <c r="A2946" s="139" t="s">
        <v>7008</v>
      </c>
      <c r="B2946" s="139" t="s">
        <v>994</v>
      </c>
      <c r="C2946" s="139" t="s">
        <v>65</v>
      </c>
      <c r="D2946" s="139" t="s">
        <v>7009</v>
      </c>
    </row>
    <row r="2947" spans="1:4" x14ac:dyDescent="0.25">
      <c r="A2947" s="139" t="s">
        <v>7010</v>
      </c>
      <c r="B2947" s="139" t="s">
        <v>994</v>
      </c>
      <c r="C2947" s="139" t="s">
        <v>65</v>
      </c>
      <c r="D2947" s="139" t="s">
        <v>7011</v>
      </c>
    </row>
    <row r="2948" spans="1:4" x14ac:dyDescent="0.25">
      <c r="A2948" s="139" t="s">
        <v>7012</v>
      </c>
      <c r="B2948" s="139" t="s">
        <v>7013</v>
      </c>
      <c r="C2948" s="139" t="s">
        <v>65</v>
      </c>
      <c r="D2948" s="139" t="s">
        <v>7014</v>
      </c>
    </row>
    <row r="2949" spans="1:4" x14ac:dyDescent="0.25">
      <c r="A2949" s="139" t="s">
        <v>7015</v>
      </c>
      <c r="B2949" s="139" t="s">
        <v>7013</v>
      </c>
      <c r="C2949" s="139" t="s">
        <v>65</v>
      </c>
      <c r="D2949" s="139" t="s">
        <v>7016</v>
      </c>
    </row>
    <row r="2950" spans="1:4" x14ac:dyDescent="0.25">
      <c r="A2950" s="139" t="s">
        <v>7017</v>
      </c>
      <c r="B2950" s="139" t="s">
        <v>2153</v>
      </c>
      <c r="C2950" s="139" t="s">
        <v>65</v>
      </c>
      <c r="D2950" s="139" t="s">
        <v>7018</v>
      </c>
    </row>
    <row r="2951" spans="1:4" x14ac:dyDescent="0.25">
      <c r="A2951" s="139" t="s">
        <v>7019</v>
      </c>
      <c r="B2951" s="139" t="s">
        <v>2153</v>
      </c>
      <c r="C2951" s="139" t="s">
        <v>65</v>
      </c>
      <c r="D2951" s="139" t="s">
        <v>7020</v>
      </c>
    </row>
    <row r="2952" spans="1:4" x14ac:dyDescent="0.25">
      <c r="A2952" s="139" t="s">
        <v>7021</v>
      </c>
      <c r="B2952" s="139" t="s">
        <v>1554</v>
      </c>
      <c r="C2952" s="139" t="s">
        <v>65</v>
      </c>
      <c r="D2952" s="139" t="s">
        <v>7022</v>
      </c>
    </row>
    <row r="2953" spans="1:4" x14ac:dyDescent="0.25">
      <c r="A2953" s="139" t="s">
        <v>7023</v>
      </c>
      <c r="B2953" s="139" t="s">
        <v>1554</v>
      </c>
      <c r="C2953" s="139" t="s">
        <v>65</v>
      </c>
      <c r="D2953" s="139" t="s">
        <v>7024</v>
      </c>
    </row>
    <row r="2954" spans="1:4" x14ac:dyDescent="0.25">
      <c r="A2954" s="139" t="s">
        <v>7025</v>
      </c>
      <c r="B2954" s="139" t="s">
        <v>7026</v>
      </c>
      <c r="C2954" s="139" t="s">
        <v>65</v>
      </c>
      <c r="D2954" s="139" t="s">
        <v>7027</v>
      </c>
    </row>
    <row r="2955" spans="1:4" x14ac:dyDescent="0.25">
      <c r="A2955" s="139" t="s">
        <v>7028</v>
      </c>
      <c r="B2955" s="139" t="s">
        <v>7026</v>
      </c>
      <c r="C2955" s="139" t="s">
        <v>65</v>
      </c>
      <c r="D2955" s="139" t="s">
        <v>7029</v>
      </c>
    </row>
    <row r="2956" spans="1:4" x14ac:dyDescent="0.25">
      <c r="A2956" s="139" t="s">
        <v>7030</v>
      </c>
      <c r="B2956" s="139" t="s">
        <v>4147</v>
      </c>
      <c r="C2956" s="139" t="s">
        <v>65</v>
      </c>
      <c r="D2956" s="139" t="s">
        <v>7031</v>
      </c>
    </row>
    <row r="2957" spans="1:4" x14ac:dyDescent="0.25">
      <c r="A2957" s="139" t="s">
        <v>7032</v>
      </c>
      <c r="B2957" s="139" t="s">
        <v>4147</v>
      </c>
      <c r="C2957" s="139" t="s">
        <v>65</v>
      </c>
      <c r="D2957" s="139" t="s">
        <v>7033</v>
      </c>
    </row>
    <row r="2958" spans="1:4" x14ac:dyDescent="0.25">
      <c r="A2958" s="139" t="s">
        <v>7034</v>
      </c>
      <c r="B2958" s="139" t="s">
        <v>3202</v>
      </c>
      <c r="C2958" s="139" t="s">
        <v>65</v>
      </c>
      <c r="D2958" s="139" t="s">
        <v>7035</v>
      </c>
    </row>
    <row r="2959" spans="1:4" x14ac:dyDescent="0.25">
      <c r="A2959" s="139" t="s">
        <v>7036</v>
      </c>
      <c r="B2959" s="139" t="s">
        <v>3202</v>
      </c>
      <c r="C2959" s="139" t="s">
        <v>65</v>
      </c>
      <c r="D2959" s="139" t="s">
        <v>7037</v>
      </c>
    </row>
    <row r="2960" spans="1:4" x14ac:dyDescent="0.25">
      <c r="A2960" s="139" t="s">
        <v>7038</v>
      </c>
      <c r="B2960" s="139" t="s">
        <v>4196</v>
      </c>
      <c r="C2960" s="139" t="s">
        <v>44</v>
      </c>
      <c r="D2960" s="139" t="s">
        <v>7039</v>
      </c>
    </row>
    <row r="2961" spans="1:4" x14ac:dyDescent="0.25">
      <c r="A2961" s="139" t="s">
        <v>7040</v>
      </c>
      <c r="B2961" s="139" t="s">
        <v>4196</v>
      </c>
      <c r="C2961" s="139" t="s">
        <v>44</v>
      </c>
      <c r="D2961" s="139" t="s">
        <v>7041</v>
      </c>
    </row>
    <row r="2962" spans="1:4" x14ac:dyDescent="0.25">
      <c r="A2962" s="139" t="s">
        <v>7042</v>
      </c>
      <c r="B2962" s="139" t="s">
        <v>7043</v>
      </c>
      <c r="C2962" s="139" t="s">
        <v>44</v>
      </c>
      <c r="D2962" s="139" t="s">
        <v>7044</v>
      </c>
    </row>
    <row r="2963" spans="1:4" x14ac:dyDescent="0.25">
      <c r="A2963" s="139" t="s">
        <v>7045</v>
      </c>
      <c r="B2963" s="139" t="s">
        <v>7043</v>
      </c>
      <c r="C2963" s="139" t="s">
        <v>44</v>
      </c>
      <c r="D2963" s="139" t="s">
        <v>7046</v>
      </c>
    </row>
    <row r="2964" spans="1:4" x14ac:dyDescent="0.25">
      <c r="A2964" s="139" t="s">
        <v>7047</v>
      </c>
      <c r="B2964" s="139" t="s">
        <v>1049</v>
      </c>
      <c r="C2964" s="139" t="s">
        <v>65</v>
      </c>
      <c r="D2964" s="139" t="s">
        <v>7048</v>
      </c>
    </row>
    <row r="2965" spans="1:4" x14ac:dyDescent="0.25">
      <c r="A2965" s="139" t="s">
        <v>7049</v>
      </c>
      <c r="B2965" s="139" t="s">
        <v>1049</v>
      </c>
      <c r="C2965" s="139" t="s">
        <v>65</v>
      </c>
      <c r="D2965" s="139" t="s">
        <v>7050</v>
      </c>
    </row>
    <row r="2966" spans="1:4" x14ac:dyDescent="0.25">
      <c r="A2966" s="139" t="s">
        <v>7051</v>
      </c>
      <c r="B2966" s="139" t="s">
        <v>4144</v>
      </c>
      <c r="C2966" s="139" t="s">
        <v>65</v>
      </c>
      <c r="D2966" s="139" t="s">
        <v>7052</v>
      </c>
    </row>
    <row r="2967" spans="1:4" x14ac:dyDescent="0.25">
      <c r="A2967" s="139" t="s">
        <v>7053</v>
      </c>
      <c r="B2967" s="139" t="s">
        <v>4144</v>
      </c>
      <c r="C2967" s="139" t="s">
        <v>65</v>
      </c>
      <c r="D2967" s="139" t="s">
        <v>7054</v>
      </c>
    </row>
    <row r="2968" spans="1:4" x14ac:dyDescent="0.25">
      <c r="A2968" s="139" t="s">
        <v>7055</v>
      </c>
      <c r="B2968" s="139" t="s">
        <v>7056</v>
      </c>
      <c r="C2968" s="139" t="s">
        <v>65</v>
      </c>
      <c r="D2968" s="139" t="s">
        <v>7057</v>
      </c>
    </row>
    <row r="2969" spans="1:4" x14ac:dyDescent="0.25">
      <c r="A2969" s="139" t="s">
        <v>7058</v>
      </c>
      <c r="B2969" s="139" t="s">
        <v>7056</v>
      </c>
      <c r="C2969" s="139" t="s">
        <v>65</v>
      </c>
      <c r="D2969" s="139" t="s">
        <v>7059</v>
      </c>
    </row>
    <row r="2970" spans="1:4" x14ac:dyDescent="0.25">
      <c r="A2970" s="139" t="s">
        <v>7060</v>
      </c>
      <c r="B2970" s="139" t="s">
        <v>7061</v>
      </c>
      <c r="C2970" s="139" t="s">
        <v>65</v>
      </c>
      <c r="D2970" s="139" t="s">
        <v>7062</v>
      </c>
    </row>
    <row r="2971" spans="1:4" x14ac:dyDescent="0.25">
      <c r="A2971" s="139" t="s">
        <v>7063</v>
      </c>
      <c r="B2971" s="139" t="s">
        <v>7061</v>
      </c>
      <c r="C2971" s="139" t="s">
        <v>65</v>
      </c>
      <c r="D2971" s="139" t="s">
        <v>7064</v>
      </c>
    </row>
    <row r="2972" spans="1:4" x14ac:dyDescent="0.25">
      <c r="A2972" s="139" t="s">
        <v>7065</v>
      </c>
      <c r="B2972" s="139" t="s">
        <v>2384</v>
      </c>
      <c r="C2972" s="139" t="s">
        <v>112</v>
      </c>
      <c r="D2972" s="139" t="s">
        <v>7066</v>
      </c>
    </row>
    <row r="2973" spans="1:4" x14ac:dyDescent="0.25">
      <c r="A2973" s="139" t="s">
        <v>7067</v>
      </c>
      <c r="B2973" s="139" t="s">
        <v>2384</v>
      </c>
      <c r="C2973" s="139" t="s">
        <v>112</v>
      </c>
      <c r="D2973" s="139" t="s">
        <v>7068</v>
      </c>
    </row>
    <row r="2974" spans="1:4" x14ac:dyDescent="0.25">
      <c r="A2974" s="139" t="s">
        <v>7069</v>
      </c>
      <c r="B2974" s="139" t="s">
        <v>2303</v>
      </c>
      <c r="C2974" s="139" t="s">
        <v>112</v>
      </c>
      <c r="D2974" s="139" t="s">
        <v>7070</v>
      </c>
    </row>
    <row r="2975" spans="1:4" x14ac:dyDescent="0.25">
      <c r="A2975" s="139" t="s">
        <v>7071</v>
      </c>
      <c r="B2975" s="139" t="s">
        <v>2303</v>
      </c>
      <c r="C2975" s="139" t="s">
        <v>112</v>
      </c>
      <c r="D2975" s="139" t="s">
        <v>7072</v>
      </c>
    </row>
    <row r="2976" spans="1:4" x14ac:dyDescent="0.25">
      <c r="A2976" s="139" t="s">
        <v>7073</v>
      </c>
      <c r="B2976" s="139" t="s">
        <v>7074</v>
      </c>
      <c r="C2976" s="139" t="s">
        <v>112</v>
      </c>
      <c r="D2976" s="139" t="s">
        <v>7075</v>
      </c>
    </row>
    <row r="2977" spans="1:4" x14ac:dyDescent="0.25">
      <c r="A2977" s="139" t="s">
        <v>7076</v>
      </c>
      <c r="B2977" s="139" t="s">
        <v>7074</v>
      </c>
      <c r="C2977" s="139" t="s">
        <v>112</v>
      </c>
      <c r="D2977" s="139" t="s">
        <v>7077</v>
      </c>
    </row>
    <row r="2978" spans="1:4" x14ac:dyDescent="0.25">
      <c r="A2978" s="139" t="s">
        <v>7078</v>
      </c>
      <c r="B2978" s="139" t="s">
        <v>7079</v>
      </c>
      <c r="C2978" s="139" t="s">
        <v>112</v>
      </c>
      <c r="D2978" s="139" t="s">
        <v>7080</v>
      </c>
    </row>
    <row r="2979" spans="1:4" x14ac:dyDescent="0.25">
      <c r="A2979" s="139" t="s">
        <v>7081</v>
      </c>
      <c r="B2979" s="139" t="s">
        <v>7079</v>
      </c>
      <c r="C2979" s="139" t="s">
        <v>112</v>
      </c>
      <c r="D2979" s="139" t="s">
        <v>7082</v>
      </c>
    </row>
    <row r="2980" spans="1:4" x14ac:dyDescent="0.25">
      <c r="A2980" s="139" t="s">
        <v>7083</v>
      </c>
      <c r="B2980" s="139" t="s">
        <v>2452</v>
      </c>
      <c r="C2980" s="139" t="s">
        <v>112</v>
      </c>
      <c r="D2980" s="139" t="s">
        <v>7084</v>
      </c>
    </row>
    <row r="2981" spans="1:4" x14ac:dyDescent="0.25">
      <c r="A2981" s="139" t="s">
        <v>7085</v>
      </c>
      <c r="B2981" s="139" t="s">
        <v>2452</v>
      </c>
      <c r="C2981" s="139" t="s">
        <v>112</v>
      </c>
      <c r="D2981" s="139" t="s">
        <v>7086</v>
      </c>
    </row>
    <row r="2982" spans="1:4" x14ac:dyDescent="0.25">
      <c r="A2982" s="139" t="s">
        <v>7087</v>
      </c>
      <c r="B2982" s="139" t="s">
        <v>7088</v>
      </c>
      <c r="C2982" s="139" t="s">
        <v>112</v>
      </c>
      <c r="D2982" s="139" t="s">
        <v>7089</v>
      </c>
    </row>
    <row r="2983" spans="1:4" x14ac:dyDescent="0.25">
      <c r="A2983" s="139" t="s">
        <v>7090</v>
      </c>
      <c r="B2983" s="139" t="s">
        <v>7088</v>
      </c>
      <c r="C2983" s="139" t="s">
        <v>112</v>
      </c>
      <c r="D2983" s="139" t="s">
        <v>7091</v>
      </c>
    </row>
    <row r="2984" spans="1:4" x14ac:dyDescent="0.25">
      <c r="A2984" s="139" t="s">
        <v>7092</v>
      </c>
      <c r="B2984" s="139" t="s">
        <v>7093</v>
      </c>
      <c r="C2984" s="139" t="s">
        <v>112</v>
      </c>
      <c r="D2984" s="139" t="s">
        <v>7094</v>
      </c>
    </row>
    <row r="2985" spans="1:4" x14ac:dyDescent="0.25">
      <c r="A2985" s="139" t="s">
        <v>7095</v>
      </c>
      <c r="B2985" s="139" t="s">
        <v>7093</v>
      </c>
      <c r="C2985" s="139" t="s">
        <v>112</v>
      </c>
      <c r="D2985" s="139" t="s">
        <v>7096</v>
      </c>
    </row>
    <row r="2986" spans="1:4" x14ac:dyDescent="0.25">
      <c r="A2986" s="139" t="s">
        <v>7097</v>
      </c>
      <c r="B2986" s="139" t="s">
        <v>2490</v>
      </c>
      <c r="C2986" s="139" t="s">
        <v>112</v>
      </c>
      <c r="D2986" s="139" t="s">
        <v>7098</v>
      </c>
    </row>
    <row r="2987" spans="1:4" x14ac:dyDescent="0.25">
      <c r="A2987" s="139" t="s">
        <v>7099</v>
      </c>
      <c r="B2987" s="139" t="s">
        <v>2490</v>
      </c>
      <c r="C2987" s="139" t="s">
        <v>112</v>
      </c>
      <c r="D2987" s="139" t="s">
        <v>7100</v>
      </c>
    </row>
    <row r="2988" spans="1:4" x14ac:dyDescent="0.25">
      <c r="A2988" s="139" t="s">
        <v>7101</v>
      </c>
      <c r="B2988" s="139" t="s">
        <v>7102</v>
      </c>
      <c r="C2988" s="139" t="s">
        <v>112</v>
      </c>
      <c r="D2988" s="139" t="s">
        <v>7103</v>
      </c>
    </row>
    <row r="2989" spans="1:4" x14ac:dyDescent="0.25">
      <c r="A2989" s="139" t="s">
        <v>7104</v>
      </c>
      <c r="B2989" s="139" t="s">
        <v>7102</v>
      </c>
      <c r="C2989" s="139" t="s">
        <v>112</v>
      </c>
      <c r="D2989" s="139" t="s">
        <v>7105</v>
      </c>
    </row>
    <row r="2990" spans="1:4" x14ac:dyDescent="0.25">
      <c r="A2990" s="139" t="s">
        <v>7106</v>
      </c>
      <c r="B2990" s="139" t="s">
        <v>2352</v>
      </c>
      <c r="C2990" s="139" t="s">
        <v>112</v>
      </c>
      <c r="D2990" s="139" t="s">
        <v>7107</v>
      </c>
    </row>
    <row r="2991" spans="1:4" x14ac:dyDescent="0.25">
      <c r="A2991" s="139" t="s">
        <v>7108</v>
      </c>
      <c r="B2991" s="139" t="s">
        <v>2352</v>
      </c>
      <c r="C2991" s="139" t="s">
        <v>112</v>
      </c>
      <c r="D2991" s="139" t="s">
        <v>7109</v>
      </c>
    </row>
    <row r="2992" spans="1:4" x14ac:dyDescent="0.25">
      <c r="A2992" s="139" t="s">
        <v>7110</v>
      </c>
      <c r="B2992" s="139" t="s">
        <v>310</v>
      </c>
      <c r="C2992" s="139" t="s">
        <v>112</v>
      </c>
      <c r="D2992" s="139" t="s">
        <v>7111</v>
      </c>
    </row>
    <row r="2993" spans="1:4" x14ac:dyDescent="0.25">
      <c r="A2993" s="139" t="s">
        <v>7112</v>
      </c>
      <c r="B2993" s="139" t="s">
        <v>310</v>
      </c>
      <c r="C2993" s="139" t="s">
        <v>112</v>
      </c>
      <c r="D2993" s="139" t="s">
        <v>7113</v>
      </c>
    </row>
    <row r="2994" spans="1:4" x14ac:dyDescent="0.25">
      <c r="A2994" s="139" t="s">
        <v>7114</v>
      </c>
      <c r="B2994" s="139" t="s">
        <v>7115</v>
      </c>
      <c r="C2994" s="139" t="s">
        <v>112</v>
      </c>
      <c r="D2994" s="139" t="s">
        <v>7116</v>
      </c>
    </row>
    <row r="2995" spans="1:4" x14ac:dyDescent="0.25">
      <c r="A2995" s="139" t="s">
        <v>7117</v>
      </c>
      <c r="B2995" s="139" t="s">
        <v>7115</v>
      </c>
      <c r="C2995" s="139" t="s">
        <v>112</v>
      </c>
      <c r="D2995" s="139" t="s">
        <v>7118</v>
      </c>
    </row>
    <row r="2996" spans="1:4" x14ac:dyDescent="0.25">
      <c r="A2996" s="139" t="s">
        <v>7119</v>
      </c>
      <c r="B2996" s="139" t="s">
        <v>7120</v>
      </c>
      <c r="C2996" s="139" t="s">
        <v>112</v>
      </c>
      <c r="D2996" s="139" t="s">
        <v>7121</v>
      </c>
    </row>
    <row r="2997" spans="1:4" x14ac:dyDescent="0.25">
      <c r="A2997" s="139" t="s">
        <v>7122</v>
      </c>
      <c r="B2997" s="139" t="s">
        <v>7120</v>
      </c>
      <c r="C2997" s="139" t="s">
        <v>112</v>
      </c>
      <c r="D2997" s="139" t="s">
        <v>7123</v>
      </c>
    </row>
    <row r="2998" spans="1:4" x14ac:dyDescent="0.25">
      <c r="A2998" s="139" t="s">
        <v>7124</v>
      </c>
      <c r="B2998" s="139" t="s">
        <v>2402</v>
      </c>
      <c r="C2998" s="139" t="s">
        <v>112</v>
      </c>
      <c r="D2998" s="139" t="s">
        <v>7125</v>
      </c>
    </row>
    <row r="2999" spans="1:4" x14ac:dyDescent="0.25">
      <c r="A2999" s="139" t="s">
        <v>7126</v>
      </c>
      <c r="B2999" s="139" t="s">
        <v>2402</v>
      </c>
      <c r="C2999" s="139" t="s">
        <v>112</v>
      </c>
      <c r="D2999" s="139" t="s">
        <v>7127</v>
      </c>
    </row>
    <row r="3000" spans="1:4" x14ac:dyDescent="0.25">
      <c r="A3000" s="139" t="s">
        <v>7128</v>
      </c>
      <c r="B3000" s="139" t="s">
        <v>7129</v>
      </c>
      <c r="C3000" s="139" t="s">
        <v>112</v>
      </c>
      <c r="D3000" s="139" t="s">
        <v>7130</v>
      </c>
    </row>
    <row r="3001" spans="1:4" x14ac:dyDescent="0.25">
      <c r="A3001" s="139" t="s">
        <v>7131</v>
      </c>
      <c r="B3001" s="139" t="s">
        <v>7129</v>
      </c>
      <c r="C3001" s="139" t="s">
        <v>112</v>
      </c>
      <c r="D3001" s="139" t="s">
        <v>7132</v>
      </c>
    </row>
    <row r="3002" spans="1:4" x14ac:dyDescent="0.25">
      <c r="A3002" s="139" t="s">
        <v>7133</v>
      </c>
      <c r="B3002" s="139" t="s">
        <v>2414</v>
      </c>
      <c r="C3002" s="139" t="s">
        <v>112</v>
      </c>
      <c r="D3002" s="139" t="s">
        <v>7134</v>
      </c>
    </row>
    <row r="3003" spans="1:4" x14ac:dyDescent="0.25">
      <c r="A3003" s="139" t="s">
        <v>7135</v>
      </c>
      <c r="B3003" s="139" t="s">
        <v>2414</v>
      </c>
      <c r="C3003" s="139" t="s">
        <v>112</v>
      </c>
      <c r="D3003" s="139" t="s">
        <v>7136</v>
      </c>
    </row>
    <row r="3004" spans="1:4" x14ac:dyDescent="0.25">
      <c r="A3004" s="139" t="s">
        <v>7137</v>
      </c>
      <c r="B3004" s="139" t="s">
        <v>895</v>
      </c>
      <c r="C3004" s="139" t="s">
        <v>112</v>
      </c>
      <c r="D3004" s="139" t="s">
        <v>7138</v>
      </c>
    </row>
    <row r="3005" spans="1:4" x14ac:dyDescent="0.25">
      <c r="A3005" s="139" t="s">
        <v>7139</v>
      </c>
      <c r="B3005" s="139" t="s">
        <v>895</v>
      </c>
      <c r="C3005" s="139" t="s">
        <v>112</v>
      </c>
      <c r="D3005" s="139" t="s">
        <v>7140</v>
      </c>
    </row>
    <row r="3006" spans="1:4" x14ac:dyDescent="0.25">
      <c r="A3006" s="139" t="s">
        <v>7141</v>
      </c>
      <c r="B3006" s="139" t="s">
        <v>7142</v>
      </c>
      <c r="C3006" s="139" t="s">
        <v>112</v>
      </c>
      <c r="D3006" s="139" t="s">
        <v>7143</v>
      </c>
    </row>
    <row r="3007" spans="1:4" x14ac:dyDescent="0.25">
      <c r="A3007" s="139" t="s">
        <v>7144</v>
      </c>
      <c r="B3007" s="139" t="s">
        <v>7142</v>
      </c>
      <c r="C3007" s="139" t="s">
        <v>112</v>
      </c>
      <c r="D3007" s="139" t="s">
        <v>7145</v>
      </c>
    </row>
    <row r="3008" spans="1:4" x14ac:dyDescent="0.25">
      <c r="A3008" s="139" t="s">
        <v>7146</v>
      </c>
      <c r="B3008" s="139" t="s">
        <v>7147</v>
      </c>
      <c r="C3008" s="139" t="s">
        <v>112</v>
      </c>
      <c r="D3008" s="139" t="s">
        <v>7148</v>
      </c>
    </row>
    <row r="3009" spans="1:4" x14ac:dyDescent="0.25">
      <c r="A3009" s="139" t="s">
        <v>7149</v>
      </c>
      <c r="B3009" s="139" t="s">
        <v>7147</v>
      </c>
      <c r="C3009" s="139" t="s">
        <v>112</v>
      </c>
      <c r="D3009" s="139" t="s">
        <v>7150</v>
      </c>
    </row>
    <row r="3010" spans="1:4" x14ac:dyDescent="0.25">
      <c r="A3010" s="139" t="s">
        <v>7151</v>
      </c>
      <c r="B3010" s="139" t="s">
        <v>7152</v>
      </c>
      <c r="C3010" s="139" t="s">
        <v>112</v>
      </c>
      <c r="D3010" s="139" t="s">
        <v>7153</v>
      </c>
    </row>
    <row r="3011" spans="1:4" x14ac:dyDescent="0.25">
      <c r="A3011" s="139" t="s">
        <v>7154</v>
      </c>
      <c r="B3011" s="139" t="s">
        <v>7152</v>
      </c>
      <c r="C3011" s="139" t="s">
        <v>112</v>
      </c>
      <c r="D3011" s="139" t="s">
        <v>7155</v>
      </c>
    </row>
    <row r="3012" spans="1:4" x14ac:dyDescent="0.25">
      <c r="A3012" s="139" t="s">
        <v>7156</v>
      </c>
      <c r="B3012" s="139" t="s">
        <v>346</v>
      </c>
      <c r="C3012" s="139" t="s">
        <v>33</v>
      </c>
      <c r="D3012" s="139" t="s">
        <v>7157</v>
      </c>
    </row>
    <row r="3013" spans="1:4" x14ac:dyDescent="0.25">
      <c r="A3013" s="139" t="s">
        <v>7158</v>
      </c>
      <c r="B3013" s="139" t="s">
        <v>346</v>
      </c>
      <c r="C3013" s="139" t="s">
        <v>33</v>
      </c>
      <c r="D3013" s="139" t="s">
        <v>7159</v>
      </c>
    </row>
    <row r="3014" spans="1:4" x14ac:dyDescent="0.25">
      <c r="A3014" s="139" t="s">
        <v>7160</v>
      </c>
      <c r="B3014" s="139" t="s">
        <v>349</v>
      </c>
      <c r="C3014" s="139" t="s">
        <v>33</v>
      </c>
      <c r="D3014" s="139" t="s">
        <v>7161</v>
      </c>
    </row>
    <row r="3015" spans="1:4" x14ac:dyDescent="0.25">
      <c r="A3015" s="139" t="s">
        <v>7162</v>
      </c>
      <c r="B3015" s="139" t="s">
        <v>349</v>
      </c>
      <c r="C3015" s="139" t="s">
        <v>33</v>
      </c>
      <c r="D3015" s="139" t="s">
        <v>7163</v>
      </c>
    </row>
    <row r="3016" spans="1:4" x14ac:dyDescent="0.25">
      <c r="A3016" s="139" t="s">
        <v>7164</v>
      </c>
      <c r="B3016" s="139" t="s">
        <v>354</v>
      </c>
      <c r="C3016" s="139" t="s">
        <v>123</v>
      </c>
      <c r="D3016" s="139" t="s">
        <v>7165</v>
      </c>
    </row>
    <row r="3017" spans="1:4" x14ac:dyDescent="0.25">
      <c r="A3017" s="139" t="s">
        <v>7166</v>
      </c>
      <c r="B3017" s="139" t="s">
        <v>354</v>
      </c>
      <c r="C3017" s="139" t="s">
        <v>123</v>
      </c>
      <c r="D3017" s="139" t="s">
        <v>7167</v>
      </c>
    </row>
    <row r="3018" spans="1:4" x14ac:dyDescent="0.25">
      <c r="A3018" s="139" t="s">
        <v>7168</v>
      </c>
      <c r="B3018" s="139" t="s">
        <v>346</v>
      </c>
      <c r="C3018" s="139" t="s">
        <v>123</v>
      </c>
      <c r="D3018" s="139" t="s">
        <v>7169</v>
      </c>
    </row>
    <row r="3019" spans="1:4" x14ac:dyDescent="0.25">
      <c r="A3019" s="139" t="s">
        <v>7170</v>
      </c>
      <c r="B3019" s="139" t="s">
        <v>346</v>
      </c>
      <c r="C3019" s="139" t="s">
        <v>123</v>
      </c>
      <c r="D3019" s="139" t="s">
        <v>7171</v>
      </c>
    </row>
    <row r="3020" spans="1:4" x14ac:dyDescent="0.25">
      <c r="A3020" s="139" t="s">
        <v>7172</v>
      </c>
      <c r="B3020" s="139" t="s">
        <v>349</v>
      </c>
      <c r="C3020" s="139" t="s">
        <v>123</v>
      </c>
      <c r="D3020" s="139" t="s">
        <v>7173</v>
      </c>
    </row>
    <row r="3021" spans="1:4" x14ac:dyDescent="0.25">
      <c r="A3021" s="139" t="s">
        <v>7174</v>
      </c>
      <c r="B3021" s="139" t="s">
        <v>349</v>
      </c>
      <c r="C3021" s="139" t="s">
        <v>123</v>
      </c>
      <c r="D3021" s="139" t="s">
        <v>7175</v>
      </c>
    </row>
    <row r="3022" spans="1:4" x14ac:dyDescent="0.25">
      <c r="A3022" s="139" t="s">
        <v>7176</v>
      </c>
      <c r="B3022" s="139" t="s">
        <v>7177</v>
      </c>
      <c r="C3022" s="139" t="s">
        <v>123</v>
      </c>
      <c r="D3022" s="139" t="s">
        <v>7178</v>
      </c>
    </row>
    <row r="3023" spans="1:4" x14ac:dyDescent="0.25">
      <c r="A3023" s="139" t="s">
        <v>7179</v>
      </c>
      <c r="B3023" s="139" t="s">
        <v>7177</v>
      </c>
      <c r="C3023" s="139" t="s">
        <v>123</v>
      </c>
      <c r="D3023" s="139" t="s">
        <v>7180</v>
      </c>
    </row>
    <row r="3024" spans="1:4" x14ac:dyDescent="0.25">
      <c r="A3024" s="139" t="s">
        <v>7181</v>
      </c>
      <c r="B3024" s="139" t="s">
        <v>3310</v>
      </c>
      <c r="C3024" s="139" t="s">
        <v>123</v>
      </c>
      <c r="D3024" s="139" t="s">
        <v>7182</v>
      </c>
    </row>
    <row r="3025" spans="1:4" x14ac:dyDescent="0.25">
      <c r="A3025" s="139" t="s">
        <v>7183</v>
      </c>
      <c r="B3025" s="139" t="s">
        <v>3310</v>
      </c>
      <c r="C3025" s="139" t="s">
        <v>123</v>
      </c>
      <c r="D3025" s="139" t="s">
        <v>7184</v>
      </c>
    </row>
    <row r="3026" spans="1:4" x14ac:dyDescent="0.25">
      <c r="A3026" s="139" t="s">
        <v>7185</v>
      </c>
      <c r="B3026" s="139" t="s">
        <v>7186</v>
      </c>
      <c r="C3026" s="139" t="s">
        <v>123</v>
      </c>
      <c r="D3026" s="139" t="s">
        <v>7187</v>
      </c>
    </row>
    <row r="3027" spans="1:4" x14ac:dyDescent="0.25">
      <c r="A3027" s="139" t="s">
        <v>7188</v>
      </c>
      <c r="B3027" s="139" t="s">
        <v>7186</v>
      </c>
      <c r="C3027" s="139" t="s">
        <v>123</v>
      </c>
      <c r="D3027" s="139" t="s">
        <v>7189</v>
      </c>
    </row>
    <row r="3028" spans="1:4" x14ac:dyDescent="0.25">
      <c r="A3028" s="139" t="s">
        <v>7190</v>
      </c>
      <c r="B3028" s="139" t="s">
        <v>7191</v>
      </c>
      <c r="C3028" s="139" t="s">
        <v>123</v>
      </c>
      <c r="D3028" s="139" t="s">
        <v>7192</v>
      </c>
    </row>
    <row r="3029" spans="1:4" x14ac:dyDescent="0.25">
      <c r="A3029" s="139" t="s">
        <v>7193</v>
      </c>
      <c r="B3029" s="139" t="s">
        <v>7191</v>
      </c>
      <c r="C3029" s="139" t="s">
        <v>123</v>
      </c>
      <c r="D3029" s="139" t="s">
        <v>7194</v>
      </c>
    </row>
    <row r="3030" spans="1:4" x14ac:dyDescent="0.25">
      <c r="A3030" s="139" t="s">
        <v>7195</v>
      </c>
      <c r="B3030" s="139" t="s">
        <v>7196</v>
      </c>
      <c r="C3030" s="139" t="s">
        <v>123</v>
      </c>
      <c r="D3030" s="139" t="s">
        <v>7197</v>
      </c>
    </row>
    <row r="3031" spans="1:4" x14ac:dyDescent="0.25">
      <c r="A3031" s="139" t="s">
        <v>7198</v>
      </c>
      <c r="B3031" s="139" t="s">
        <v>7196</v>
      </c>
      <c r="C3031" s="139" t="s">
        <v>123</v>
      </c>
      <c r="D3031" s="139" t="s">
        <v>7199</v>
      </c>
    </row>
    <row r="3032" spans="1:4" x14ac:dyDescent="0.25">
      <c r="A3032" s="139" t="s">
        <v>7200</v>
      </c>
      <c r="B3032" s="139" t="s">
        <v>7201</v>
      </c>
      <c r="C3032" s="139" t="s">
        <v>33</v>
      </c>
      <c r="D3032" s="139" t="s">
        <v>7202</v>
      </c>
    </row>
    <row r="3033" spans="1:4" x14ac:dyDescent="0.25">
      <c r="A3033" s="139" t="s">
        <v>7203</v>
      </c>
      <c r="B3033" s="139" t="s">
        <v>7201</v>
      </c>
      <c r="C3033" s="139" t="s">
        <v>33</v>
      </c>
      <c r="D3033" s="139" t="s">
        <v>7204</v>
      </c>
    </row>
    <row r="3034" spans="1:4" x14ac:dyDescent="0.25">
      <c r="A3034" s="139" t="s">
        <v>7205</v>
      </c>
      <c r="B3034" s="139" t="s">
        <v>7206</v>
      </c>
      <c r="C3034" s="139" t="s">
        <v>33</v>
      </c>
      <c r="D3034" s="139" t="s">
        <v>7207</v>
      </c>
    </row>
    <row r="3035" spans="1:4" x14ac:dyDescent="0.25">
      <c r="A3035" s="139" t="s">
        <v>7208</v>
      </c>
      <c r="B3035" s="139" t="s">
        <v>7206</v>
      </c>
      <c r="C3035" s="139" t="s">
        <v>33</v>
      </c>
      <c r="D3035" s="139" t="s">
        <v>7209</v>
      </c>
    </row>
    <row r="3036" spans="1:4" x14ac:dyDescent="0.25">
      <c r="A3036" s="139" t="s">
        <v>7210</v>
      </c>
      <c r="B3036" s="139" t="s">
        <v>7211</v>
      </c>
      <c r="C3036" s="139" t="s">
        <v>33</v>
      </c>
      <c r="D3036" s="139" t="s">
        <v>7212</v>
      </c>
    </row>
    <row r="3037" spans="1:4" x14ac:dyDescent="0.25">
      <c r="A3037" s="139" t="s">
        <v>7213</v>
      </c>
      <c r="B3037" s="139" t="s">
        <v>7211</v>
      </c>
      <c r="C3037" s="139" t="s">
        <v>33</v>
      </c>
      <c r="D3037" s="139" t="s">
        <v>7214</v>
      </c>
    </row>
    <row r="3038" spans="1:4" x14ac:dyDescent="0.25">
      <c r="A3038" s="139" t="s">
        <v>7215</v>
      </c>
      <c r="B3038" s="139" t="s">
        <v>7216</v>
      </c>
      <c r="C3038" s="139" t="s">
        <v>33</v>
      </c>
      <c r="D3038" s="139" t="s">
        <v>7217</v>
      </c>
    </row>
    <row r="3039" spans="1:4" x14ac:dyDescent="0.25">
      <c r="A3039" s="139" t="s">
        <v>7218</v>
      </c>
      <c r="B3039" s="139" t="s">
        <v>7216</v>
      </c>
      <c r="C3039" s="139" t="s">
        <v>33</v>
      </c>
      <c r="D3039" s="139" t="s">
        <v>7219</v>
      </c>
    </row>
    <row r="3040" spans="1:4" x14ac:dyDescent="0.25">
      <c r="A3040" s="139" t="s">
        <v>7220</v>
      </c>
      <c r="B3040" s="139" t="s">
        <v>7221</v>
      </c>
      <c r="C3040" s="139" t="s">
        <v>33</v>
      </c>
      <c r="D3040" s="139" t="s">
        <v>7222</v>
      </c>
    </row>
    <row r="3041" spans="1:4" x14ac:dyDescent="0.25">
      <c r="A3041" s="139" t="s">
        <v>7223</v>
      </c>
      <c r="B3041" s="139" t="s">
        <v>7221</v>
      </c>
      <c r="C3041" s="139" t="s">
        <v>33</v>
      </c>
      <c r="D3041" s="139" t="s">
        <v>7224</v>
      </c>
    </row>
    <row r="3042" spans="1:4" x14ac:dyDescent="0.25">
      <c r="A3042" s="139" t="s">
        <v>7225</v>
      </c>
      <c r="B3042" s="139" t="s">
        <v>7226</v>
      </c>
      <c r="C3042" s="139" t="s">
        <v>33</v>
      </c>
      <c r="D3042" s="139" t="s">
        <v>7227</v>
      </c>
    </row>
    <row r="3043" spans="1:4" x14ac:dyDescent="0.25">
      <c r="A3043" s="139" t="s">
        <v>7228</v>
      </c>
      <c r="B3043" s="139" t="s">
        <v>7226</v>
      </c>
      <c r="C3043" s="139" t="s">
        <v>33</v>
      </c>
      <c r="D3043" s="139" t="s">
        <v>7229</v>
      </c>
    </row>
    <row r="3044" spans="1:4" x14ac:dyDescent="0.25">
      <c r="A3044" s="139" t="s">
        <v>7230</v>
      </c>
      <c r="B3044" s="139" t="s">
        <v>7231</v>
      </c>
      <c r="C3044" s="139" t="s">
        <v>33</v>
      </c>
      <c r="D3044" s="139" t="s">
        <v>7232</v>
      </c>
    </row>
    <row r="3045" spans="1:4" x14ac:dyDescent="0.25">
      <c r="A3045" s="139" t="s">
        <v>7233</v>
      </c>
      <c r="B3045" s="139" t="s">
        <v>7231</v>
      </c>
      <c r="C3045" s="139" t="s">
        <v>33</v>
      </c>
      <c r="D3045" s="139" t="s">
        <v>7234</v>
      </c>
    </row>
    <row r="3046" spans="1:4" x14ac:dyDescent="0.25">
      <c r="A3046" s="139" t="s">
        <v>7235</v>
      </c>
      <c r="B3046" s="139" t="s">
        <v>7236</v>
      </c>
      <c r="C3046" s="139" t="s">
        <v>33</v>
      </c>
      <c r="D3046" s="139" t="s">
        <v>7237</v>
      </c>
    </row>
    <row r="3047" spans="1:4" x14ac:dyDescent="0.25">
      <c r="A3047" s="139" t="s">
        <v>7238</v>
      </c>
      <c r="B3047" s="139" t="s">
        <v>7236</v>
      </c>
      <c r="C3047" s="139" t="s">
        <v>33</v>
      </c>
      <c r="D3047" s="139" t="s">
        <v>7239</v>
      </c>
    </row>
    <row r="3048" spans="1:4" x14ac:dyDescent="0.25">
      <c r="A3048" s="139" t="s">
        <v>7240</v>
      </c>
      <c r="B3048" s="139" t="s">
        <v>238</v>
      </c>
      <c r="C3048" s="139" t="s">
        <v>33</v>
      </c>
      <c r="D3048" s="139" t="s">
        <v>7241</v>
      </c>
    </row>
    <row r="3049" spans="1:4" x14ac:dyDescent="0.25">
      <c r="A3049" s="139" t="s">
        <v>7242</v>
      </c>
      <c r="B3049" s="139" t="s">
        <v>238</v>
      </c>
      <c r="C3049" s="139" t="s">
        <v>33</v>
      </c>
      <c r="D3049" s="139" t="s">
        <v>7243</v>
      </c>
    </row>
    <row r="3050" spans="1:4" x14ac:dyDescent="0.25">
      <c r="A3050" s="139" t="s">
        <v>7244</v>
      </c>
      <c r="B3050" s="139" t="s">
        <v>4153</v>
      </c>
      <c r="C3050" s="139" t="s">
        <v>112</v>
      </c>
      <c r="D3050" s="139" t="s">
        <v>7245</v>
      </c>
    </row>
    <row r="3051" spans="1:4" x14ac:dyDescent="0.25">
      <c r="A3051" s="139" t="s">
        <v>7246</v>
      </c>
      <c r="B3051" s="139" t="s">
        <v>4153</v>
      </c>
      <c r="C3051" s="139" t="s">
        <v>112</v>
      </c>
      <c r="D3051" s="139" t="s">
        <v>7247</v>
      </c>
    </row>
    <row r="3052" spans="1:4" x14ac:dyDescent="0.25">
      <c r="A3052" s="139" t="s">
        <v>7248</v>
      </c>
      <c r="B3052" s="139" t="s">
        <v>7249</v>
      </c>
      <c r="C3052" s="139" t="s">
        <v>112</v>
      </c>
      <c r="D3052" s="139" t="s">
        <v>7250</v>
      </c>
    </row>
    <row r="3053" spans="1:4" x14ac:dyDescent="0.25">
      <c r="A3053" s="139" t="s">
        <v>7251</v>
      </c>
      <c r="B3053" s="139" t="s">
        <v>7249</v>
      </c>
      <c r="C3053" s="139" t="s">
        <v>112</v>
      </c>
      <c r="D3053" s="139" t="s">
        <v>7252</v>
      </c>
    </row>
    <row r="3054" spans="1:4" x14ac:dyDescent="0.25">
      <c r="A3054" s="139" t="s">
        <v>7253</v>
      </c>
      <c r="B3054" s="139" t="s">
        <v>7254</v>
      </c>
      <c r="C3054" s="139" t="s">
        <v>112</v>
      </c>
      <c r="D3054" s="139" t="s">
        <v>7255</v>
      </c>
    </row>
    <row r="3055" spans="1:4" x14ac:dyDescent="0.25">
      <c r="A3055" s="139" t="s">
        <v>7256</v>
      </c>
      <c r="B3055" s="139" t="s">
        <v>7254</v>
      </c>
      <c r="C3055" s="139" t="s">
        <v>112</v>
      </c>
      <c r="D3055" s="139" t="s">
        <v>7257</v>
      </c>
    </row>
    <row r="3056" spans="1:4" x14ac:dyDescent="0.25">
      <c r="A3056" s="139" t="s">
        <v>7258</v>
      </c>
      <c r="B3056" s="139" t="s">
        <v>7259</v>
      </c>
      <c r="C3056" s="139" t="s">
        <v>112</v>
      </c>
      <c r="D3056" s="139" t="s">
        <v>7260</v>
      </c>
    </row>
    <row r="3057" spans="1:4" x14ac:dyDescent="0.25">
      <c r="A3057" s="139" t="s">
        <v>7261</v>
      </c>
      <c r="B3057" s="139" t="s">
        <v>7259</v>
      </c>
      <c r="C3057" s="139" t="s">
        <v>112</v>
      </c>
      <c r="D3057" s="139" t="s">
        <v>7262</v>
      </c>
    </row>
    <row r="3058" spans="1:4" x14ac:dyDescent="0.25">
      <c r="A3058" s="139" t="s">
        <v>7263</v>
      </c>
      <c r="B3058" s="139" t="s">
        <v>7264</v>
      </c>
      <c r="C3058" s="139" t="s">
        <v>112</v>
      </c>
      <c r="D3058" s="139" t="s">
        <v>7265</v>
      </c>
    </row>
    <row r="3059" spans="1:4" x14ac:dyDescent="0.25">
      <c r="A3059" s="139" t="s">
        <v>7266</v>
      </c>
      <c r="B3059" s="139" t="s">
        <v>7264</v>
      </c>
      <c r="C3059" s="139" t="s">
        <v>112</v>
      </c>
      <c r="D3059" s="139" t="s">
        <v>7267</v>
      </c>
    </row>
    <row r="3060" spans="1:4" x14ac:dyDescent="0.25">
      <c r="A3060" s="139" t="s">
        <v>7268</v>
      </c>
      <c r="B3060" s="139" t="s">
        <v>2445</v>
      </c>
      <c r="C3060" s="139" t="s">
        <v>112</v>
      </c>
      <c r="D3060" s="139" t="s">
        <v>7269</v>
      </c>
    </row>
    <row r="3061" spans="1:4" x14ac:dyDescent="0.25">
      <c r="A3061" s="139" t="s">
        <v>7270</v>
      </c>
      <c r="B3061" s="139" t="s">
        <v>2445</v>
      </c>
      <c r="C3061" s="139" t="s">
        <v>112</v>
      </c>
      <c r="D3061" s="139" t="s">
        <v>7271</v>
      </c>
    </row>
    <row r="3062" spans="1:4" x14ac:dyDescent="0.25">
      <c r="A3062" s="139" t="s">
        <v>7272</v>
      </c>
      <c r="B3062" s="139" t="s">
        <v>7273</v>
      </c>
      <c r="C3062" s="139" t="s">
        <v>112</v>
      </c>
      <c r="D3062" s="139" t="s">
        <v>7274</v>
      </c>
    </row>
    <row r="3063" spans="1:4" x14ac:dyDescent="0.25">
      <c r="A3063" s="139" t="s">
        <v>7275</v>
      </c>
      <c r="B3063" s="139" t="s">
        <v>7273</v>
      </c>
      <c r="C3063" s="139" t="s">
        <v>112</v>
      </c>
      <c r="D3063" s="139" t="s">
        <v>7276</v>
      </c>
    </row>
    <row r="3064" spans="1:4" x14ac:dyDescent="0.25">
      <c r="A3064" s="139" t="s">
        <v>7277</v>
      </c>
      <c r="B3064" s="139" t="s">
        <v>7278</v>
      </c>
      <c r="C3064" s="139" t="s">
        <v>112</v>
      </c>
      <c r="D3064" s="139" t="s">
        <v>7279</v>
      </c>
    </row>
    <row r="3065" spans="1:4" x14ac:dyDescent="0.25">
      <c r="A3065" s="139" t="s">
        <v>7280</v>
      </c>
      <c r="B3065" s="139" t="s">
        <v>7278</v>
      </c>
      <c r="C3065" s="139" t="s">
        <v>112</v>
      </c>
      <c r="D3065" s="139" t="s">
        <v>7281</v>
      </c>
    </row>
    <row r="3066" spans="1:4" x14ac:dyDescent="0.25">
      <c r="A3066" s="139" t="s">
        <v>7282</v>
      </c>
      <c r="B3066" s="139" t="s">
        <v>7283</v>
      </c>
      <c r="C3066" s="139" t="s">
        <v>112</v>
      </c>
      <c r="D3066" s="139" t="s">
        <v>7284</v>
      </c>
    </row>
    <row r="3067" spans="1:4" x14ac:dyDescent="0.25">
      <c r="A3067" s="139" t="s">
        <v>7285</v>
      </c>
      <c r="B3067" s="139" t="s">
        <v>7283</v>
      </c>
      <c r="C3067" s="139" t="s">
        <v>112</v>
      </c>
      <c r="D3067" s="139" t="s">
        <v>7286</v>
      </c>
    </row>
    <row r="3068" spans="1:4" x14ac:dyDescent="0.25">
      <c r="A3068" s="139" t="s">
        <v>7287</v>
      </c>
      <c r="B3068" s="139" t="s">
        <v>7288</v>
      </c>
      <c r="C3068" s="139" t="s">
        <v>112</v>
      </c>
      <c r="D3068" s="139" t="s">
        <v>7289</v>
      </c>
    </row>
    <row r="3069" spans="1:4" x14ac:dyDescent="0.25">
      <c r="A3069" s="139" t="s">
        <v>7290</v>
      </c>
      <c r="B3069" s="139" t="s">
        <v>7288</v>
      </c>
      <c r="C3069" s="139" t="s">
        <v>112</v>
      </c>
      <c r="D3069" s="139" t="s">
        <v>7291</v>
      </c>
    </row>
    <row r="3070" spans="1:4" x14ac:dyDescent="0.25">
      <c r="A3070" s="139" t="s">
        <v>7292</v>
      </c>
      <c r="B3070" s="139" t="s">
        <v>7293</v>
      </c>
      <c r="C3070" s="139" t="s">
        <v>112</v>
      </c>
      <c r="D3070" s="139" t="s">
        <v>7294</v>
      </c>
    </row>
    <row r="3071" spans="1:4" x14ac:dyDescent="0.25">
      <c r="A3071" s="139" t="s">
        <v>7295</v>
      </c>
      <c r="B3071" s="139" t="s">
        <v>7293</v>
      </c>
      <c r="C3071" s="139" t="s">
        <v>112</v>
      </c>
      <c r="D3071" s="139" t="s">
        <v>7296</v>
      </c>
    </row>
    <row r="3072" spans="1:4" x14ac:dyDescent="0.25">
      <c r="A3072" s="139" t="s">
        <v>7297</v>
      </c>
      <c r="B3072" s="139" t="s">
        <v>7298</v>
      </c>
      <c r="C3072" s="139" t="s">
        <v>112</v>
      </c>
      <c r="D3072" s="139" t="s">
        <v>7299</v>
      </c>
    </row>
    <row r="3073" spans="1:4" x14ac:dyDescent="0.25">
      <c r="A3073" s="139" t="s">
        <v>7300</v>
      </c>
      <c r="B3073" s="139" t="s">
        <v>7298</v>
      </c>
      <c r="C3073" s="139" t="s">
        <v>112</v>
      </c>
      <c r="D3073" s="139" t="s">
        <v>7301</v>
      </c>
    </row>
    <row r="3074" spans="1:4" x14ac:dyDescent="0.25">
      <c r="A3074" s="139" t="s">
        <v>7302</v>
      </c>
      <c r="B3074" s="139" t="s">
        <v>2433</v>
      </c>
      <c r="C3074" s="139" t="s">
        <v>112</v>
      </c>
      <c r="D3074" s="139" t="s">
        <v>7303</v>
      </c>
    </row>
    <row r="3075" spans="1:4" x14ac:dyDescent="0.25">
      <c r="A3075" s="139" t="s">
        <v>7304</v>
      </c>
      <c r="B3075" s="139" t="s">
        <v>2433</v>
      </c>
      <c r="C3075" s="139" t="s">
        <v>112</v>
      </c>
      <c r="D3075" s="139" t="s">
        <v>7305</v>
      </c>
    </row>
    <row r="3076" spans="1:4" x14ac:dyDescent="0.25">
      <c r="A3076" s="139" t="s">
        <v>7306</v>
      </c>
      <c r="B3076" s="139" t="s">
        <v>7307</v>
      </c>
      <c r="C3076" s="139" t="s">
        <v>112</v>
      </c>
      <c r="D3076" s="139" t="s">
        <v>7308</v>
      </c>
    </row>
    <row r="3077" spans="1:4" x14ac:dyDescent="0.25">
      <c r="A3077" s="139" t="s">
        <v>7309</v>
      </c>
      <c r="B3077" s="139" t="s">
        <v>7307</v>
      </c>
      <c r="C3077" s="139" t="s">
        <v>112</v>
      </c>
      <c r="D3077" s="139" t="s">
        <v>7310</v>
      </c>
    </row>
    <row r="3078" spans="1:4" x14ac:dyDescent="0.25">
      <c r="A3078" s="139" t="s">
        <v>7311</v>
      </c>
      <c r="B3078" s="139" t="s">
        <v>7312</v>
      </c>
      <c r="C3078" s="139" t="s">
        <v>112</v>
      </c>
      <c r="D3078" s="139" t="s">
        <v>7313</v>
      </c>
    </row>
    <row r="3079" spans="1:4" x14ac:dyDescent="0.25">
      <c r="A3079" s="139" t="s">
        <v>7314</v>
      </c>
      <c r="B3079" s="139" t="s">
        <v>7312</v>
      </c>
      <c r="C3079" s="139" t="s">
        <v>112</v>
      </c>
      <c r="D3079" s="139" t="s">
        <v>7315</v>
      </c>
    </row>
    <row r="3080" spans="1:4" x14ac:dyDescent="0.25">
      <c r="A3080" s="139" t="s">
        <v>7316</v>
      </c>
      <c r="B3080" s="139" t="s">
        <v>7317</v>
      </c>
      <c r="C3080" s="139" t="s">
        <v>112</v>
      </c>
      <c r="D3080" s="139" t="s">
        <v>7318</v>
      </c>
    </row>
    <row r="3081" spans="1:4" x14ac:dyDescent="0.25">
      <c r="A3081" s="139" t="s">
        <v>7319</v>
      </c>
      <c r="B3081" s="139" t="s">
        <v>7317</v>
      </c>
      <c r="C3081" s="139" t="s">
        <v>112</v>
      </c>
      <c r="D3081" s="139" t="s">
        <v>7320</v>
      </c>
    </row>
    <row r="3082" spans="1:4" x14ac:dyDescent="0.25">
      <c r="A3082" s="139" t="s">
        <v>7321</v>
      </c>
      <c r="B3082" s="139" t="s">
        <v>2405</v>
      </c>
      <c r="C3082" s="139" t="s">
        <v>112</v>
      </c>
      <c r="D3082" s="139" t="s">
        <v>7322</v>
      </c>
    </row>
    <row r="3083" spans="1:4" x14ac:dyDescent="0.25">
      <c r="A3083" s="139" t="s">
        <v>7323</v>
      </c>
      <c r="B3083" s="139" t="s">
        <v>2405</v>
      </c>
      <c r="C3083" s="139" t="s">
        <v>112</v>
      </c>
      <c r="D3083" s="139" t="s">
        <v>7324</v>
      </c>
    </row>
    <row r="3084" spans="1:4" x14ac:dyDescent="0.25">
      <c r="A3084" s="139" t="s">
        <v>7325</v>
      </c>
      <c r="B3084" s="139" t="s">
        <v>7326</v>
      </c>
      <c r="C3084" s="139" t="s">
        <v>112</v>
      </c>
      <c r="D3084" s="139" t="s">
        <v>7327</v>
      </c>
    </row>
    <row r="3085" spans="1:4" x14ac:dyDescent="0.25">
      <c r="A3085" s="139" t="s">
        <v>7328</v>
      </c>
      <c r="B3085" s="139" t="s">
        <v>7326</v>
      </c>
      <c r="C3085" s="139" t="s">
        <v>112</v>
      </c>
      <c r="D3085" s="139" t="s">
        <v>7329</v>
      </c>
    </row>
    <row r="3086" spans="1:4" x14ac:dyDescent="0.25">
      <c r="A3086" s="139" t="s">
        <v>7330</v>
      </c>
      <c r="B3086" s="139" t="s">
        <v>7331</v>
      </c>
      <c r="C3086" s="139" t="s">
        <v>112</v>
      </c>
      <c r="D3086" s="139" t="s">
        <v>7332</v>
      </c>
    </row>
    <row r="3087" spans="1:4" x14ac:dyDescent="0.25">
      <c r="A3087" s="139" t="s">
        <v>7333</v>
      </c>
      <c r="B3087" s="139" t="s">
        <v>7331</v>
      </c>
      <c r="C3087" s="139" t="s">
        <v>112</v>
      </c>
      <c r="D3087" s="139" t="s">
        <v>7334</v>
      </c>
    </row>
    <row r="3088" spans="1:4" x14ac:dyDescent="0.25">
      <c r="A3088" s="139" t="s">
        <v>7335</v>
      </c>
      <c r="B3088" s="139" t="s">
        <v>2306</v>
      </c>
      <c r="C3088" s="139" t="s">
        <v>112</v>
      </c>
      <c r="D3088" s="139" t="s">
        <v>7336</v>
      </c>
    </row>
    <row r="3089" spans="1:4" x14ac:dyDescent="0.25">
      <c r="A3089" s="139" t="s">
        <v>7337</v>
      </c>
      <c r="B3089" s="139" t="s">
        <v>2306</v>
      </c>
      <c r="C3089" s="139" t="s">
        <v>112</v>
      </c>
      <c r="D3089" s="139" t="s">
        <v>7338</v>
      </c>
    </row>
    <row r="3090" spans="1:4" x14ac:dyDescent="0.25">
      <c r="A3090" s="139" t="s">
        <v>7339</v>
      </c>
      <c r="B3090" s="139" t="s">
        <v>2428</v>
      </c>
      <c r="C3090" s="139" t="s">
        <v>112</v>
      </c>
      <c r="D3090" s="139" t="s">
        <v>7340</v>
      </c>
    </row>
    <row r="3091" spans="1:4" x14ac:dyDescent="0.25">
      <c r="A3091" s="139" t="s">
        <v>7341</v>
      </c>
      <c r="B3091" s="139" t="s">
        <v>2428</v>
      </c>
      <c r="C3091" s="139" t="s">
        <v>112</v>
      </c>
      <c r="D3091" s="139" t="s">
        <v>7342</v>
      </c>
    </row>
    <row r="3092" spans="1:4" x14ac:dyDescent="0.25">
      <c r="A3092" s="139" t="s">
        <v>7343</v>
      </c>
      <c r="B3092" s="139" t="s">
        <v>4161</v>
      </c>
      <c r="C3092" s="139" t="s">
        <v>112</v>
      </c>
      <c r="D3092" s="139" t="s">
        <v>7344</v>
      </c>
    </row>
    <row r="3093" spans="1:4" x14ac:dyDescent="0.25">
      <c r="A3093" s="139" t="s">
        <v>7345</v>
      </c>
      <c r="B3093" s="139" t="s">
        <v>4161</v>
      </c>
      <c r="C3093" s="139" t="s">
        <v>112</v>
      </c>
      <c r="D3093" s="139" t="s">
        <v>7346</v>
      </c>
    </row>
    <row r="3094" spans="1:4" x14ac:dyDescent="0.25">
      <c r="A3094" s="139" t="s">
        <v>7347</v>
      </c>
      <c r="B3094" s="139" t="s">
        <v>4164</v>
      </c>
      <c r="C3094" s="139" t="s">
        <v>112</v>
      </c>
      <c r="D3094" s="139" t="s">
        <v>7348</v>
      </c>
    </row>
    <row r="3095" spans="1:4" x14ac:dyDescent="0.25">
      <c r="A3095" s="139" t="s">
        <v>7349</v>
      </c>
      <c r="B3095" s="139" t="s">
        <v>4164</v>
      </c>
      <c r="C3095" s="139" t="s">
        <v>112</v>
      </c>
      <c r="D3095" s="139" t="s">
        <v>7350</v>
      </c>
    </row>
    <row r="3096" spans="1:4" x14ac:dyDescent="0.25">
      <c r="A3096" s="139" t="s">
        <v>7351</v>
      </c>
      <c r="B3096" s="139" t="s">
        <v>4167</v>
      </c>
      <c r="C3096" s="139" t="s">
        <v>112</v>
      </c>
      <c r="D3096" s="139" t="s">
        <v>7352</v>
      </c>
    </row>
    <row r="3097" spans="1:4" x14ac:dyDescent="0.25">
      <c r="A3097" s="139" t="s">
        <v>7353</v>
      </c>
      <c r="B3097" s="139" t="s">
        <v>4167</v>
      </c>
      <c r="C3097" s="139" t="s">
        <v>112</v>
      </c>
      <c r="D3097" s="139" t="s">
        <v>7354</v>
      </c>
    </row>
    <row r="3098" spans="1:4" x14ac:dyDescent="0.25">
      <c r="A3098" s="139" t="s">
        <v>7355</v>
      </c>
      <c r="B3098" s="139" t="s">
        <v>7356</v>
      </c>
      <c r="C3098" s="139" t="s">
        <v>112</v>
      </c>
      <c r="D3098" s="139" t="s">
        <v>7357</v>
      </c>
    </row>
    <row r="3099" spans="1:4" x14ac:dyDescent="0.25">
      <c r="A3099" s="139" t="s">
        <v>7358</v>
      </c>
      <c r="B3099" s="139" t="s">
        <v>7356</v>
      </c>
      <c r="C3099" s="139" t="s">
        <v>112</v>
      </c>
      <c r="D3099" s="139" t="s">
        <v>7359</v>
      </c>
    </row>
    <row r="3100" spans="1:4" x14ac:dyDescent="0.25">
      <c r="A3100" s="139" t="s">
        <v>7360</v>
      </c>
      <c r="B3100" s="139" t="s">
        <v>7361</v>
      </c>
      <c r="C3100" s="139" t="s">
        <v>112</v>
      </c>
      <c r="D3100" s="139" t="s">
        <v>7362</v>
      </c>
    </row>
    <row r="3101" spans="1:4" x14ac:dyDescent="0.25">
      <c r="A3101" s="139" t="s">
        <v>7363</v>
      </c>
      <c r="B3101" s="139" t="s">
        <v>7361</v>
      </c>
      <c r="C3101" s="139" t="s">
        <v>112</v>
      </c>
      <c r="D3101" s="139" t="s">
        <v>7364</v>
      </c>
    </row>
    <row r="3102" spans="1:4" x14ac:dyDescent="0.25">
      <c r="A3102" s="139" t="s">
        <v>7365</v>
      </c>
      <c r="B3102" s="139" t="s">
        <v>7366</v>
      </c>
      <c r="C3102" s="139" t="s">
        <v>112</v>
      </c>
      <c r="D3102" s="139" t="s">
        <v>7367</v>
      </c>
    </row>
    <row r="3103" spans="1:4" x14ac:dyDescent="0.25">
      <c r="A3103" s="139" t="s">
        <v>7368</v>
      </c>
      <c r="B3103" s="139" t="s">
        <v>7366</v>
      </c>
      <c r="C3103" s="139" t="s">
        <v>112</v>
      </c>
      <c r="D3103" s="139" t="s">
        <v>7369</v>
      </c>
    </row>
    <row r="3104" spans="1:4" x14ac:dyDescent="0.25">
      <c r="A3104" s="139" t="s">
        <v>7370</v>
      </c>
      <c r="B3104" s="139" t="s">
        <v>7371</v>
      </c>
      <c r="C3104" s="139" t="s">
        <v>112</v>
      </c>
      <c r="D3104" s="139" t="s">
        <v>7372</v>
      </c>
    </row>
    <row r="3105" spans="1:4" x14ac:dyDescent="0.25">
      <c r="A3105" s="139" t="s">
        <v>7373</v>
      </c>
      <c r="B3105" s="139" t="s">
        <v>7371</v>
      </c>
      <c r="C3105" s="139" t="s">
        <v>112</v>
      </c>
      <c r="D3105" s="139" t="s">
        <v>7374</v>
      </c>
    </row>
    <row r="3106" spans="1:4" x14ac:dyDescent="0.25">
      <c r="A3106" s="139" t="s">
        <v>7375</v>
      </c>
      <c r="B3106" s="139" t="s">
        <v>895</v>
      </c>
      <c r="C3106" s="139" t="s">
        <v>65</v>
      </c>
      <c r="D3106" s="139" t="s">
        <v>7376</v>
      </c>
    </row>
    <row r="3107" spans="1:4" x14ac:dyDescent="0.25">
      <c r="A3107" s="139" t="s">
        <v>7377</v>
      </c>
      <c r="B3107" s="139" t="s">
        <v>895</v>
      </c>
      <c r="C3107" s="139" t="s">
        <v>65</v>
      </c>
      <c r="D3107" s="139" t="s">
        <v>7378</v>
      </c>
    </row>
    <row r="3108" spans="1:4" x14ac:dyDescent="0.25">
      <c r="A3108" s="139" t="s">
        <v>7379</v>
      </c>
      <c r="B3108" s="139" t="s">
        <v>1199</v>
      </c>
      <c r="C3108" s="139" t="s">
        <v>65</v>
      </c>
      <c r="D3108" s="139" t="s">
        <v>7380</v>
      </c>
    </row>
    <row r="3109" spans="1:4" x14ac:dyDescent="0.25">
      <c r="A3109" s="139" t="s">
        <v>7381</v>
      </c>
      <c r="B3109" s="139" t="s">
        <v>1199</v>
      </c>
      <c r="C3109" s="139" t="s">
        <v>65</v>
      </c>
      <c r="D3109" s="139" t="s">
        <v>7382</v>
      </c>
    </row>
    <row r="3110" spans="1:4" x14ac:dyDescent="0.25">
      <c r="A3110" s="139" t="s">
        <v>7383</v>
      </c>
      <c r="B3110" s="139" t="s">
        <v>7384</v>
      </c>
      <c r="C3110" s="139" t="s">
        <v>65</v>
      </c>
      <c r="D3110" s="139" t="s">
        <v>7385</v>
      </c>
    </row>
    <row r="3111" spans="1:4" x14ac:dyDescent="0.25">
      <c r="A3111" s="139" t="s">
        <v>7386</v>
      </c>
      <c r="B3111" s="139" t="s">
        <v>7384</v>
      </c>
      <c r="C3111" s="139" t="s">
        <v>65</v>
      </c>
      <c r="D3111" s="139" t="s">
        <v>7387</v>
      </c>
    </row>
    <row r="3112" spans="1:4" x14ac:dyDescent="0.25">
      <c r="A3112" s="139" t="s">
        <v>7388</v>
      </c>
      <c r="B3112" s="139" t="s">
        <v>7389</v>
      </c>
      <c r="C3112" s="139" t="s">
        <v>65</v>
      </c>
      <c r="D3112" s="139" t="s">
        <v>7390</v>
      </c>
    </row>
    <row r="3113" spans="1:4" x14ac:dyDescent="0.25">
      <c r="A3113" s="139" t="s">
        <v>7391</v>
      </c>
      <c r="B3113" s="139" t="s">
        <v>7389</v>
      </c>
      <c r="C3113" s="139" t="s">
        <v>65</v>
      </c>
      <c r="D3113" s="139" t="s">
        <v>7392</v>
      </c>
    </row>
    <row r="3114" spans="1:4" x14ac:dyDescent="0.25">
      <c r="A3114" s="139" t="s">
        <v>7393</v>
      </c>
      <c r="B3114" s="139" t="s">
        <v>7394</v>
      </c>
      <c r="C3114" s="139" t="s">
        <v>65</v>
      </c>
      <c r="D3114" s="139" t="s">
        <v>7395</v>
      </c>
    </row>
    <row r="3115" spans="1:4" x14ac:dyDescent="0.25">
      <c r="A3115" s="139" t="s">
        <v>7396</v>
      </c>
      <c r="B3115" s="139" t="s">
        <v>7394</v>
      </c>
      <c r="C3115" s="139" t="s">
        <v>65</v>
      </c>
      <c r="D3115" s="139" t="s">
        <v>7397</v>
      </c>
    </row>
    <row r="3116" spans="1:4" x14ac:dyDescent="0.25">
      <c r="A3116" s="139" t="s">
        <v>7398</v>
      </c>
      <c r="B3116" s="139" t="s">
        <v>7399</v>
      </c>
      <c r="C3116" s="139" t="s">
        <v>65</v>
      </c>
      <c r="D3116" s="139" t="s">
        <v>7400</v>
      </c>
    </row>
    <row r="3117" spans="1:4" x14ac:dyDescent="0.25">
      <c r="A3117" s="139" t="s">
        <v>7401</v>
      </c>
      <c r="B3117" s="139" t="s">
        <v>7399</v>
      </c>
      <c r="C3117" s="139" t="s">
        <v>65</v>
      </c>
      <c r="D3117" s="139" t="s">
        <v>7402</v>
      </c>
    </row>
    <row r="3118" spans="1:4" x14ac:dyDescent="0.25">
      <c r="A3118" s="139" t="s">
        <v>7403</v>
      </c>
      <c r="B3118" s="139" t="s">
        <v>7404</v>
      </c>
      <c r="C3118" s="139" t="s">
        <v>65</v>
      </c>
      <c r="D3118" s="139" t="s">
        <v>7405</v>
      </c>
    </row>
    <row r="3119" spans="1:4" x14ac:dyDescent="0.25">
      <c r="A3119" s="139" t="s">
        <v>7406</v>
      </c>
      <c r="B3119" s="139" t="s">
        <v>7404</v>
      </c>
      <c r="C3119" s="139" t="s">
        <v>65</v>
      </c>
      <c r="D3119" s="139" t="s">
        <v>7407</v>
      </c>
    </row>
    <row r="3120" spans="1:4" x14ac:dyDescent="0.25">
      <c r="A3120" s="139" t="s">
        <v>7408</v>
      </c>
      <c r="B3120" s="139" t="s">
        <v>7409</v>
      </c>
      <c r="C3120" s="139" t="s">
        <v>65</v>
      </c>
      <c r="D3120" s="139" t="s">
        <v>7410</v>
      </c>
    </row>
    <row r="3121" spans="1:4" x14ac:dyDescent="0.25">
      <c r="A3121" s="139" t="s">
        <v>7411</v>
      </c>
      <c r="B3121" s="139" t="s">
        <v>7409</v>
      </c>
      <c r="C3121" s="139" t="s">
        <v>65</v>
      </c>
      <c r="D3121" s="139" t="s">
        <v>7412</v>
      </c>
    </row>
    <row r="3122" spans="1:4" x14ac:dyDescent="0.25">
      <c r="A3122" s="139" t="s">
        <v>7413</v>
      </c>
      <c r="B3122" s="139" t="s">
        <v>7414</v>
      </c>
      <c r="C3122" s="139" t="s">
        <v>65</v>
      </c>
      <c r="D3122" s="139" t="s">
        <v>7415</v>
      </c>
    </row>
    <row r="3123" spans="1:4" x14ac:dyDescent="0.25">
      <c r="A3123" s="139" t="s">
        <v>7416</v>
      </c>
      <c r="B3123" s="139" t="s">
        <v>7414</v>
      </c>
      <c r="C3123" s="139" t="s">
        <v>65</v>
      </c>
      <c r="D3123" s="139" t="s">
        <v>7417</v>
      </c>
    </row>
    <row r="3124" spans="1:4" x14ac:dyDescent="0.25">
      <c r="A3124" s="139" t="s">
        <v>7418</v>
      </c>
      <c r="B3124" s="139" t="s">
        <v>7419</v>
      </c>
      <c r="C3124" s="139" t="s">
        <v>65</v>
      </c>
      <c r="D3124" s="139" t="s">
        <v>7420</v>
      </c>
    </row>
    <row r="3125" spans="1:4" x14ac:dyDescent="0.25">
      <c r="A3125" s="139" t="s">
        <v>7421</v>
      </c>
      <c r="B3125" s="139" t="s">
        <v>7419</v>
      </c>
      <c r="C3125" s="139" t="s">
        <v>65</v>
      </c>
      <c r="D3125" s="139" t="s">
        <v>7422</v>
      </c>
    </row>
    <row r="3126" spans="1:4" x14ac:dyDescent="0.25">
      <c r="A3126" s="139" t="s">
        <v>7423</v>
      </c>
      <c r="B3126" s="139" t="s">
        <v>7424</v>
      </c>
      <c r="C3126" s="139" t="s">
        <v>65</v>
      </c>
      <c r="D3126" s="139" t="s">
        <v>7425</v>
      </c>
    </row>
    <row r="3127" spans="1:4" x14ac:dyDescent="0.25">
      <c r="A3127" s="139" t="s">
        <v>7426</v>
      </c>
      <c r="B3127" s="139" t="s">
        <v>7424</v>
      </c>
      <c r="C3127" s="139" t="s">
        <v>65</v>
      </c>
      <c r="D3127" s="139" t="s">
        <v>7427</v>
      </c>
    </row>
    <row r="3128" spans="1:4" x14ac:dyDescent="0.25">
      <c r="A3128" s="139" t="s">
        <v>7428</v>
      </c>
      <c r="B3128" s="139" t="s">
        <v>7177</v>
      </c>
      <c r="C3128" s="139" t="s">
        <v>65</v>
      </c>
      <c r="D3128" s="139" t="s">
        <v>7429</v>
      </c>
    </row>
    <row r="3129" spans="1:4" x14ac:dyDescent="0.25">
      <c r="A3129" s="139" t="s">
        <v>7430</v>
      </c>
      <c r="B3129" s="139" t="s">
        <v>7177</v>
      </c>
      <c r="C3129" s="139" t="s">
        <v>65</v>
      </c>
      <c r="D3129" s="139" t="s">
        <v>7431</v>
      </c>
    </row>
    <row r="3130" spans="1:4" x14ac:dyDescent="0.25">
      <c r="A3130" s="139" t="s">
        <v>7432</v>
      </c>
      <c r="B3130" s="139" t="s">
        <v>3310</v>
      </c>
      <c r="C3130" s="139" t="s">
        <v>65</v>
      </c>
      <c r="D3130" s="139" t="s">
        <v>7433</v>
      </c>
    </row>
    <row r="3131" spans="1:4" x14ac:dyDescent="0.25">
      <c r="A3131" s="139" t="s">
        <v>7434</v>
      </c>
      <c r="B3131" s="139" t="s">
        <v>3310</v>
      </c>
      <c r="C3131" s="139" t="s">
        <v>65</v>
      </c>
      <c r="D3131" s="139" t="s">
        <v>7435</v>
      </c>
    </row>
    <row r="3132" spans="1:4" x14ac:dyDescent="0.25">
      <c r="A3132" s="139" t="s">
        <v>7436</v>
      </c>
      <c r="B3132" s="139" t="s">
        <v>7186</v>
      </c>
      <c r="C3132" s="139" t="s">
        <v>65</v>
      </c>
      <c r="D3132" s="139" t="s">
        <v>7437</v>
      </c>
    </row>
    <row r="3133" spans="1:4" x14ac:dyDescent="0.25">
      <c r="A3133" s="139" t="s">
        <v>7438</v>
      </c>
      <c r="B3133" s="139" t="s">
        <v>7186</v>
      </c>
      <c r="C3133" s="139" t="s">
        <v>65</v>
      </c>
      <c r="D3133" s="139" t="s">
        <v>7439</v>
      </c>
    </row>
    <row r="3134" spans="1:4" x14ac:dyDescent="0.25">
      <c r="A3134" s="139" t="s">
        <v>7440</v>
      </c>
      <c r="B3134" s="139" t="s">
        <v>7441</v>
      </c>
      <c r="C3134" s="139" t="s">
        <v>65</v>
      </c>
      <c r="D3134" s="139" t="s">
        <v>7442</v>
      </c>
    </row>
    <row r="3135" spans="1:4" x14ac:dyDescent="0.25">
      <c r="A3135" s="139" t="s">
        <v>7443</v>
      </c>
      <c r="B3135" s="139" t="s">
        <v>7441</v>
      </c>
      <c r="C3135" s="139" t="s">
        <v>65</v>
      </c>
      <c r="D3135" s="139" t="s">
        <v>7444</v>
      </c>
    </row>
    <row r="3136" spans="1:4" x14ac:dyDescent="0.25">
      <c r="A3136" s="139" t="s">
        <v>7445</v>
      </c>
      <c r="B3136" s="139" t="s">
        <v>7446</v>
      </c>
      <c r="C3136" s="139" t="s">
        <v>65</v>
      </c>
      <c r="D3136" s="139" t="s">
        <v>7447</v>
      </c>
    </row>
    <row r="3137" spans="1:4" x14ac:dyDescent="0.25">
      <c r="A3137" s="139" t="s">
        <v>7448</v>
      </c>
      <c r="B3137" s="139" t="s">
        <v>7446</v>
      </c>
      <c r="C3137" s="139" t="s">
        <v>65</v>
      </c>
      <c r="D3137" s="139" t="s">
        <v>7449</v>
      </c>
    </row>
    <row r="3138" spans="1:4" x14ac:dyDescent="0.25">
      <c r="A3138" s="139" t="s">
        <v>7450</v>
      </c>
      <c r="B3138" s="139" t="s">
        <v>7451</v>
      </c>
      <c r="C3138" s="139" t="s">
        <v>65</v>
      </c>
      <c r="D3138" s="139" t="s">
        <v>7452</v>
      </c>
    </row>
    <row r="3139" spans="1:4" x14ac:dyDescent="0.25">
      <c r="A3139" s="139" t="s">
        <v>7453</v>
      </c>
      <c r="B3139" s="139" t="s">
        <v>7451</v>
      </c>
      <c r="C3139" s="139" t="s">
        <v>65</v>
      </c>
      <c r="D3139" s="139" t="s">
        <v>7454</v>
      </c>
    </row>
    <row r="3140" spans="1:4" x14ac:dyDescent="0.25">
      <c r="A3140" s="139" t="s">
        <v>7455</v>
      </c>
      <c r="B3140" s="139" t="s">
        <v>7196</v>
      </c>
      <c r="C3140" s="139" t="s">
        <v>65</v>
      </c>
      <c r="D3140" s="139" t="s">
        <v>7456</v>
      </c>
    </row>
    <row r="3141" spans="1:4" x14ac:dyDescent="0.25">
      <c r="A3141" s="139" t="s">
        <v>7457</v>
      </c>
      <c r="B3141" s="139" t="s">
        <v>7196</v>
      </c>
      <c r="C3141" s="139" t="s">
        <v>65</v>
      </c>
      <c r="D3141" s="139" t="s">
        <v>7458</v>
      </c>
    </row>
    <row r="3142" spans="1:4" x14ac:dyDescent="0.25">
      <c r="A3142" s="139" t="s">
        <v>7459</v>
      </c>
      <c r="B3142" s="139" t="s">
        <v>7460</v>
      </c>
      <c r="C3142" s="139" t="s">
        <v>65</v>
      </c>
      <c r="D3142" s="139" t="s">
        <v>7461</v>
      </c>
    </row>
    <row r="3143" spans="1:4" x14ac:dyDescent="0.25">
      <c r="A3143" s="139" t="s">
        <v>7462</v>
      </c>
      <c r="B3143" s="139" t="s">
        <v>7460</v>
      </c>
      <c r="C3143" s="139" t="s">
        <v>65</v>
      </c>
      <c r="D3143" s="139" t="s">
        <v>7463</v>
      </c>
    </row>
    <row r="3144" spans="1:4" x14ac:dyDescent="0.25">
      <c r="A3144" s="139" t="s">
        <v>7464</v>
      </c>
      <c r="B3144" s="139" t="s">
        <v>7465</v>
      </c>
      <c r="C3144" s="139" t="s">
        <v>65</v>
      </c>
      <c r="D3144" s="139" t="s">
        <v>7466</v>
      </c>
    </row>
    <row r="3145" spans="1:4" x14ac:dyDescent="0.25">
      <c r="A3145" s="139" t="s">
        <v>7467</v>
      </c>
      <c r="B3145" s="139" t="s">
        <v>7465</v>
      </c>
      <c r="C3145" s="139" t="s">
        <v>65</v>
      </c>
      <c r="D3145" s="139" t="s">
        <v>7468</v>
      </c>
    </row>
    <row r="3146" spans="1:4" x14ac:dyDescent="0.25">
      <c r="A3146" s="139" t="s">
        <v>7469</v>
      </c>
      <c r="B3146" s="139" t="s">
        <v>7470</v>
      </c>
      <c r="C3146" s="139" t="s">
        <v>65</v>
      </c>
      <c r="D3146" s="139" t="s">
        <v>7471</v>
      </c>
    </row>
    <row r="3147" spans="1:4" x14ac:dyDescent="0.25">
      <c r="A3147" s="139" t="s">
        <v>7472</v>
      </c>
      <c r="B3147" s="139" t="s">
        <v>7470</v>
      </c>
      <c r="C3147" s="139" t="s">
        <v>65</v>
      </c>
      <c r="D3147" s="139" t="s">
        <v>7473</v>
      </c>
    </row>
    <row r="3148" spans="1:4" x14ac:dyDescent="0.25">
      <c r="A3148" s="139" t="s">
        <v>7474</v>
      </c>
      <c r="B3148" s="139" t="s">
        <v>880</v>
      </c>
      <c r="C3148" s="139" t="s">
        <v>65</v>
      </c>
      <c r="D3148" s="139" t="s">
        <v>7475</v>
      </c>
    </row>
    <row r="3149" spans="1:4" x14ac:dyDescent="0.25">
      <c r="A3149" s="139" t="s">
        <v>7476</v>
      </c>
      <c r="B3149" s="139" t="s">
        <v>880</v>
      </c>
      <c r="C3149" s="139" t="s">
        <v>65</v>
      </c>
      <c r="D3149" s="139" t="s">
        <v>7477</v>
      </c>
    </row>
    <row r="3150" spans="1:4" x14ac:dyDescent="0.25">
      <c r="A3150" s="139" t="s">
        <v>7478</v>
      </c>
      <c r="B3150" s="139" t="s">
        <v>7479</v>
      </c>
      <c r="C3150" s="139" t="s">
        <v>65</v>
      </c>
      <c r="D3150" s="139" t="s">
        <v>7480</v>
      </c>
    </row>
    <row r="3151" spans="1:4" x14ac:dyDescent="0.25">
      <c r="A3151" s="139" t="s">
        <v>7481</v>
      </c>
      <c r="B3151" s="139" t="s">
        <v>7479</v>
      </c>
      <c r="C3151" s="139" t="s">
        <v>65</v>
      </c>
      <c r="D3151" s="139" t="s">
        <v>7482</v>
      </c>
    </row>
    <row r="3152" spans="1:4" x14ac:dyDescent="0.25">
      <c r="A3152" s="139" t="s">
        <v>7483</v>
      </c>
      <c r="B3152" s="139" t="s">
        <v>3294</v>
      </c>
      <c r="C3152" s="139" t="s">
        <v>65</v>
      </c>
      <c r="D3152" s="139" t="s">
        <v>7484</v>
      </c>
    </row>
    <row r="3153" spans="1:4" x14ac:dyDescent="0.25">
      <c r="A3153" s="139" t="s">
        <v>7485</v>
      </c>
      <c r="B3153" s="139" t="s">
        <v>3294</v>
      </c>
      <c r="C3153" s="139" t="s">
        <v>65</v>
      </c>
      <c r="D3153" s="139" t="s">
        <v>7486</v>
      </c>
    </row>
    <row r="3154" spans="1:4" x14ac:dyDescent="0.25">
      <c r="A3154" s="139" t="s">
        <v>7487</v>
      </c>
      <c r="B3154" s="139" t="s">
        <v>5226</v>
      </c>
      <c r="C3154" s="139" t="s">
        <v>65</v>
      </c>
      <c r="D3154" s="139" t="s">
        <v>7488</v>
      </c>
    </row>
    <row r="3155" spans="1:4" x14ac:dyDescent="0.25">
      <c r="A3155" s="139" t="s">
        <v>7489</v>
      </c>
      <c r="B3155" s="139" t="s">
        <v>5226</v>
      </c>
      <c r="C3155" s="139" t="s">
        <v>65</v>
      </c>
      <c r="D3155" s="139" t="s">
        <v>7490</v>
      </c>
    </row>
    <row r="3156" spans="1:4" x14ac:dyDescent="0.25">
      <c r="A3156" s="139" t="s">
        <v>7491</v>
      </c>
      <c r="B3156" s="139" t="s">
        <v>1474</v>
      </c>
      <c r="C3156" s="139" t="s">
        <v>65</v>
      </c>
      <c r="D3156" s="139" t="s">
        <v>7492</v>
      </c>
    </row>
    <row r="3157" spans="1:4" x14ac:dyDescent="0.25">
      <c r="A3157" s="139" t="s">
        <v>7493</v>
      </c>
      <c r="B3157" s="139" t="s">
        <v>1474</v>
      </c>
      <c r="C3157" s="139" t="s">
        <v>65</v>
      </c>
      <c r="D3157" s="139" t="s">
        <v>7494</v>
      </c>
    </row>
    <row r="3158" spans="1:4" x14ac:dyDescent="0.25">
      <c r="A3158" s="139" t="s">
        <v>7495</v>
      </c>
      <c r="B3158" s="139" t="s">
        <v>5304</v>
      </c>
      <c r="C3158" s="139" t="s">
        <v>65</v>
      </c>
      <c r="D3158" s="139" t="s">
        <v>7496</v>
      </c>
    </row>
    <row r="3159" spans="1:4" x14ac:dyDescent="0.25">
      <c r="A3159" s="139" t="s">
        <v>7497</v>
      </c>
      <c r="B3159" s="139" t="s">
        <v>5304</v>
      </c>
      <c r="C3159" s="139" t="s">
        <v>65</v>
      </c>
      <c r="D3159" s="139" t="s">
        <v>7498</v>
      </c>
    </row>
    <row r="3160" spans="1:4" x14ac:dyDescent="0.25">
      <c r="A3160" s="139" t="s">
        <v>7499</v>
      </c>
      <c r="B3160" s="139" t="s">
        <v>7500</v>
      </c>
      <c r="C3160" s="139" t="s">
        <v>65</v>
      </c>
      <c r="D3160" s="139" t="s">
        <v>7501</v>
      </c>
    </row>
    <row r="3161" spans="1:4" x14ac:dyDescent="0.25">
      <c r="A3161" s="139" t="s">
        <v>7502</v>
      </c>
      <c r="B3161" s="139" t="s">
        <v>7500</v>
      </c>
      <c r="C3161" s="139" t="s">
        <v>65</v>
      </c>
      <c r="D3161" s="139" t="s">
        <v>7503</v>
      </c>
    </row>
    <row r="3162" spans="1:4" x14ac:dyDescent="0.25">
      <c r="A3162" s="139" t="s">
        <v>7504</v>
      </c>
      <c r="B3162" s="139" t="s">
        <v>7505</v>
      </c>
      <c r="C3162" s="139" t="s">
        <v>65</v>
      </c>
      <c r="D3162" s="139" t="s">
        <v>7506</v>
      </c>
    </row>
    <row r="3163" spans="1:4" x14ac:dyDescent="0.25">
      <c r="A3163" s="139" t="s">
        <v>7507</v>
      </c>
      <c r="B3163" s="139" t="s">
        <v>7505</v>
      </c>
      <c r="C3163" s="139" t="s">
        <v>65</v>
      </c>
      <c r="D3163" s="139" t="s">
        <v>7508</v>
      </c>
    </row>
    <row r="3164" spans="1:4" x14ac:dyDescent="0.25">
      <c r="A3164" s="139" t="s">
        <v>7509</v>
      </c>
      <c r="B3164" s="139" t="s">
        <v>335</v>
      </c>
      <c r="C3164" s="139" t="s">
        <v>123</v>
      </c>
      <c r="D3164" s="139" t="s">
        <v>7510</v>
      </c>
    </row>
    <row r="3165" spans="1:4" x14ac:dyDescent="0.25">
      <c r="A3165" s="139" t="s">
        <v>7511</v>
      </c>
      <c r="B3165" s="139" t="s">
        <v>335</v>
      </c>
      <c r="C3165" s="139" t="s">
        <v>123</v>
      </c>
      <c r="D3165" s="139" t="s">
        <v>7512</v>
      </c>
    </row>
    <row r="3166" spans="1:4" x14ac:dyDescent="0.25">
      <c r="A3166" s="139" t="s">
        <v>7513</v>
      </c>
      <c r="B3166" s="139" t="s">
        <v>332</v>
      </c>
      <c r="C3166" s="139" t="s">
        <v>123</v>
      </c>
      <c r="D3166" s="139" t="s">
        <v>7514</v>
      </c>
    </row>
    <row r="3167" spans="1:4" x14ac:dyDescent="0.25">
      <c r="A3167" s="139" t="s">
        <v>7515</v>
      </c>
      <c r="B3167" s="139" t="s">
        <v>332</v>
      </c>
      <c r="C3167" s="139" t="s">
        <v>123</v>
      </c>
      <c r="D3167" s="139" t="s">
        <v>7516</v>
      </c>
    </row>
    <row r="3168" spans="1:4" x14ac:dyDescent="0.25">
      <c r="A3168" s="139" t="s">
        <v>7517</v>
      </c>
      <c r="B3168" s="139" t="s">
        <v>329</v>
      </c>
      <c r="C3168" s="139" t="s">
        <v>123</v>
      </c>
      <c r="D3168" s="139" t="s">
        <v>7518</v>
      </c>
    </row>
    <row r="3169" spans="1:4" x14ac:dyDescent="0.25">
      <c r="A3169" s="139" t="s">
        <v>7519</v>
      </c>
      <c r="B3169" s="139" t="s">
        <v>329</v>
      </c>
      <c r="C3169" s="139" t="s">
        <v>123</v>
      </c>
      <c r="D3169" s="139" t="s">
        <v>7520</v>
      </c>
    </row>
    <row r="3170" spans="1:4" x14ac:dyDescent="0.25">
      <c r="A3170" s="139" t="s">
        <v>7521</v>
      </c>
      <c r="B3170" s="139" t="s">
        <v>326</v>
      </c>
      <c r="C3170" s="139" t="s">
        <v>123</v>
      </c>
      <c r="D3170" s="139" t="s">
        <v>7522</v>
      </c>
    </row>
    <row r="3171" spans="1:4" x14ac:dyDescent="0.25">
      <c r="A3171" s="139" t="s">
        <v>7523</v>
      </c>
      <c r="B3171" s="139" t="s">
        <v>326</v>
      </c>
      <c r="C3171" s="139" t="s">
        <v>123</v>
      </c>
      <c r="D3171" s="139" t="s">
        <v>7524</v>
      </c>
    </row>
    <row r="3172" spans="1:4" x14ac:dyDescent="0.25">
      <c r="A3172" s="139" t="s">
        <v>7525</v>
      </c>
      <c r="B3172" s="139" t="s">
        <v>7526</v>
      </c>
      <c r="C3172" s="139" t="s">
        <v>65</v>
      </c>
      <c r="D3172" s="139" t="s">
        <v>7527</v>
      </c>
    </row>
    <row r="3173" spans="1:4" x14ac:dyDescent="0.25">
      <c r="A3173" s="139" t="s">
        <v>7528</v>
      </c>
      <c r="B3173" s="139" t="s">
        <v>7526</v>
      </c>
      <c r="C3173" s="139" t="s">
        <v>65</v>
      </c>
      <c r="D3173" s="139" t="s">
        <v>7529</v>
      </c>
    </row>
    <row r="3174" spans="1:4" x14ac:dyDescent="0.25">
      <c r="A3174" s="139" t="s">
        <v>7530</v>
      </c>
      <c r="B3174" s="139" t="s">
        <v>7531</v>
      </c>
      <c r="C3174" s="139" t="s">
        <v>65</v>
      </c>
      <c r="D3174" s="139" t="s">
        <v>7532</v>
      </c>
    </row>
    <row r="3175" spans="1:4" x14ac:dyDescent="0.25">
      <c r="A3175" s="139" t="s">
        <v>7533</v>
      </c>
      <c r="B3175" s="139" t="s">
        <v>7531</v>
      </c>
      <c r="C3175" s="139" t="s">
        <v>65</v>
      </c>
      <c r="D3175" s="139" t="s">
        <v>7534</v>
      </c>
    </row>
    <row r="3176" spans="1:4" x14ac:dyDescent="0.25">
      <c r="A3176" s="139" t="s">
        <v>7535</v>
      </c>
      <c r="B3176" s="139" t="s">
        <v>7536</v>
      </c>
      <c r="C3176" s="139" t="s">
        <v>65</v>
      </c>
      <c r="D3176" s="139" t="s">
        <v>7537</v>
      </c>
    </row>
    <row r="3177" spans="1:4" x14ac:dyDescent="0.25">
      <c r="A3177" s="139" t="s">
        <v>7538</v>
      </c>
      <c r="B3177" s="139" t="s">
        <v>7536</v>
      </c>
      <c r="C3177" s="139" t="s">
        <v>65</v>
      </c>
      <c r="D3177" s="139" t="s">
        <v>7539</v>
      </c>
    </row>
    <row r="3178" spans="1:4" x14ac:dyDescent="0.25">
      <c r="A3178" s="139" t="s">
        <v>7540</v>
      </c>
      <c r="B3178" s="139" t="s">
        <v>2148</v>
      </c>
      <c r="C3178" s="139" t="s">
        <v>65</v>
      </c>
      <c r="D3178" s="139" t="s">
        <v>7541</v>
      </c>
    </row>
    <row r="3179" spans="1:4" x14ac:dyDescent="0.25">
      <c r="A3179" s="139" t="s">
        <v>7542</v>
      </c>
      <c r="B3179" s="139" t="s">
        <v>2148</v>
      </c>
      <c r="C3179" s="139" t="s">
        <v>65</v>
      </c>
      <c r="D3179" s="139" t="s">
        <v>7543</v>
      </c>
    </row>
    <row r="3180" spans="1:4" x14ac:dyDescent="0.25">
      <c r="A3180" s="139" t="s">
        <v>7544</v>
      </c>
      <c r="B3180" s="139" t="s">
        <v>7545</v>
      </c>
      <c r="C3180" s="139" t="s">
        <v>65</v>
      </c>
      <c r="D3180" s="139" t="s">
        <v>7546</v>
      </c>
    </row>
    <row r="3181" spans="1:4" x14ac:dyDescent="0.25">
      <c r="A3181" s="139" t="s">
        <v>7547</v>
      </c>
      <c r="B3181" s="139" t="s">
        <v>7545</v>
      </c>
      <c r="C3181" s="139" t="s">
        <v>65</v>
      </c>
      <c r="D3181" s="139" t="s">
        <v>7548</v>
      </c>
    </row>
    <row r="3182" spans="1:4" x14ac:dyDescent="0.25">
      <c r="A3182" s="139" t="s">
        <v>7549</v>
      </c>
      <c r="B3182" s="139" t="s">
        <v>7550</v>
      </c>
      <c r="C3182" s="139" t="s">
        <v>65</v>
      </c>
      <c r="D3182" s="139" t="s">
        <v>7551</v>
      </c>
    </row>
    <row r="3183" spans="1:4" x14ac:dyDescent="0.25">
      <c r="A3183" s="139" t="s">
        <v>7552</v>
      </c>
      <c r="B3183" s="139" t="s">
        <v>7550</v>
      </c>
      <c r="C3183" s="139" t="s">
        <v>65</v>
      </c>
      <c r="D3183" s="139" t="s">
        <v>7553</v>
      </c>
    </row>
    <row r="3184" spans="1:4" x14ac:dyDescent="0.25">
      <c r="A3184" s="139" t="s">
        <v>7554</v>
      </c>
      <c r="B3184" s="139" t="s">
        <v>5264</v>
      </c>
      <c r="C3184" s="139" t="s">
        <v>65</v>
      </c>
      <c r="D3184" s="139" t="s">
        <v>7555</v>
      </c>
    </row>
    <row r="3185" spans="1:4" x14ac:dyDescent="0.25">
      <c r="A3185" s="139" t="s">
        <v>7556</v>
      </c>
      <c r="B3185" s="139" t="s">
        <v>5264</v>
      </c>
      <c r="C3185" s="139" t="s">
        <v>65</v>
      </c>
      <c r="D3185" s="139" t="s">
        <v>7557</v>
      </c>
    </row>
    <row r="3186" spans="1:4" x14ac:dyDescent="0.25">
      <c r="A3186" s="139" t="s">
        <v>7558</v>
      </c>
      <c r="B3186" s="139" t="s">
        <v>3189</v>
      </c>
      <c r="C3186" s="139" t="s">
        <v>65</v>
      </c>
      <c r="D3186" s="139" t="s">
        <v>7559</v>
      </c>
    </row>
    <row r="3187" spans="1:4" x14ac:dyDescent="0.25">
      <c r="A3187" s="139" t="s">
        <v>7560</v>
      </c>
      <c r="B3187" s="139" t="s">
        <v>3189</v>
      </c>
      <c r="C3187" s="139" t="s">
        <v>65</v>
      </c>
      <c r="D3187" s="139" t="s">
        <v>7561</v>
      </c>
    </row>
    <row r="3188" spans="1:4" x14ac:dyDescent="0.25">
      <c r="A3188" s="139" t="s">
        <v>7562</v>
      </c>
      <c r="B3188" s="139" t="s">
        <v>371</v>
      </c>
      <c r="C3188" s="139" t="s">
        <v>65</v>
      </c>
      <c r="D3188" s="139" t="s">
        <v>7563</v>
      </c>
    </row>
    <row r="3189" spans="1:4" x14ac:dyDescent="0.25">
      <c r="A3189" s="139" t="s">
        <v>7564</v>
      </c>
      <c r="B3189" s="139" t="s">
        <v>371</v>
      </c>
      <c r="C3189" s="139" t="s">
        <v>65</v>
      </c>
      <c r="D3189" s="139" t="s">
        <v>7565</v>
      </c>
    </row>
    <row r="3190" spans="1:4" x14ac:dyDescent="0.25">
      <c r="A3190" s="139" t="s">
        <v>7566</v>
      </c>
      <c r="B3190" s="139" t="s">
        <v>547</v>
      </c>
      <c r="C3190" s="139" t="s">
        <v>65</v>
      </c>
      <c r="D3190" s="139" t="s">
        <v>7567</v>
      </c>
    </row>
    <row r="3191" spans="1:4" x14ac:dyDescent="0.25">
      <c r="A3191" s="139" t="s">
        <v>7568</v>
      </c>
      <c r="B3191" s="139" t="s">
        <v>547</v>
      </c>
      <c r="C3191" s="139" t="s">
        <v>65</v>
      </c>
      <c r="D3191" s="139" t="s">
        <v>7569</v>
      </c>
    </row>
    <row r="3192" spans="1:4" x14ac:dyDescent="0.25">
      <c r="A3192" s="139" t="s">
        <v>7570</v>
      </c>
      <c r="B3192" s="139" t="s">
        <v>1228</v>
      </c>
      <c r="C3192" s="139" t="s">
        <v>65</v>
      </c>
      <c r="D3192" s="139" t="s">
        <v>7571</v>
      </c>
    </row>
    <row r="3193" spans="1:4" x14ac:dyDescent="0.25">
      <c r="A3193" s="139" t="s">
        <v>7572</v>
      </c>
      <c r="B3193" s="139" t="s">
        <v>1228</v>
      </c>
      <c r="C3193" s="139" t="s">
        <v>65</v>
      </c>
      <c r="D3193" s="139" t="s">
        <v>7573</v>
      </c>
    </row>
    <row r="3194" spans="1:4" x14ac:dyDescent="0.25">
      <c r="A3194" s="139" t="s">
        <v>7574</v>
      </c>
      <c r="B3194" s="139" t="s">
        <v>7575</v>
      </c>
      <c r="C3194" s="139" t="s">
        <v>123</v>
      </c>
      <c r="D3194" s="139" t="s">
        <v>7576</v>
      </c>
    </row>
    <row r="3195" spans="1:4" x14ac:dyDescent="0.25">
      <c r="A3195" s="139" t="s">
        <v>7577</v>
      </c>
      <c r="B3195" s="139" t="s">
        <v>7575</v>
      </c>
      <c r="C3195" s="139" t="s">
        <v>123</v>
      </c>
      <c r="D3195" s="139" t="s">
        <v>7578</v>
      </c>
    </row>
    <row r="3196" spans="1:4" x14ac:dyDescent="0.25">
      <c r="A3196" s="139" t="s">
        <v>7579</v>
      </c>
      <c r="B3196" s="139" t="s">
        <v>4926</v>
      </c>
      <c r="C3196" s="139" t="s">
        <v>123</v>
      </c>
      <c r="D3196" s="139" t="s">
        <v>7580</v>
      </c>
    </row>
    <row r="3197" spans="1:4" x14ac:dyDescent="0.25">
      <c r="A3197" s="139" t="s">
        <v>7581</v>
      </c>
      <c r="B3197" s="139" t="s">
        <v>4926</v>
      </c>
      <c r="C3197" s="139" t="s">
        <v>123</v>
      </c>
      <c r="D3197" s="139" t="s">
        <v>7582</v>
      </c>
    </row>
    <row r="3198" spans="1:4" x14ac:dyDescent="0.25">
      <c r="A3198" s="139" t="s">
        <v>7583</v>
      </c>
      <c r="B3198" s="139" t="s">
        <v>4547</v>
      </c>
      <c r="C3198" s="139" t="s">
        <v>123</v>
      </c>
      <c r="D3198" s="139" t="s">
        <v>7584</v>
      </c>
    </row>
    <row r="3199" spans="1:4" x14ac:dyDescent="0.25">
      <c r="A3199" s="139" t="s">
        <v>7585</v>
      </c>
      <c r="B3199" s="139" t="s">
        <v>4547</v>
      </c>
      <c r="C3199" s="139" t="s">
        <v>123</v>
      </c>
      <c r="D3199" s="139" t="s">
        <v>7586</v>
      </c>
    </row>
    <row r="3200" spans="1:4" x14ac:dyDescent="0.25">
      <c r="A3200" s="139" t="s">
        <v>7587</v>
      </c>
      <c r="B3200" s="139" t="s">
        <v>335</v>
      </c>
      <c r="C3200" s="139" t="s">
        <v>123</v>
      </c>
      <c r="D3200" s="139" t="s">
        <v>7588</v>
      </c>
    </row>
    <row r="3201" spans="1:4" x14ac:dyDescent="0.25">
      <c r="A3201" s="139" t="s">
        <v>7589</v>
      </c>
      <c r="B3201" s="139" t="s">
        <v>335</v>
      </c>
      <c r="C3201" s="139" t="s">
        <v>123</v>
      </c>
      <c r="D3201" s="139" t="s">
        <v>7590</v>
      </c>
    </row>
    <row r="3202" spans="1:4" x14ac:dyDescent="0.25">
      <c r="A3202" s="139" t="s">
        <v>7591</v>
      </c>
      <c r="B3202" s="139" t="s">
        <v>7592</v>
      </c>
      <c r="C3202" s="139" t="s">
        <v>33</v>
      </c>
      <c r="D3202" s="139" t="s">
        <v>7593</v>
      </c>
    </row>
    <row r="3203" spans="1:4" x14ac:dyDescent="0.25">
      <c r="A3203" s="139" t="s">
        <v>7594</v>
      </c>
      <c r="B3203" s="139" t="s">
        <v>7592</v>
      </c>
      <c r="C3203" s="139" t="s">
        <v>33</v>
      </c>
      <c r="D3203" s="139" t="s">
        <v>7595</v>
      </c>
    </row>
    <row r="3204" spans="1:4" x14ac:dyDescent="0.25">
      <c r="A3204" s="139" t="s">
        <v>7596</v>
      </c>
      <c r="B3204" s="139" t="s">
        <v>7597</v>
      </c>
      <c r="C3204" s="139" t="s">
        <v>33</v>
      </c>
      <c r="D3204" s="139" t="s">
        <v>7598</v>
      </c>
    </row>
    <row r="3205" spans="1:4" x14ac:dyDescent="0.25">
      <c r="A3205" s="139" t="s">
        <v>7599</v>
      </c>
      <c r="B3205" s="139" t="s">
        <v>7597</v>
      </c>
      <c r="C3205" s="139" t="s">
        <v>33</v>
      </c>
      <c r="D3205" s="139" t="s">
        <v>7600</v>
      </c>
    </row>
    <row r="3206" spans="1:4" x14ac:dyDescent="0.25">
      <c r="A3206" s="139" t="s">
        <v>7601</v>
      </c>
      <c r="B3206" s="139" t="s">
        <v>7602</v>
      </c>
      <c r="C3206" s="139" t="s">
        <v>33</v>
      </c>
      <c r="D3206" s="139" t="s">
        <v>7603</v>
      </c>
    </row>
    <row r="3207" spans="1:4" x14ac:dyDescent="0.25">
      <c r="A3207" s="139" t="s">
        <v>7604</v>
      </c>
      <c r="B3207" s="139" t="s">
        <v>7602</v>
      </c>
      <c r="C3207" s="139" t="s">
        <v>33</v>
      </c>
      <c r="D3207" s="139" t="s">
        <v>7605</v>
      </c>
    </row>
    <row r="3208" spans="1:4" x14ac:dyDescent="0.25">
      <c r="A3208" s="139" t="s">
        <v>7606</v>
      </c>
      <c r="B3208" s="139" t="s">
        <v>332</v>
      </c>
      <c r="C3208" s="139" t="s">
        <v>33</v>
      </c>
      <c r="D3208" s="139" t="s">
        <v>7607</v>
      </c>
    </row>
    <row r="3209" spans="1:4" x14ac:dyDescent="0.25">
      <c r="A3209" s="139" t="s">
        <v>7608</v>
      </c>
      <c r="B3209" s="139" t="s">
        <v>332</v>
      </c>
      <c r="C3209" s="139" t="s">
        <v>33</v>
      </c>
      <c r="D3209" s="139" t="s">
        <v>7609</v>
      </c>
    </row>
    <row r="3210" spans="1:4" x14ac:dyDescent="0.25">
      <c r="A3210" s="139" t="s">
        <v>7610</v>
      </c>
      <c r="B3210" s="139" t="s">
        <v>7611</v>
      </c>
      <c r="C3210" s="139" t="s">
        <v>33</v>
      </c>
      <c r="D3210" s="139" t="s">
        <v>7612</v>
      </c>
    </row>
    <row r="3211" spans="1:4" x14ac:dyDescent="0.25">
      <c r="A3211" s="139" t="s">
        <v>7613</v>
      </c>
      <c r="B3211" s="139" t="s">
        <v>7611</v>
      </c>
      <c r="C3211" s="139" t="s">
        <v>33</v>
      </c>
      <c r="D3211" s="139" t="s">
        <v>7614</v>
      </c>
    </row>
    <row r="3212" spans="1:4" x14ac:dyDescent="0.25">
      <c r="A3212" s="139" t="s">
        <v>7615</v>
      </c>
      <c r="B3212" s="139" t="s">
        <v>7616</v>
      </c>
      <c r="C3212" s="139" t="s">
        <v>33</v>
      </c>
      <c r="D3212" s="139" t="s">
        <v>7617</v>
      </c>
    </row>
    <row r="3213" spans="1:4" x14ac:dyDescent="0.25">
      <c r="A3213" s="139" t="s">
        <v>7618</v>
      </c>
      <c r="B3213" s="139" t="s">
        <v>7616</v>
      </c>
      <c r="C3213" s="139" t="s">
        <v>33</v>
      </c>
      <c r="D3213" s="139" t="s">
        <v>7619</v>
      </c>
    </row>
    <row r="3214" spans="1:4" x14ac:dyDescent="0.25">
      <c r="A3214" s="139" t="s">
        <v>7620</v>
      </c>
      <c r="B3214" s="139" t="s">
        <v>7621</v>
      </c>
      <c r="C3214" s="139" t="s">
        <v>33</v>
      </c>
      <c r="D3214" s="139" t="s">
        <v>7622</v>
      </c>
    </row>
    <row r="3215" spans="1:4" x14ac:dyDescent="0.25">
      <c r="A3215" s="139" t="s">
        <v>7623</v>
      </c>
      <c r="B3215" s="139" t="s">
        <v>7621</v>
      </c>
      <c r="C3215" s="139" t="s">
        <v>33</v>
      </c>
      <c r="D3215" s="139" t="s">
        <v>7624</v>
      </c>
    </row>
    <row r="3216" spans="1:4" x14ac:dyDescent="0.25">
      <c r="A3216" s="139" t="s">
        <v>7625</v>
      </c>
      <c r="B3216" s="139" t="s">
        <v>7626</v>
      </c>
      <c r="C3216" s="139" t="s">
        <v>33</v>
      </c>
      <c r="D3216" s="139" t="s">
        <v>7627</v>
      </c>
    </row>
    <row r="3217" spans="1:4" x14ac:dyDescent="0.25">
      <c r="A3217" s="139" t="s">
        <v>7628</v>
      </c>
      <c r="B3217" s="139" t="s">
        <v>7626</v>
      </c>
      <c r="C3217" s="139" t="s">
        <v>33</v>
      </c>
      <c r="D3217" s="139" t="s">
        <v>7629</v>
      </c>
    </row>
    <row r="3218" spans="1:4" x14ac:dyDescent="0.25">
      <c r="A3218" s="139" t="s">
        <v>7630</v>
      </c>
      <c r="B3218" s="139" t="s">
        <v>5026</v>
      </c>
      <c r="C3218" s="139" t="s">
        <v>33</v>
      </c>
      <c r="D3218" s="139" t="s">
        <v>7631</v>
      </c>
    </row>
    <row r="3219" spans="1:4" x14ac:dyDescent="0.25">
      <c r="A3219" s="139" t="s">
        <v>7632</v>
      </c>
      <c r="B3219" s="139" t="s">
        <v>5026</v>
      </c>
      <c r="C3219" s="139" t="s">
        <v>33</v>
      </c>
      <c r="D3219" s="139" t="s">
        <v>7633</v>
      </c>
    </row>
    <row r="3220" spans="1:4" x14ac:dyDescent="0.25">
      <c r="A3220" s="139" t="s">
        <v>7634</v>
      </c>
      <c r="B3220" s="139" t="s">
        <v>4054</v>
      </c>
      <c r="C3220" s="139" t="s">
        <v>33</v>
      </c>
      <c r="D3220" s="139" t="s">
        <v>7635</v>
      </c>
    </row>
    <row r="3221" spans="1:4" x14ac:dyDescent="0.25">
      <c r="A3221" s="139" t="s">
        <v>7636</v>
      </c>
      <c r="B3221" s="139" t="s">
        <v>4054</v>
      </c>
      <c r="C3221" s="139" t="s">
        <v>33</v>
      </c>
      <c r="D3221" s="139" t="s">
        <v>7637</v>
      </c>
    </row>
    <row r="3222" spans="1:4" x14ac:dyDescent="0.25">
      <c r="A3222" s="139" t="s">
        <v>7638</v>
      </c>
      <c r="B3222" s="139" t="s">
        <v>428</v>
      </c>
      <c r="C3222" s="139" t="s">
        <v>33</v>
      </c>
      <c r="D3222" s="139" t="s">
        <v>7639</v>
      </c>
    </row>
    <row r="3223" spans="1:4" x14ac:dyDescent="0.25">
      <c r="A3223" s="139" t="s">
        <v>7640</v>
      </c>
      <c r="B3223" s="139" t="s">
        <v>428</v>
      </c>
      <c r="C3223" s="139" t="s">
        <v>33</v>
      </c>
      <c r="D3223" s="139" t="s">
        <v>7641</v>
      </c>
    </row>
    <row r="3224" spans="1:4" x14ac:dyDescent="0.25">
      <c r="A3224" s="139" t="s">
        <v>7642</v>
      </c>
      <c r="B3224" s="139" t="s">
        <v>7643</v>
      </c>
      <c r="C3224" s="139" t="s">
        <v>33</v>
      </c>
      <c r="D3224" s="139" t="s">
        <v>7644</v>
      </c>
    </row>
    <row r="3225" spans="1:4" x14ac:dyDescent="0.25">
      <c r="A3225" s="139" t="s">
        <v>7645</v>
      </c>
      <c r="B3225" s="139" t="s">
        <v>7643</v>
      </c>
      <c r="C3225" s="139" t="s">
        <v>33</v>
      </c>
      <c r="D3225" s="139" t="s">
        <v>7646</v>
      </c>
    </row>
    <row r="3226" spans="1:4" x14ac:dyDescent="0.25">
      <c r="A3226" s="139" t="s">
        <v>7647</v>
      </c>
      <c r="B3226" s="139" t="s">
        <v>7648</v>
      </c>
      <c r="C3226" s="139" t="s">
        <v>33</v>
      </c>
      <c r="D3226" s="139" t="s">
        <v>7649</v>
      </c>
    </row>
    <row r="3227" spans="1:4" x14ac:dyDescent="0.25">
      <c r="A3227" s="139" t="s">
        <v>7650</v>
      </c>
      <c r="B3227" s="139" t="s">
        <v>7648</v>
      </c>
      <c r="C3227" s="139" t="s">
        <v>33</v>
      </c>
      <c r="D3227" s="139" t="s">
        <v>7651</v>
      </c>
    </row>
    <row r="3228" spans="1:4" x14ac:dyDescent="0.25">
      <c r="A3228" s="139" t="s">
        <v>7652</v>
      </c>
      <c r="B3228" s="139" t="s">
        <v>7653</v>
      </c>
      <c r="C3228" s="139" t="s">
        <v>33</v>
      </c>
      <c r="D3228" s="139" t="s">
        <v>7654</v>
      </c>
    </row>
    <row r="3229" spans="1:4" x14ac:dyDescent="0.25">
      <c r="A3229" s="139" t="s">
        <v>7655</v>
      </c>
      <c r="B3229" s="139" t="s">
        <v>7653</v>
      </c>
      <c r="C3229" s="139" t="s">
        <v>33</v>
      </c>
      <c r="D3229" s="139" t="s">
        <v>7656</v>
      </c>
    </row>
    <row r="3230" spans="1:4" x14ac:dyDescent="0.25">
      <c r="A3230" s="139" t="s">
        <v>7657</v>
      </c>
      <c r="B3230" s="139" t="s">
        <v>7658</v>
      </c>
      <c r="C3230" s="139" t="s">
        <v>33</v>
      </c>
      <c r="D3230" s="139" t="s">
        <v>7659</v>
      </c>
    </row>
    <row r="3231" spans="1:4" x14ac:dyDescent="0.25">
      <c r="A3231" s="139" t="s">
        <v>7660</v>
      </c>
      <c r="B3231" s="139" t="s">
        <v>7658</v>
      </c>
      <c r="C3231" s="139" t="s">
        <v>33</v>
      </c>
      <c r="D3231" s="139" t="s">
        <v>7661</v>
      </c>
    </row>
    <row r="3232" spans="1:4" x14ac:dyDescent="0.25">
      <c r="A3232" s="139" t="s">
        <v>7662</v>
      </c>
      <c r="B3232" s="139" t="s">
        <v>7663</v>
      </c>
      <c r="C3232" s="139" t="s">
        <v>33</v>
      </c>
      <c r="D3232" s="139" t="s">
        <v>7664</v>
      </c>
    </row>
    <row r="3233" spans="1:4" x14ac:dyDescent="0.25">
      <c r="A3233" s="139" t="s">
        <v>7665</v>
      </c>
      <c r="B3233" s="139" t="s">
        <v>7663</v>
      </c>
      <c r="C3233" s="139" t="s">
        <v>33</v>
      </c>
      <c r="D3233" s="139" t="s">
        <v>7666</v>
      </c>
    </row>
    <row r="3234" spans="1:4" x14ac:dyDescent="0.25">
      <c r="A3234" s="139" t="s">
        <v>7667</v>
      </c>
      <c r="B3234" s="139" t="s">
        <v>7668</v>
      </c>
      <c r="C3234" s="139" t="s">
        <v>33</v>
      </c>
      <c r="D3234" s="139" t="s">
        <v>7669</v>
      </c>
    </row>
    <row r="3235" spans="1:4" x14ac:dyDescent="0.25">
      <c r="A3235" s="139" t="s">
        <v>7670</v>
      </c>
      <c r="B3235" s="139" t="s">
        <v>7668</v>
      </c>
      <c r="C3235" s="139" t="s">
        <v>33</v>
      </c>
      <c r="D3235" s="139" t="s">
        <v>7671</v>
      </c>
    </row>
    <row r="3236" spans="1:4" x14ac:dyDescent="0.25">
      <c r="A3236" s="139" t="s">
        <v>7672</v>
      </c>
      <c r="B3236" s="139" t="s">
        <v>7673</v>
      </c>
      <c r="C3236" s="139" t="s">
        <v>33</v>
      </c>
      <c r="D3236" s="139" t="s">
        <v>7674</v>
      </c>
    </row>
    <row r="3237" spans="1:4" x14ac:dyDescent="0.25">
      <c r="A3237" s="139" t="s">
        <v>7675</v>
      </c>
      <c r="B3237" s="139" t="s">
        <v>7673</v>
      </c>
      <c r="C3237" s="139" t="s">
        <v>33</v>
      </c>
      <c r="D3237" s="139" t="s">
        <v>7676</v>
      </c>
    </row>
    <row r="3238" spans="1:4" x14ac:dyDescent="0.25">
      <c r="A3238" s="139" t="s">
        <v>7677</v>
      </c>
      <c r="B3238" s="139" t="s">
        <v>7678</v>
      </c>
      <c r="C3238" s="139" t="s">
        <v>112</v>
      </c>
      <c r="D3238" s="139" t="s">
        <v>7679</v>
      </c>
    </row>
    <row r="3239" spans="1:4" x14ac:dyDescent="0.25">
      <c r="A3239" s="139" t="s">
        <v>7680</v>
      </c>
      <c r="B3239" s="139" t="s">
        <v>7678</v>
      </c>
      <c r="C3239" s="139" t="s">
        <v>112</v>
      </c>
      <c r="D3239" s="139" t="s">
        <v>7681</v>
      </c>
    </row>
    <row r="3240" spans="1:4" x14ac:dyDescent="0.25">
      <c r="A3240" s="139" t="s">
        <v>7682</v>
      </c>
      <c r="B3240" s="139" t="s">
        <v>7683</v>
      </c>
      <c r="C3240" s="139" t="s">
        <v>112</v>
      </c>
      <c r="D3240" s="139" t="s">
        <v>7684</v>
      </c>
    </row>
    <row r="3241" spans="1:4" x14ac:dyDescent="0.25">
      <c r="A3241" s="139" t="s">
        <v>7685</v>
      </c>
      <c r="B3241" s="139" t="s">
        <v>7683</v>
      </c>
      <c r="C3241" s="139" t="s">
        <v>112</v>
      </c>
      <c r="D3241" s="139" t="s">
        <v>7686</v>
      </c>
    </row>
    <row r="3242" spans="1:4" x14ac:dyDescent="0.25">
      <c r="A3242" s="139" t="s">
        <v>7687</v>
      </c>
      <c r="B3242" s="139" t="s">
        <v>7688</v>
      </c>
      <c r="C3242" s="139" t="s">
        <v>112</v>
      </c>
      <c r="D3242" s="139" t="s">
        <v>7689</v>
      </c>
    </row>
    <row r="3243" spans="1:4" x14ac:dyDescent="0.25">
      <c r="A3243" s="139" t="s">
        <v>7690</v>
      </c>
      <c r="B3243" s="139" t="s">
        <v>7688</v>
      </c>
      <c r="C3243" s="139" t="s">
        <v>112</v>
      </c>
      <c r="D3243" s="139" t="s">
        <v>7691</v>
      </c>
    </row>
    <row r="3244" spans="1:4" x14ac:dyDescent="0.25">
      <c r="A3244" s="139" t="s">
        <v>7692</v>
      </c>
      <c r="B3244" s="139" t="s">
        <v>7693</v>
      </c>
      <c r="C3244" s="139" t="s">
        <v>112</v>
      </c>
      <c r="D3244" s="139" t="s">
        <v>7694</v>
      </c>
    </row>
    <row r="3245" spans="1:4" x14ac:dyDescent="0.25">
      <c r="A3245" s="139" t="s">
        <v>7695</v>
      </c>
      <c r="B3245" s="139" t="s">
        <v>7693</v>
      </c>
      <c r="C3245" s="139" t="s">
        <v>112</v>
      </c>
      <c r="D3245" s="139" t="s">
        <v>7696</v>
      </c>
    </row>
    <row r="3246" spans="1:4" x14ac:dyDescent="0.25">
      <c r="A3246" s="139" t="s">
        <v>7697</v>
      </c>
      <c r="B3246" s="139" t="s">
        <v>7698</v>
      </c>
      <c r="C3246" s="139" t="s">
        <v>112</v>
      </c>
      <c r="D3246" s="139" t="s">
        <v>7699</v>
      </c>
    </row>
    <row r="3247" spans="1:4" x14ac:dyDescent="0.25">
      <c r="A3247" s="139" t="s">
        <v>7700</v>
      </c>
      <c r="B3247" s="139" t="s">
        <v>7698</v>
      </c>
      <c r="C3247" s="139" t="s">
        <v>112</v>
      </c>
      <c r="D3247" s="139" t="s">
        <v>7701</v>
      </c>
    </row>
    <row r="3248" spans="1:4" x14ac:dyDescent="0.25">
      <c r="A3248" s="139" t="s">
        <v>7702</v>
      </c>
      <c r="B3248" s="139" t="s">
        <v>7703</v>
      </c>
      <c r="C3248" s="139" t="s">
        <v>112</v>
      </c>
      <c r="D3248" s="139" t="s">
        <v>7704</v>
      </c>
    </row>
    <row r="3249" spans="1:4" x14ac:dyDescent="0.25">
      <c r="A3249" s="139" t="s">
        <v>7705</v>
      </c>
      <c r="B3249" s="139" t="s">
        <v>7703</v>
      </c>
      <c r="C3249" s="139" t="s">
        <v>112</v>
      </c>
      <c r="D3249" s="139" t="s">
        <v>7706</v>
      </c>
    </row>
    <row r="3250" spans="1:4" x14ac:dyDescent="0.25">
      <c r="A3250" s="139" t="s">
        <v>7707</v>
      </c>
      <c r="B3250" s="139" t="s">
        <v>7708</v>
      </c>
      <c r="C3250" s="139" t="s">
        <v>65</v>
      </c>
      <c r="D3250" s="139" t="s">
        <v>7709</v>
      </c>
    </row>
    <row r="3251" spans="1:4" x14ac:dyDescent="0.25">
      <c r="A3251" s="139" t="s">
        <v>7710</v>
      </c>
      <c r="B3251" s="139" t="s">
        <v>7708</v>
      </c>
      <c r="C3251" s="139" t="s">
        <v>65</v>
      </c>
      <c r="D3251" s="139" t="s">
        <v>7711</v>
      </c>
    </row>
    <row r="3252" spans="1:4" x14ac:dyDescent="0.25">
      <c r="A3252" s="139" t="s">
        <v>7712</v>
      </c>
      <c r="B3252" s="139" t="s">
        <v>7713</v>
      </c>
      <c r="C3252" s="139" t="s">
        <v>65</v>
      </c>
      <c r="D3252" s="139" t="s">
        <v>7714</v>
      </c>
    </row>
    <row r="3253" spans="1:4" x14ac:dyDescent="0.25">
      <c r="A3253" s="139" t="s">
        <v>7715</v>
      </c>
      <c r="B3253" s="139" t="s">
        <v>7713</v>
      </c>
      <c r="C3253" s="139" t="s">
        <v>65</v>
      </c>
      <c r="D3253" s="139" t="s">
        <v>7716</v>
      </c>
    </row>
    <row r="3254" spans="1:4" x14ac:dyDescent="0.25">
      <c r="A3254" s="139" t="s">
        <v>7717</v>
      </c>
      <c r="B3254" s="139" t="s">
        <v>7718</v>
      </c>
      <c r="C3254" s="139" t="s">
        <v>65</v>
      </c>
      <c r="D3254" s="139" t="s">
        <v>7719</v>
      </c>
    </row>
    <row r="3255" spans="1:4" x14ac:dyDescent="0.25">
      <c r="A3255" s="139" t="s">
        <v>7720</v>
      </c>
      <c r="B3255" s="139" t="s">
        <v>7718</v>
      </c>
      <c r="C3255" s="139" t="s">
        <v>65</v>
      </c>
      <c r="D3255" s="139" t="s">
        <v>7721</v>
      </c>
    </row>
    <row r="3256" spans="1:4" x14ac:dyDescent="0.25">
      <c r="A3256" s="139" t="s">
        <v>7722</v>
      </c>
      <c r="B3256" s="139" t="s">
        <v>7723</v>
      </c>
      <c r="C3256" s="139" t="s">
        <v>65</v>
      </c>
      <c r="D3256" s="139" t="s">
        <v>7724</v>
      </c>
    </row>
    <row r="3257" spans="1:4" x14ac:dyDescent="0.25">
      <c r="A3257" s="139" t="s">
        <v>7725</v>
      </c>
      <c r="B3257" s="139" t="s">
        <v>7723</v>
      </c>
      <c r="C3257" s="139" t="s">
        <v>65</v>
      </c>
      <c r="D3257" s="139" t="s">
        <v>7726</v>
      </c>
    </row>
    <row r="3258" spans="1:4" x14ac:dyDescent="0.25">
      <c r="A3258" s="139" t="s">
        <v>7727</v>
      </c>
      <c r="B3258" s="139" t="s">
        <v>7728</v>
      </c>
      <c r="C3258" s="139" t="s">
        <v>65</v>
      </c>
      <c r="D3258" s="139" t="s">
        <v>7729</v>
      </c>
    </row>
    <row r="3259" spans="1:4" x14ac:dyDescent="0.25">
      <c r="A3259" s="139" t="s">
        <v>7730</v>
      </c>
      <c r="B3259" s="139" t="s">
        <v>7728</v>
      </c>
      <c r="C3259" s="139" t="s">
        <v>65</v>
      </c>
      <c r="D3259" s="139" t="s">
        <v>7731</v>
      </c>
    </row>
    <row r="3260" spans="1:4" x14ac:dyDescent="0.25">
      <c r="A3260" s="139" t="s">
        <v>7732</v>
      </c>
      <c r="B3260" s="139" t="s">
        <v>7733</v>
      </c>
      <c r="C3260" s="139" t="s">
        <v>65</v>
      </c>
      <c r="D3260" s="139" t="s">
        <v>7734</v>
      </c>
    </row>
    <row r="3261" spans="1:4" x14ac:dyDescent="0.25">
      <c r="A3261" s="139" t="s">
        <v>7735</v>
      </c>
      <c r="B3261" s="139" t="s">
        <v>7733</v>
      </c>
      <c r="C3261" s="139" t="s">
        <v>65</v>
      </c>
      <c r="D3261" s="139" t="s">
        <v>7736</v>
      </c>
    </row>
    <row r="3262" spans="1:4" x14ac:dyDescent="0.25">
      <c r="A3262" s="139" t="s">
        <v>7737</v>
      </c>
      <c r="B3262" s="139" t="s">
        <v>7738</v>
      </c>
      <c r="C3262" s="139" t="s">
        <v>65</v>
      </c>
      <c r="D3262" s="139" t="s">
        <v>7739</v>
      </c>
    </row>
    <row r="3263" spans="1:4" x14ac:dyDescent="0.25">
      <c r="A3263" s="139" t="s">
        <v>7740</v>
      </c>
      <c r="B3263" s="139" t="s">
        <v>7738</v>
      </c>
      <c r="C3263" s="139" t="s">
        <v>65</v>
      </c>
      <c r="D3263" s="139" t="s">
        <v>7741</v>
      </c>
    </row>
    <row r="3264" spans="1:4" x14ac:dyDescent="0.25">
      <c r="A3264" s="139" t="s">
        <v>7742</v>
      </c>
      <c r="B3264" s="139" t="s">
        <v>7743</v>
      </c>
      <c r="C3264" s="139" t="s">
        <v>127</v>
      </c>
      <c r="D3264" s="139" t="s">
        <v>7744</v>
      </c>
    </row>
    <row r="3265" spans="1:4" x14ac:dyDescent="0.25">
      <c r="A3265" s="139" t="s">
        <v>7745</v>
      </c>
      <c r="B3265" s="139" t="s">
        <v>7743</v>
      </c>
      <c r="C3265" s="139" t="s">
        <v>127</v>
      </c>
      <c r="D3265" s="139" t="s">
        <v>7746</v>
      </c>
    </row>
    <row r="3266" spans="1:4" x14ac:dyDescent="0.25">
      <c r="A3266" s="139" t="s">
        <v>7747</v>
      </c>
      <c r="B3266" s="139" t="s">
        <v>7748</v>
      </c>
      <c r="C3266" s="139" t="s">
        <v>127</v>
      </c>
      <c r="D3266" s="139" t="s">
        <v>7749</v>
      </c>
    </row>
    <row r="3267" spans="1:4" x14ac:dyDescent="0.25">
      <c r="A3267" s="139" t="s">
        <v>7750</v>
      </c>
      <c r="B3267" s="139" t="s">
        <v>7748</v>
      </c>
      <c r="C3267" s="139" t="s">
        <v>127</v>
      </c>
      <c r="D3267" s="139" t="s">
        <v>7751</v>
      </c>
    </row>
    <row r="3268" spans="1:4" x14ac:dyDescent="0.25">
      <c r="A3268" s="139" t="s">
        <v>7752</v>
      </c>
      <c r="B3268" s="139" t="s">
        <v>7753</v>
      </c>
      <c r="C3268" s="139" t="s">
        <v>127</v>
      </c>
      <c r="D3268" s="139" t="s">
        <v>7754</v>
      </c>
    </row>
    <row r="3269" spans="1:4" x14ac:dyDescent="0.25">
      <c r="A3269" s="139" t="s">
        <v>7755</v>
      </c>
      <c r="B3269" s="139" t="s">
        <v>7753</v>
      </c>
      <c r="C3269" s="139" t="s">
        <v>127</v>
      </c>
      <c r="D3269" s="139" t="s">
        <v>7756</v>
      </c>
    </row>
    <row r="3270" spans="1:4" x14ac:dyDescent="0.25">
      <c r="A3270" s="139" t="s">
        <v>7757</v>
      </c>
      <c r="B3270" s="139" t="s">
        <v>7758</v>
      </c>
      <c r="C3270" s="139" t="s">
        <v>2895</v>
      </c>
      <c r="D3270" s="139" t="s">
        <v>7759</v>
      </c>
    </row>
    <row r="3271" spans="1:4" x14ac:dyDescent="0.25">
      <c r="A3271" s="139" t="s">
        <v>7760</v>
      </c>
      <c r="B3271" s="139" t="s">
        <v>7758</v>
      </c>
      <c r="C3271" s="139" t="s">
        <v>2895</v>
      </c>
      <c r="D3271" s="139" t="s">
        <v>7761</v>
      </c>
    </row>
    <row r="3272" spans="1:4" x14ac:dyDescent="0.25">
      <c r="A3272" s="139" t="s">
        <v>7762</v>
      </c>
      <c r="B3272" s="139" t="s">
        <v>7763</v>
      </c>
      <c r="C3272" s="139" t="s">
        <v>33</v>
      </c>
      <c r="D3272" s="139" t="s">
        <v>7764</v>
      </c>
    </row>
    <row r="3273" spans="1:4" x14ac:dyDescent="0.25">
      <c r="A3273" s="139" t="s">
        <v>7765</v>
      </c>
      <c r="B3273" s="139" t="s">
        <v>7763</v>
      </c>
      <c r="C3273" s="139" t="s">
        <v>33</v>
      </c>
      <c r="D3273" s="139" t="s">
        <v>7766</v>
      </c>
    </row>
    <row r="3274" spans="1:4" x14ac:dyDescent="0.25">
      <c r="A3274" s="139" t="s">
        <v>7767</v>
      </c>
      <c r="B3274" s="139" t="s">
        <v>7768</v>
      </c>
      <c r="C3274" s="139" t="s">
        <v>65</v>
      </c>
      <c r="D3274" s="139" t="s">
        <v>7769</v>
      </c>
    </row>
    <row r="3275" spans="1:4" x14ac:dyDescent="0.25">
      <c r="A3275" s="139" t="s">
        <v>7770</v>
      </c>
      <c r="B3275" s="139" t="s">
        <v>7768</v>
      </c>
      <c r="C3275" s="139" t="s">
        <v>65</v>
      </c>
      <c r="D3275" s="139" t="s">
        <v>7771</v>
      </c>
    </row>
    <row r="3276" spans="1:4" x14ac:dyDescent="0.25">
      <c r="A3276" s="139" t="s">
        <v>7772</v>
      </c>
      <c r="B3276" s="139" t="s">
        <v>7773</v>
      </c>
      <c r="C3276" s="139" t="s">
        <v>65</v>
      </c>
      <c r="D3276" s="139" t="s">
        <v>7774</v>
      </c>
    </row>
    <row r="3277" spans="1:4" x14ac:dyDescent="0.25">
      <c r="A3277" s="139" t="s">
        <v>7775</v>
      </c>
      <c r="B3277" s="139" t="s">
        <v>7773</v>
      </c>
      <c r="C3277" s="139" t="s">
        <v>65</v>
      </c>
      <c r="D3277" s="139" t="s">
        <v>7776</v>
      </c>
    </row>
    <row r="3278" spans="1:4" x14ac:dyDescent="0.25">
      <c r="A3278" s="139" t="s">
        <v>7777</v>
      </c>
      <c r="B3278" s="139" t="s">
        <v>7778</v>
      </c>
      <c r="C3278" s="139" t="s">
        <v>65</v>
      </c>
      <c r="D3278" s="139" t="s">
        <v>7779</v>
      </c>
    </row>
    <row r="3279" spans="1:4" x14ac:dyDescent="0.25">
      <c r="A3279" s="139" t="s">
        <v>7780</v>
      </c>
      <c r="B3279" s="139" t="s">
        <v>7778</v>
      </c>
      <c r="C3279" s="139" t="s">
        <v>65</v>
      </c>
      <c r="D3279" s="139" t="s">
        <v>7781</v>
      </c>
    </row>
    <row r="3280" spans="1:4" x14ac:dyDescent="0.25">
      <c r="A3280" s="139" t="s">
        <v>7782</v>
      </c>
      <c r="B3280" s="139" t="s">
        <v>5812</v>
      </c>
      <c r="C3280" s="139" t="s">
        <v>65</v>
      </c>
      <c r="D3280" s="139" t="s">
        <v>7783</v>
      </c>
    </row>
    <row r="3281" spans="1:4" x14ac:dyDescent="0.25">
      <c r="A3281" s="139" t="s">
        <v>7784</v>
      </c>
      <c r="B3281" s="139" t="s">
        <v>5812</v>
      </c>
      <c r="C3281" s="139" t="s">
        <v>65</v>
      </c>
      <c r="D3281" s="139" t="s">
        <v>7785</v>
      </c>
    </row>
    <row r="3282" spans="1:4" x14ac:dyDescent="0.25">
      <c r="A3282" s="139" t="s">
        <v>7786</v>
      </c>
      <c r="B3282" s="139" t="s">
        <v>7787</v>
      </c>
      <c r="C3282" s="139" t="s">
        <v>535</v>
      </c>
      <c r="D3282" s="139" t="s">
        <v>7788</v>
      </c>
    </row>
    <row r="3283" spans="1:4" x14ac:dyDescent="0.25">
      <c r="A3283" s="139" t="s">
        <v>7789</v>
      </c>
      <c r="B3283" s="139" t="s">
        <v>7787</v>
      </c>
      <c r="C3283" s="139" t="s">
        <v>535</v>
      </c>
      <c r="D3283" s="139" t="s">
        <v>7790</v>
      </c>
    </row>
    <row r="3284" spans="1:4" x14ac:dyDescent="0.25">
      <c r="A3284" s="139" t="s">
        <v>7791</v>
      </c>
      <c r="B3284" s="139" t="s">
        <v>7792</v>
      </c>
      <c r="C3284" s="139" t="s">
        <v>127</v>
      </c>
      <c r="D3284" s="139" t="s">
        <v>7793</v>
      </c>
    </row>
    <row r="3285" spans="1:4" x14ac:dyDescent="0.25">
      <c r="A3285" s="139" t="s">
        <v>7794</v>
      </c>
      <c r="B3285" s="139" t="s">
        <v>7792</v>
      </c>
      <c r="C3285" s="139" t="s">
        <v>127</v>
      </c>
      <c r="D3285" s="139" t="s">
        <v>7795</v>
      </c>
    </row>
    <row r="3286" spans="1:4" x14ac:dyDescent="0.25">
      <c r="A3286" s="139" t="s">
        <v>7796</v>
      </c>
      <c r="B3286" s="139" t="s">
        <v>7797</v>
      </c>
      <c r="C3286" s="139" t="s">
        <v>127</v>
      </c>
      <c r="D3286" s="139" t="s">
        <v>7798</v>
      </c>
    </row>
    <row r="3287" spans="1:4" x14ac:dyDescent="0.25">
      <c r="A3287" s="139" t="s">
        <v>7799</v>
      </c>
      <c r="B3287" s="139" t="s">
        <v>7797</v>
      </c>
      <c r="C3287" s="139" t="s">
        <v>127</v>
      </c>
      <c r="D3287" s="139" t="s">
        <v>7800</v>
      </c>
    </row>
    <row r="3288" spans="1:4" x14ac:dyDescent="0.25">
      <c r="A3288" s="139" t="s">
        <v>7801</v>
      </c>
      <c r="B3288" s="139" t="s">
        <v>7802</v>
      </c>
      <c r="C3288" s="139" t="s">
        <v>127</v>
      </c>
      <c r="D3288" s="139" t="s">
        <v>7803</v>
      </c>
    </row>
    <row r="3289" spans="1:4" x14ac:dyDescent="0.25">
      <c r="A3289" s="139" t="s">
        <v>7804</v>
      </c>
      <c r="B3289" s="139" t="s">
        <v>7802</v>
      </c>
      <c r="C3289" s="139" t="s">
        <v>127</v>
      </c>
      <c r="D3289" s="139" t="s">
        <v>7805</v>
      </c>
    </row>
    <row r="3290" spans="1:4" x14ac:dyDescent="0.25">
      <c r="A3290" s="139" t="s">
        <v>7806</v>
      </c>
      <c r="B3290" s="139" t="s">
        <v>7807</v>
      </c>
      <c r="C3290" s="139" t="s">
        <v>127</v>
      </c>
      <c r="D3290" s="139" t="s">
        <v>7808</v>
      </c>
    </row>
    <row r="3291" spans="1:4" x14ac:dyDescent="0.25">
      <c r="A3291" s="139" t="s">
        <v>7809</v>
      </c>
      <c r="B3291" s="139" t="s">
        <v>7807</v>
      </c>
      <c r="C3291" s="139" t="s">
        <v>127</v>
      </c>
      <c r="D3291" s="139" t="s">
        <v>7810</v>
      </c>
    </row>
    <row r="3292" spans="1:4" x14ac:dyDescent="0.25">
      <c r="A3292" s="139" t="s">
        <v>7811</v>
      </c>
      <c r="B3292" s="139" t="s">
        <v>7812</v>
      </c>
      <c r="C3292" s="139" t="s">
        <v>127</v>
      </c>
      <c r="D3292" s="139" t="s">
        <v>7813</v>
      </c>
    </row>
    <row r="3293" spans="1:4" x14ac:dyDescent="0.25">
      <c r="A3293" s="139" t="s">
        <v>7814</v>
      </c>
      <c r="B3293" s="139" t="s">
        <v>7812</v>
      </c>
      <c r="C3293" s="139" t="s">
        <v>127</v>
      </c>
      <c r="D3293" s="139" t="s">
        <v>7815</v>
      </c>
    </row>
    <row r="3294" spans="1:4" x14ac:dyDescent="0.25">
      <c r="A3294" s="139" t="s">
        <v>7816</v>
      </c>
      <c r="B3294" s="139" t="s">
        <v>7817</v>
      </c>
      <c r="C3294" s="139" t="s">
        <v>127</v>
      </c>
      <c r="D3294" s="139" t="s">
        <v>7818</v>
      </c>
    </row>
    <row r="3295" spans="1:4" x14ac:dyDescent="0.25">
      <c r="A3295" s="139" t="s">
        <v>7819</v>
      </c>
      <c r="B3295" s="139" t="s">
        <v>7817</v>
      </c>
      <c r="C3295" s="139" t="s">
        <v>127</v>
      </c>
      <c r="D3295" s="139" t="s">
        <v>7820</v>
      </c>
    </row>
    <row r="3296" spans="1:4" x14ac:dyDescent="0.25">
      <c r="A3296" s="139" t="s">
        <v>7821</v>
      </c>
      <c r="B3296" s="139" t="s">
        <v>7822</v>
      </c>
      <c r="C3296" s="139" t="s">
        <v>127</v>
      </c>
      <c r="D3296" s="139" t="s">
        <v>7823</v>
      </c>
    </row>
    <row r="3297" spans="1:4" x14ac:dyDescent="0.25">
      <c r="A3297" s="139" t="s">
        <v>7824</v>
      </c>
      <c r="B3297" s="139" t="s">
        <v>7822</v>
      </c>
      <c r="C3297" s="139" t="s">
        <v>127</v>
      </c>
      <c r="D3297" s="139" t="s">
        <v>7825</v>
      </c>
    </row>
    <row r="3298" spans="1:4" x14ac:dyDescent="0.25">
      <c r="A3298" s="139" t="s">
        <v>7826</v>
      </c>
      <c r="B3298" s="139" t="s">
        <v>7802</v>
      </c>
      <c r="C3298" s="139" t="s">
        <v>33</v>
      </c>
      <c r="D3298" s="139" t="s">
        <v>7827</v>
      </c>
    </row>
    <row r="3299" spans="1:4" x14ac:dyDescent="0.25">
      <c r="A3299" s="139" t="s">
        <v>7828</v>
      </c>
      <c r="B3299" s="139" t="s">
        <v>7802</v>
      </c>
      <c r="C3299" s="139" t="s">
        <v>33</v>
      </c>
      <c r="D3299" s="139" t="s">
        <v>7829</v>
      </c>
    </row>
    <row r="3300" spans="1:4" x14ac:dyDescent="0.25">
      <c r="A3300" s="139" t="s">
        <v>7830</v>
      </c>
      <c r="B3300" s="139" t="s">
        <v>7831</v>
      </c>
      <c r="C3300" s="139" t="s">
        <v>33</v>
      </c>
      <c r="D3300" s="139" t="s">
        <v>7832</v>
      </c>
    </row>
    <row r="3301" spans="1:4" x14ac:dyDescent="0.25">
      <c r="A3301" s="139" t="s">
        <v>7833</v>
      </c>
      <c r="B3301" s="139" t="s">
        <v>7831</v>
      </c>
      <c r="C3301" s="139" t="s">
        <v>33</v>
      </c>
      <c r="D3301" s="139" t="s">
        <v>7834</v>
      </c>
    </row>
    <row r="3302" spans="1:4" x14ac:dyDescent="0.25">
      <c r="A3302" s="139" t="s">
        <v>7835</v>
      </c>
      <c r="B3302" s="139" t="s">
        <v>7836</v>
      </c>
      <c r="C3302" s="139" t="s">
        <v>33</v>
      </c>
      <c r="D3302" s="139" t="s">
        <v>7837</v>
      </c>
    </row>
    <row r="3303" spans="1:4" x14ac:dyDescent="0.25">
      <c r="A3303" s="139" t="s">
        <v>7838</v>
      </c>
      <c r="B3303" s="139" t="s">
        <v>7836</v>
      </c>
      <c r="C3303" s="139" t="s">
        <v>33</v>
      </c>
      <c r="D3303" s="139" t="s">
        <v>7839</v>
      </c>
    </row>
    <row r="3304" spans="1:4" x14ac:dyDescent="0.25">
      <c r="A3304" s="139" t="s">
        <v>7840</v>
      </c>
      <c r="B3304" s="139" t="s">
        <v>7841</v>
      </c>
      <c r="C3304" s="139" t="s">
        <v>33</v>
      </c>
      <c r="D3304" s="139" t="s">
        <v>7842</v>
      </c>
    </row>
    <row r="3305" spans="1:4" x14ac:dyDescent="0.25">
      <c r="A3305" s="139" t="s">
        <v>7843</v>
      </c>
      <c r="B3305" s="139" t="s">
        <v>7841</v>
      </c>
      <c r="C3305" s="139" t="s">
        <v>33</v>
      </c>
      <c r="D3305" s="139" t="s">
        <v>7844</v>
      </c>
    </row>
    <row r="3306" spans="1:4" x14ac:dyDescent="0.25">
      <c r="A3306" s="139" t="s">
        <v>7845</v>
      </c>
      <c r="B3306" s="139" t="s">
        <v>7817</v>
      </c>
      <c r="C3306" s="139" t="s">
        <v>33</v>
      </c>
      <c r="D3306" s="139" t="s">
        <v>7846</v>
      </c>
    </row>
    <row r="3307" spans="1:4" x14ac:dyDescent="0.25">
      <c r="A3307" s="139" t="s">
        <v>7847</v>
      </c>
      <c r="B3307" s="139" t="s">
        <v>7817</v>
      </c>
      <c r="C3307" s="139" t="s">
        <v>33</v>
      </c>
      <c r="D3307" s="139" t="s">
        <v>7848</v>
      </c>
    </row>
    <row r="3308" spans="1:4" x14ac:dyDescent="0.25">
      <c r="A3308" s="139" t="s">
        <v>7849</v>
      </c>
      <c r="B3308" s="139" t="s">
        <v>7850</v>
      </c>
      <c r="C3308" s="139" t="s">
        <v>33</v>
      </c>
      <c r="D3308" s="139" t="s">
        <v>7851</v>
      </c>
    </row>
    <row r="3309" spans="1:4" x14ac:dyDescent="0.25">
      <c r="A3309" s="139" t="s">
        <v>7852</v>
      </c>
      <c r="B3309" s="139" t="s">
        <v>7850</v>
      </c>
      <c r="C3309" s="139" t="s">
        <v>33</v>
      </c>
      <c r="D3309" s="139" t="s">
        <v>7853</v>
      </c>
    </row>
    <row r="3310" spans="1:4" x14ac:dyDescent="0.25">
      <c r="A3310" s="139" t="s">
        <v>7854</v>
      </c>
      <c r="B3310" s="139" t="s">
        <v>7855</v>
      </c>
      <c r="C3310" s="139" t="s">
        <v>33</v>
      </c>
      <c r="D3310" s="139" t="s">
        <v>7856</v>
      </c>
    </row>
    <row r="3311" spans="1:4" x14ac:dyDescent="0.25">
      <c r="A3311" s="139" t="s">
        <v>7857</v>
      </c>
      <c r="B3311" s="139" t="s">
        <v>7855</v>
      </c>
      <c r="C3311" s="139" t="s">
        <v>33</v>
      </c>
      <c r="D3311" s="139" t="s">
        <v>7858</v>
      </c>
    </row>
    <row r="3312" spans="1:4" x14ac:dyDescent="0.25">
      <c r="A3312" s="139" t="s">
        <v>7859</v>
      </c>
      <c r="B3312" s="139" t="s">
        <v>7860</v>
      </c>
      <c r="C3312" s="139" t="s">
        <v>33</v>
      </c>
      <c r="D3312" s="139" t="s">
        <v>7861</v>
      </c>
    </row>
    <row r="3313" spans="1:4" x14ac:dyDescent="0.25">
      <c r="A3313" s="139" t="s">
        <v>7862</v>
      </c>
      <c r="B3313" s="139" t="s">
        <v>7860</v>
      </c>
      <c r="C3313" s="139" t="s">
        <v>33</v>
      </c>
      <c r="D3313" s="139" t="s">
        <v>7863</v>
      </c>
    </row>
    <row r="3314" spans="1:4" x14ac:dyDescent="0.25">
      <c r="A3314" s="139" t="s">
        <v>7864</v>
      </c>
      <c r="B3314" s="139" t="s">
        <v>7822</v>
      </c>
      <c r="C3314" s="139" t="s">
        <v>33</v>
      </c>
      <c r="D3314" s="139" t="s">
        <v>7865</v>
      </c>
    </row>
    <row r="3315" spans="1:4" x14ac:dyDescent="0.25">
      <c r="A3315" s="139" t="s">
        <v>7866</v>
      </c>
      <c r="B3315" s="139" t="s">
        <v>7822</v>
      </c>
      <c r="C3315" s="139" t="s">
        <v>33</v>
      </c>
      <c r="D3315" s="139" t="s">
        <v>7867</v>
      </c>
    </row>
    <row r="3316" spans="1:4" x14ac:dyDescent="0.25">
      <c r="A3316" s="139" t="s">
        <v>7868</v>
      </c>
      <c r="B3316" s="139" t="s">
        <v>7869</v>
      </c>
      <c r="C3316" s="139" t="s">
        <v>33</v>
      </c>
      <c r="D3316" s="139" t="s">
        <v>7870</v>
      </c>
    </row>
    <row r="3317" spans="1:4" x14ac:dyDescent="0.25">
      <c r="A3317" s="139" t="s">
        <v>7871</v>
      </c>
      <c r="B3317" s="139" t="s">
        <v>7869</v>
      </c>
      <c r="C3317" s="139" t="s">
        <v>33</v>
      </c>
      <c r="D3317" s="139" t="s">
        <v>7872</v>
      </c>
    </row>
    <row r="3318" spans="1:4" x14ac:dyDescent="0.25">
      <c r="A3318" s="139" t="s">
        <v>7873</v>
      </c>
      <c r="B3318" s="139" t="s">
        <v>7874</v>
      </c>
      <c r="C3318" s="139" t="s">
        <v>33</v>
      </c>
      <c r="D3318" s="139" t="s">
        <v>7875</v>
      </c>
    </row>
    <row r="3319" spans="1:4" x14ac:dyDescent="0.25">
      <c r="A3319" s="139" t="s">
        <v>7876</v>
      </c>
      <c r="B3319" s="139" t="s">
        <v>7874</v>
      </c>
      <c r="C3319" s="139" t="s">
        <v>33</v>
      </c>
      <c r="D3319" s="139" t="s">
        <v>7877</v>
      </c>
    </row>
    <row r="3320" spans="1:4" x14ac:dyDescent="0.25">
      <c r="A3320" s="139" t="s">
        <v>7878</v>
      </c>
      <c r="B3320" s="139" t="s">
        <v>7879</v>
      </c>
      <c r="C3320" s="139" t="s">
        <v>33</v>
      </c>
      <c r="D3320" s="139" t="s">
        <v>7880</v>
      </c>
    </row>
    <row r="3321" spans="1:4" x14ac:dyDescent="0.25">
      <c r="A3321" s="139" t="s">
        <v>7881</v>
      </c>
      <c r="B3321" s="139" t="s">
        <v>7879</v>
      </c>
      <c r="C3321" s="139" t="s">
        <v>33</v>
      </c>
      <c r="D3321" s="139" t="s">
        <v>7882</v>
      </c>
    </row>
    <row r="3322" spans="1:4" x14ac:dyDescent="0.25">
      <c r="A3322" s="139" t="s">
        <v>7883</v>
      </c>
      <c r="B3322" s="139" t="s">
        <v>7884</v>
      </c>
      <c r="C3322" s="139" t="s">
        <v>33</v>
      </c>
      <c r="D3322" s="139" t="s">
        <v>7885</v>
      </c>
    </row>
    <row r="3323" spans="1:4" x14ac:dyDescent="0.25">
      <c r="A3323" s="139" t="s">
        <v>7886</v>
      </c>
      <c r="B3323" s="139" t="s">
        <v>7884</v>
      </c>
      <c r="C3323" s="139" t="s">
        <v>33</v>
      </c>
      <c r="D3323" s="139" t="s">
        <v>7887</v>
      </c>
    </row>
    <row r="3324" spans="1:4" x14ac:dyDescent="0.25">
      <c r="A3324" s="139" t="s">
        <v>7888</v>
      </c>
      <c r="B3324" s="139" t="s">
        <v>7889</v>
      </c>
      <c r="C3324" s="139" t="s">
        <v>33</v>
      </c>
      <c r="D3324" s="139" t="s">
        <v>7890</v>
      </c>
    </row>
    <row r="3325" spans="1:4" x14ac:dyDescent="0.25">
      <c r="A3325" s="139" t="s">
        <v>7891</v>
      </c>
      <c r="B3325" s="139" t="s">
        <v>7889</v>
      </c>
      <c r="C3325" s="139" t="s">
        <v>33</v>
      </c>
      <c r="D3325" s="139" t="s">
        <v>7892</v>
      </c>
    </row>
    <row r="3326" spans="1:4" x14ac:dyDescent="0.25">
      <c r="A3326" s="139" t="s">
        <v>7893</v>
      </c>
      <c r="B3326" s="139" t="s">
        <v>7894</v>
      </c>
      <c r="C3326" s="139" t="s">
        <v>33</v>
      </c>
      <c r="D3326" s="139" t="s">
        <v>7895</v>
      </c>
    </row>
    <row r="3327" spans="1:4" x14ac:dyDescent="0.25">
      <c r="A3327" s="139" t="s">
        <v>7896</v>
      </c>
      <c r="B3327" s="139" t="s">
        <v>7894</v>
      </c>
      <c r="C3327" s="139" t="s">
        <v>33</v>
      </c>
      <c r="D3327" s="139" t="s">
        <v>7897</v>
      </c>
    </row>
    <row r="3328" spans="1:4" x14ac:dyDescent="0.25">
      <c r="A3328" s="139" t="s">
        <v>7898</v>
      </c>
      <c r="B3328" s="139" t="s">
        <v>7899</v>
      </c>
      <c r="C3328" s="139" t="s">
        <v>33</v>
      </c>
      <c r="D3328" s="139" t="s">
        <v>7900</v>
      </c>
    </row>
    <row r="3329" spans="1:4" x14ac:dyDescent="0.25">
      <c r="A3329" s="139" t="s">
        <v>7901</v>
      </c>
      <c r="B3329" s="139" t="s">
        <v>7899</v>
      </c>
      <c r="C3329" s="139" t="s">
        <v>33</v>
      </c>
      <c r="D3329" s="139" t="s">
        <v>7902</v>
      </c>
    </row>
    <row r="3330" spans="1:4" x14ac:dyDescent="0.25">
      <c r="A3330" s="139" t="s">
        <v>7903</v>
      </c>
      <c r="B3330" s="139" t="s">
        <v>7904</v>
      </c>
      <c r="C3330" s="139" t="s">
        <v>33</v>
      </c>
      <c r="D3330" s="139" t="s">
        <v>7905</v>
      </c>
    </row>
    <row r="3331" spans="1:4" x14ac:dyDescent="0.25">
      <c r="A3331" s="139" t="s">
        <v>7906</v>
      </c>
      <c r="B3331" s="139" t="s">
        <v>7904</v>
      </c>
      <c r="C3331" s="139" t="s">
        <v>33</v>
      </c>
      <c r="D3331" s="139" t="s">
        <v>7907</v>
      </c>
    </row>
    <row r="3332" spans="1:4" x14ac:dyDescent="0.25">
      <c r="A3332" s="139" t="s">
        <v>7908</v>
      </c>
      <c r="B3332" s="139" t="s">
        <v>7909</v>
      </c>
      <c r="C3332" s="139" t="s">
        <v>65</v>
      </c>
      <c r="D3332" s="139" t="s">
        <v>7910</v>
      </c>
    </row>
    <row r="3333" spans="1:4" x14ac:dyDescent="0.25">
      <c r="A3333" s="139" t="s">
        <v>7911</v>
      </c>
      <c r="B3333" s="139" t="s">
        <v>7909</v>
      </c>
      <c r="C3333" s="139" t="s">
        <v>65</v>
      </c>
      <c r="D3333" s="139" t="s">
        <v>7912</v>
      </c>
    </row>
    <row r="3334" spans="1:4" x14ac:dyDescent="0.25">
      <c r="A3334" s="139" t="s">
        <v>7913</v>
      </c>
      <c r="B3334" s="139" t="s">
        <v>1902</v>
      </c>
      <c r="C3334" s="139" t="s">
        <v>65</v>
      </c>
      <c r="D3334" s="139" t="s">
        <v>7914</v>
      </c>
    </row>
    <row r="3335" spans="1:4" x14ac:dyDescent="0.25">
      <c r="A3335" s="139" t="s">
        <v>7915</v>
      </c>
      <c r="B3335" s="139" t="s">
        <v>1902</v>
      </c>
      <c r="C3335" s="139" t="s">
        <v>65</v>
      </c>
      <c r="D3335" s="139" t="s">
        <v>7916</v>
      </c>
    </row>
    <row r="3336" spans="1:4" x14ac:dyDescent="0.25">
      <c r="A3336" s="139" t="s">
        <v>7917</v>
      </c>
      <c r="B3336" s="139" t="s">
        <v>7918</v>
      </c>
      <c r="C3336" s="139" t="s">
        <v>65</v>
      </c>
      <c r="D3336" s="139" t="s">
        <v>7919</v>
      </c>
    </row>
    <row r="3337" spans="1:4" x14ac:dyDescent="0.25">
      <c r="A3337" s="139" t="s">
        <v>7920</v>
      </c>
      <c r="B3337" s="139" t="s">
        <v>7918</v>
      </c>
      <c r="C3337" s="139" t="s">
        <v>65</v>
      </c>
      <c r="D3337" s="139" t="s">
        <v>7921</v>
      </c>
    </row>
    <row r="3338" spans="1:4" x14ac:dyDescent="0.25">
      <c r="A3338" s="139" t="s">
        <v>7922</v>
      </c>
      <c r="B3338" s="139" t="s">
        <v>6268</v>
      </c>
      <c r="C3338" s="139" t="s">
        <v>65</v>
      </c>
      <c r="D3338" s="139" t="s">
        <v>7923</v>
      </c>
    </row>
    <row r="3339" spans="1:4" x14ac:dyDescent="0.25">
      <c r="A3339" s="139" t="s">
        <v>7924</v>
      </c>
      <c r="B3339" s="139" t="s">
        <v>6268</v>
      </c>
      <c r="C3339" s="139" t="s">
        <v>65</v>
      </c>
      <c r="D3339" s="139" t="s">
        <v>7925</v>
      </c>
    </row>
    <row r="3340" spans="1:4" x14ac:dyDescent="0.25">
      <c r="A3340" s="139" t="s">
        <v>7926</v>
      </c>
      <c r="B3340" s="139" t="s">
        <v>3365</v>
      </c>
      <c r="C3340" s="139" t="s">
        <v>65</v>
      </c>
      <c r="D3340" s="139" t="s">
        <v>7927</v>
      </c>
    </row>
    <row r="3341" spans="1:4" x14ac:dyDescent="0.25">
      <c r="A3341" s="139" t="s">
        <v>7928</v>
      </c>
      <c r="B3341" s="139" t="s">
        <v>3365</v>
      </c>
      <c r="C3341" s="139" t="s">
        <v>65</v>
      </c>
      <c r="D3341" s="139" t="s">
        <v>7929</v>
      </c>
    </row>
    <row r="3342" spans="1:4" x14ac:dyDescent="0.25">
      <c r="A3342" s="139" t="s">
        <v>7930</v>
      </c>
      <c r="B3342" s="139" t="s">
        <v>7931</v>
      </c>
      <c r="C3342" s="139" t="s">
        <v>664</v>
      </c>
      <c r="D3342" s="139" t="s">
        <v>7932</v>
      </c>
    </row>
    <row r="3343" spans="1:4" x14ac:dyDescent="0.25">
      <c r="A3343" s="139" t="s">
        <v>7933</v>
      </c>
      <c r="B3343" s="139" t="s">
        <v>7931</v>
      </c>
      <c r="C3343" s="139" t="s">
        <v>664</v>
      </c>
      <c r="D3343" s="139" t="s">
        <v>7934</v>
      </c>
    </row>
    <row r="3344" spans="1:4" x14ac:dyDescent="0.25">
      <c r="A3344" s="139" t="s">
        <v>7935</v>
      </c>
      <c r="B3344" s="139" t="s">
        <v>7936</v>
      </c>
      <c r="C3344" s="139" t="s">
        <v>664</v>
      </c>
      <c r="D3344" s="139" t="s">
        <v>7937</v>
      </c>
    </row>
    <row r="3345" spans="1:4" x14ac:dyDescent="0.25">
      <c r="A3345" s="139" t="s">
        <v>7938</v>
      </c>
      <c r="B3345" s="139" t="s">
        <v>7936</v>
      </c>
      <c r="C3345" s="139" t="s">
        <v>664</v>
      </c>
      <c r="D3345" s="139" t="s">
        <v>7939</v>
      </c>
    </row>
    <row r="3346" spans="1:4" x14ac:dyDescent="0.25">
      <c r="A3346" s="139" t="s">
        <v>7940</v>
      </c>
      <c r="B3346" s="139" t="s">
        <v>7941</v>
      </c>
      <c r="C3346" s="139" t="s">
        <v>664</v>
      </c>
      <c r="D3346" s="139" t="s">
        <v>7942</v>
      </c>
    </row>
    <row r="3347" spans="1:4" x14ac:dyDescent="0.25">
      <c r="A3347" s="139" t="s">
        <v>7943</v>
      </c>
      <c r="B3347" s="139" t="s">
        <v>7941</v>
      </c>
      <c r="C3347" s="139" t="s">
        <v>664</v>
      </c>
      <c r="D3347" s="139" t="s">
        <v>7944</v>
      </c>
    </row>
    <row r="3348" spans="1:4" x14ac:dyDescent="0.25">
      <c r="A3348" s="139" t="s">
        <v>7945</v>
      </c>
      <c r="B3348" s="139" t="s">
        <v>7946</v>
      </c>
      <c r="C3348" s="139" t="s">
        <v>664</v>
      </c>
      <c r="D3348" s="139" t="s">
        <v>7947</v>
      </c>
    </row>
    <row r="3349" spans="1:4" x14ac:dyDescent="0.25">
      <c r="A3349" s="139" t="s">
        <v>7948</v>
      </c>
      <c r="B3349" s="139" t="s">
        <v>7946</v>
      </c>
      <c r="C3349" s="139" t="s">
        <v>664</v>
      </c>
      <c r="D3349" s="139" t="s">
        <v>7949</v>
      </c>
    </row>
    <row r="3350" spans="1:4" x14ac:dyDescent="0.25">
      <c r="A3350" s="139" t="s">
        <v>7950</v>
      </c>
      <c r="B3350" s="139" t="s">
        <v>7951</v>
      </c>
      <c r="C3350" s="139" t="s">
        <v>664</v>
      </c>
      <c r="D3350" s="139" t="s">
        <v>7952</v>
      </c>
    </row>
    <row r="3351" spans="1:4" x14ac:dyDescent="0.25">
      <c r="A3351" s="139" t="s">
        <v>7953</v>
      </c>
      <c r="B3351" s="139" t="s">
        <v>7951</v>
      </c>
      <c r="C3351" s="139" t="s">
        <v>664</v>
      </c>
      <c r="D3351" s="139" t="s">
        <v>7954</v>
      </c>
    </row>
    <row r="3352" spans="1:4" x14ac:dyDescent="0.25">
      <c r="A3352" s="139" t="s">
        <v>7955</v>
      </c>
      <c r="B3352" s="139" t="s">
        <v>7956</v>
      </c>
      <c r="C3352" s="139" t="s">
        <v>664</v>
      </c>
      <c r="D3352" s="139" t="s">
        <v>7957</v>
      </c>
    </row>
    <row r="3353" spans="1:4" x14ac:dyDescent="0.25">
      <c r="A3353" s="139" t="s">
        <v>7958</v>
      </c>
      <c r="B3353" s="139" t="s">
        <v>7956</v>
      </c>
      <c r="C3353" s="139" t="s">
        <v>664</v>
      </c>
      <c r="D3353" s="139" t="s">
        <v>7959</v>
      </c>
    </row>
    <row r="3354" spans="1:4" x14ac:dyDescent="0.25">
      <c r="A3354" s="139" t="s">
        <v>7960</v>
      </c>
      <c r="B3354" s="139" t="s">
        <v>7961</v>
      </c>
      <c r="C3354" s="139" t="s">
        <v>664</v>
      </c>
      <c r="D3354" s="139" t="s">
        <v>7962</v>
      </c>
    </row>
    <row r="3355" spans="1:4" x14ac:dyDescent="0.25">
      <c r="A3355" s="139" t="s">
        <v>7963</v>
      </c>
      <c r="B3355" s="139" t="s">
        <v>7961</v>
      </c>
      <c r="C3355" s="139" t="s">
        <v>664</v>
      </c>
      <c r="D3355" s="139" t="s">
        <v>7964</v>
      </c>
    </row>
    <row r="3356" spans="1:4" x14ac:dyDescent="0.25">
      <c r="A3356" s="139" t="s">
        <v>7965</v>
      </c>
      <c r="B3356" s="139" t="s">
        <v>7966</v>
      </c>
      <c r="C3356" s="139" t="s">
        <v>112</v>
      </c>
      <c r="D3356" s="139" t="s">
        <v>7967</v>
      </c>
    </row>
    <row r="3357" spans="1:4" x14ac:dyDescent="0.25">
      <c r="A3357" s="139" t="s">
        <v>7968</v>
      </c>
      <c r="B3357" s="139" t="s">
        <v>7966</v>
      </c>
      <c r="C3357" s="139" t="s">
        <v>112</v>
      </c>
      <c r="D3357" s="139" t="s">
        <v>7969</v>
      </c>
    </row>
    <row r="3358" spans="1:4" x14ac:dyDescent="0.25">
      <c r="A3358" s="139" t="s">
        <v>7970</v>
      </c>
      <c r="B3358" s="139" t="s">
        <v>7971</v>
      </c>
      <c r="C3358" s="139" t="s">
        <v>112</v>
      </c>
      <c r="D3358" s="139" t="s">
        <v>7972</v>
      </c>
    </row>
    <row r="3359" spans="1:4" x14ac:dyDescent="0.25">
      <c r="A3359" s="139" t="s">
        <v>7973</v>
      </c>
      <c r="B3359" s="139" t="s">
        <v>7971</v>
      </c>
      <c r="C3359" s="139" t="s">
        <v>112</v>
      </c>
      <c r="D3359" s="139" t="s">
        <v>7974</v>
      </c>
    </row>
    <row r="3360" spans="1:4" x14ac:dyDescent="0.25">
      <c r="A3360" s="139" t="s">
        <v>7975</v>
      </c>
      <c r="B3360" s="139" t="s">
        <v>7976</v>
      </c>
      <c r="C3360" s="139" t="s">
        <v>112</v>
      </c>
      <c r="D3360" s="139" t="s">
        <v>7977</v>
      </c>
    </row>
    <row r="3361" spans="1:4" x14ac:dyDescent="0.25">
      <c r="A3361" s="139" t="s">
        <v>7978</v>
      </c>
      <c r="B3361" s="139" t="s">
        <v>7976</v>
      </c>
      <c r="C3361" s="139" t="s">
        <v>112</v>
      </c>
      <c r="D3361" s="139" t="s">
        <v>7979</v>
      </c>
    </row>
    <row r="3362" spans="1:4" x14ac:dyDescent="0.25">
      <c r="A3362" s="139" t="s">
        <v>7980</v>
      </c>
      <c r="B3362" s="139" t="s">
        <v>7981</v>
      </c>
      <c r="C3362" s="139" t="s">
        <v>112</v>
      </c>
      <c r="D3362" s="139" t="s">
        <v>7982</v>
      </c>
    </row>
    <row r="3363" spans="1:4" x14ac:dyDescent="0.25">
      <c r="A3363" s="139" t="s">
        <v>7983</v>
      </c>
      <c r="B3363" s="139" t="s">
        <v>7981</v>
      </c>
      <c r="C3363" s="139" t="s">
        <v>112</v>
      </c>
      <c r="D3363" s="139" t="s">
        <v>7984</v>
      </c>
    </row>
    <row r="3364" spans="1:4" x14ac:dyDescent="0.25">
      <c r="A3364" s="139" t="s">
        <v>7985</v>
      </c>
      <c r="B3364" s="139" t="s">
        <v>7986</v>
      </c>
      <c r="C3364" s="139" t="s">
        <v>112</v>
      </c>
      <c r="D3364" s="139" t="s">
        <v>7987</v>
      </c>
    </row>
    <row r="3365" spans="1:4" x14ac:dyDescent="0.25">
      <c r="A3365" s="139" t="s">
        <v>7988</v>
      </c>
      <c r="B3365" s="139" t="s">
        <v>7986</v>
      </c>
      <c r="C3365" s="139" t="s">
        <v>112</v>
      </c>
      <c r="D3365" s="139" t="s">
        <v>7989</v>
      </c>
    </row>
    <row r="3366" spans="1:4" x14ac:dyDescent="0.25">
      <c r="A3366" s="139" t="s">
        <v>7990</v>
      </c>
      <c r="B3366" s="139" t="s">
        <v>7991</v>
      </c>
      <c r="C3366" s="139" t="s">
        <v>112</v>
      </c>
      <c r="D3366" s="139" t="s">
        <v>7992</v>
      </c>
    </row>
    <row r="3367" spans="1:4" x14ac:dyDescent="0.25">
      <c r="A3367" s="139" t="s">
        <v>7993</v>
      </c>
      <c r="B3367" s="139" t="s">
        <v>7991</v>
      </c>
      <c r="C3367" s="139" t="s">
        <v>112</v>
      </c>
      <c r="D3367" s="139" t="s">
        <v>7994</v>
      </c>
    </row>
    <row r="3368" spans="1:4" x14ac:dyDescent="0.25">
      <c r="A3368" s="139" t="s">
        <v>7995</v>
      </c>
      <c r="B3368" s="139" t="s">
        <v>7996</v>
      </c>
      <c r="C3368" s="139" t="s">
        <v>112</v>
      </c>
      <c r="D3368" s="139" t="s">
        <v>7997</v>
      </c>
    </row>
    <row r="3369" spans="1:4" x14ac:dyDescent="0.25">
      <c r="A3369" s="139" t="s">
        <v>7998</v>
      </c>
      <c r="B3369" s="139" t="s">
        <v>7996</v>
      </c>
      <c r="C3369" s="139" t="s">
        <v>112</v>
      </c>
      <c r="D3369" s="139" t="s">
        <v>7999</v>
      </c>
    </row>
    <row r="3370" spans="1:4" x14ac:dyDescent="0.25">
      <c r="A3370" s="139" t="s">
        <v>8000</v>
      </c>
      <c r="B3370" s="139" t="s">
        <v>8001</v>
      </c>
      <c r="C3370" s="139" t="s">
        <v>112</v>
      </c>
      <c r="D3370" s="139" t="s">
        <v>8002</v>
      </c>
    </row>
    <row r="3371" spans="1:4" x14ac:dyDescent="0.25">
      <c r="A3371" s="139" t="s">
        <v>8003</v>
      </c>
      <c r="B3371" s="139" t="s">
        <v>8001</v>
      </c>
      <c r="C3371" s="139" t="s">
        <v>112</v>
      </c>
      <c r="D3371" s="139" t="s">
        <v>8004</v>
      </c>
    </row>
    <row r="3372" spans="1:4" x14ac:dyDescent="0.25">
      <c r="A3372" s="139" t="s">
        <v>8005</v>
      </c>
      <c r="B3372" s="139" t="s">
        <v>8006</v>
      </c>
      <c r="C3372" s="139" t="s">
        <v>112</v>
      </c>
      <c r="D3372" s="139" t="s">
        <v>8007</v>
      </c>
    </row>
    <row r="3373" spans="1:4" x14ac:dyDescent="0.25">
      <c r="A3373" s="139" t="s">
        <v>8008</v>
      </c>
      <c r="B3373" s="139" t="s">
        <v>8006</v>
      </c>
      <c r="C3373" s="139" t="s">
        <v>112</v>
      </c>
      <c r="D3373" s="139" t="s">
        <v>8009</v>
      </c>
    </row>
    <row r="3374" spans="1:4" x14ac:dyDescent="0.25">
      <c r="A3374" s="139" t="s">
        <v>8010</v>
      </c>
      <c r="B3374" s="139" t="s">
        <v>8011</v>
      </c>
      <c r="C3374" s="139" t="s">
        <v>1683</v>
      </c>
      <c r="D3374" s="139" t="s">
        <v>8012</v>
      </c>
    </row>
    <row r="3375" spans="1:4" x14ac:dyDescent="0.25">
      <c r="A3375" s="139" t="s">
        <v>8013</v>
      </c>
      <c r="B3375" s="139" t="s">
        <v>8011</v>
      </c>
      <c r="C3375" s="139" t="s">
        <v>1683</v>
      </c>
      <c r="D3375" s="139" t="s">
        <v>8014</v>
      </c>
    </row>
    <row r="3376" spans="1:4" x14ac:dyDescent="0.25">
      <c r="A3376" s="139" t="s">
        <v>8015</v>
      </c>
      <c r="B3376" s="139" t="s">
        <v>8016</v>
      </c>
      <c r="C3376" s="139" t="s">
        <v>33</v>
      </c>
      <c r="D3376" s="139" t="s">
        <v>8017</v>
      </c>
    </row>
    <row r="3377" spans="1:4" x14ac:dyDescent="0.25">
      <c r="A3377" s="139" t="s">
        <v>8018</v>
      </c>
      <c r="B3377" s="139" t="s">
        <v>8016</v>
      </c>
      <c r="C3377" s="139" t="s">
        <v>33</v>
      </c>
      <c r="D3377" s="139" t="s">
        <v>8019</v>
      </c>
    </row>
    <row r="3378" spans="1:4" x14ac:dyDescent="0.25">
      <c r="A3378" s="139" t="s">
        <v>8020</v>
      </c>
      <c r="B3378" s="139" t="s">
        <v>8021</v>
      </c>
      <c r="C3378" s="139" t="s">
        <v>33</v>
      </c>
      <c r="D3378" s="139" t="s">
        <v>8022</v>
      </c>
    </row>
    <row r="3379" spans="1:4" x14ac:dyDescent="0.25">
      <c r="A3379" s="139" t="s">
        <v>8023</v>
      </c>
      <c r="B3379" s="139" t="s">
        <v>8021</v>
      </c>
      <c r="C3379" s="139" t="s">
        <v>33</v>
      </c>
      <c r="D3379" s="139" t="s">
        <v>8024</v>
      </c>
    </row>
    <row r="3380" spans="1:4" x14ac:dyDescent="0.25">
      <c r="A3380" s="139" t="s">
        <v>8025</v>
      </c>
      <c r="B3380" s="139" t="s">
        <v>8026</v>
      </c>
      <c r="C3380" s="139" t="s">
        <v>33</v>
      </c>
      <c r="D3380" s="139" t="s">
        <v>8027</v>
      </c>
    </row>
    <row r="3381" spans="1:4" x14ac:dyDescent="0.25">
      <c r="A3381" s="139" t="s">
        <v>8028</v>
      </c>
      <c r="B3381" s="139" t="s">
        <v>8026</v>
      </c>
      <c r="C3381" s="139" t="s">
        <v>33</v>
      </c>
      <c r="D3381" s="139" t="s">
        <v>8029</v>
      </c>
    </row>
    <row r="3382" spans="1:4" x14ac:dyDescent="0.25">
      <c r="A3382" s="139" t="s">
        <v>8030</v>
      </c>
      <c r="B3382" s="139" t="s">
        <v>8031</v>
      </c>
      <c r="C3382" s="139" t="s">
        <v>65</v>
      </c>
      <c r="D3382" s="139" t="s">
        <v>8032</v>
      </c>
    </row>
    <row r="3383" spans="1:4" x14ac:dyDescent="0.25">
      <c r="A3383" s="139" t="s">
        <v>8033</v>
      </c>
      <c r="B3383" s="139" t="s">
        <v>8031</v>
      </c>
      <c r="C3383" s="139" t="s">
        <v>65</v>
      </c>
      <c r="D3383" s="139" t="s">
        <v>8034</v>
      </c>
    </row>
    <row r="3384" spans="1:4" x14ac:dyDescent="0.25">
      <c r="A3384" s="139" t="s">
        <v>8035</v>
      </c>
      <c r="B3384" s="139" t="s">
        <v>8036</v>
      </c>
      <c r="C3384" s="139" t="s">
        <v>65</v>
      </c>
      <c r="D3384" s="139" t="s">
        <v>8037</v>
      </c>
    </row>
    <row r="3385" spans="1:4" x14ac:dyDescent="0.25">
      <c r="A3385" s="139" t="s">
        <v>8038</v>
      </c>
      <c r="B3385" s="139" t="s">
        <v>8036</v>
      </c>
      <c r="C3385" s="139" t="s">
        <v>65</v>
      </c>
      <c r="D3385" s="139" t="s">
        <v>8039</v>
      </c>
    </row>
    <row r="3386" spans="1:4" x14ac:dyDescent="0.25">
      <c r="A3386" s="139" t="s">
        <v>8040</v>
      </c>
      <c r="B3386" s="139" t="s">
        <v>8041</v>
      </c>
      <c r="C3386" s="139" t="s">
        <v>65</v>
      </c>
      <c r="D3386" s="139" t="s">
        <v>8042</v>
      </c>
    </row>
    <row r="3387" spans="1:4" x14ac:dyDescent="0.25">
      <c r="A3387" s="139" t="s">
        <v>8043</v>
      </c>
      <c r="B3387" s="139" t="s">
        <v>8041</v>
      </c>
      <c r="C3387" s="139" t="s">
        <v>65</v>
      </c>
      <c r="D3387" s="139" t="s">
        <v>8044</v>
      </c>
    </row>
    <row r="3388" spans="1:4" x14ac:dyDescent="0.25">
      <c r="A3388" s="139" t="s">
        <v>8045</v>
      </c>
      <c r="B3388" s="139" t="s">
        <v>6726</v>
      </c>
      <c r="C3388" s="139" t="s">
        <v>65</v>
      </c>
      <c r="D3388" s="139" t="s">
        <v>8046</v>
      </c>
    </row>
    <row r="3389" spans="1:4" x14ac:dyDescent="0.25">
      <c r="A3389" s="139" t="s">
        <v>8047</v>
      </c>
      <c r="B3389" s="139" t="s">
        <v>6726</v>
      </c>
      <c r="C3389" s="139" t="s">
        <v>65</v>
      </c>
      <c r="D3389" s="139" t="s">
        <v>8048</v>
      </c>
    </row>
    <row r="3390" spans="1:4" x14ac:dyDescent="0.25">
      <c r="A3390" s="139" t="s">
        <v>8049</v>
      </c>
      <c r="B3390" s="139" t="s">
        <v>1218</v>
      </c>
      <c r="C3390" s="139" t="s">
        <v>65</v>
      </c>
      <c r="D3390" s="139" t="s">
        <v>8050</v>
      </c>
    </row>
    <row r="3391" spans="1:4" x14ac:dyDescent="0.25">
      <c r="A3391" s="139" t="s">
        <v>8051</v>
      </c>
      <c r="B3391" s="139" t="s">
        <v>1218</v>
      </c>
      <c r="C3391" s="139" t="s">
        <v>65</v>
      </c>
      <c r="D3391" s="139" t="s">
        <v>8052</v>
      </c>
    </row>
    <row r="3392" spans="1:4" x14ac:dyDescent="0.25">
      <c r="A3392" s="139" t="s">
        <v>8053</v>
      </c>
      <c r="B3392" s="139" t="s">
        <v>8054</v>
      </c>
      <c r="C3392" s="139" t="s">
        <v>65</v>
      </c>
      <c r="D3392" s="139" t="s">
        <v>8055</v>
      </c>
    </row>
    <row r="3393" spans="1:4" x14ac:dyDescent="0.25">
      <c r="A3393" s="139" t="s">
        <v>8056</v>
      </c>
      <c r="B3393" s="139" t="s">
        <v>8054</v>
      </c>
      <c r="C3393" s="139" t="s">
        <v>65</v>
      </c>
      <c r="D3393" s="139" t="s">
        <v>8057</v>
      </c>
    </row>
    <row r="3394" spans="1:4" x14ac:dyDescent="0.25">
      <c r="A3394" s="139" t="s">
        <v>8058</v>
      </c>
      <c r="B3394" s="139" t="s">
        <v>7841</v>
      </c>
      <c r="C3394" s="139" t="s">
        <v>65</v>
      </c>
      <c r="D3394" s="139" t="s">
        <v>8059</v>
      </c>
    </row>
    <row r="3395" spans="1:4" x14ac:dyDescent="0.25">
      <c r="A3395" s="139" t="s">
        <v>8060</v>
      </c>
      <c r="B3395" s="139" t="s">
        <v>7841</v>
      </c>
      <c r="C3395" s="139" t="s">
        <v>65</v>
      </c>
      <c r="D3395" s="139" t="s">
        <v>8061</v>
      </c>
    </row>
    <row r="3396" spans="1:4" x14ac:dyDescent="0.25">
      <c r="A3396" s="139" t="s">
        <v>8062</v>
      </c>
      <c r="B3396" s="139" t="s">
        <v>8063</v>
      </c>
      <c r="C3396" s="139" t="s">
        <v>33</v>
      </c>
      <c r="D3396" s="139" t="s">
        <v>8064</v>
      </c>
    </row>
    <row r="3397" spans="1:4" x14ac:dyDescent="0.25">
      <c r="A3397" s="139" t="s">
        <v>8065</v>
      </c>
      <c r="B3397" s="139" t="s">
        <v>8063</v>
      </c>
      <c r="C3397" s="139" t="s">
        <v>33</v>
      </c>
      <c r="D3397" s="139" t="s">
        <v>8066</v>
      </c>
    </row>
    <row r="3398" spans="1:4" x14ac:dyDescent="0.25">
      <c r="A3398" s="139" t="s">
        <v>8067</v>
      </c>
      <c r="B3398" s="139" t="s">
        <v>8068</v>
      </c>
      <c r="C3398" s="139" t="s">
        <v>33</v>
      </c>
      <c r="D3398" s="139" t="s">
        <v>8069</v>
      </c>
    </row>
    <row r="3399" spans="1:4" x14ac:dyDescent="0.25">
      <c r="A3399" s="139" t="s">
        <v>8070</v>
      </c>
      <c r="B3399" s="139" t="s">
        <v>8068</v>
      </c>
      <c r="C3399" s="139" t="s">
        <v>33</v>
      </c>
      <c r="D3399" s="139" t="s">
        <v>8071</v>
      </c>
    </row>
    <row r="3400" spans="1:4" x14ac:dyDescent="0.25">
      <c r="A3400" s="139" t="s">
        <v>8072</v>
      </c>
      <c r="B3400" s="139" t="s">
        <v>8073</v>
      </c>
      <c r="C3400" s="139" t="s">
        <v>65</v>
      </c>
      <c r="D3400" s="139" t="s">
        <v>8074</v>
      </c>
    </row>
    <row r="3401" spans="1:4" x14ac:dyDescent="0.25">
      <c r="A3401" s="139" t="s">
        <v>8075</v>
      </c>
      <c r="B3401" s="139" t="s">
        <v>8073</v>
      </c>
      <c r="C3401" s="139" t="s">
        <v>65</v>
      </c>
      <c r="D3401" s="139" t="s">
        <v>8076</v>
      </c>
    </row>
    <row r="3402" spans="1:4" x14ac:dyDescent="0.25">
      <c r="A3402" s="139" t="s">
        <v>8077</v>
      </c>
      <c r="B3402" s="139" t="s">
        <v>8078</v>
      </c>
      <c r="C3402" s="139" t="s">
        <v>65</v>
      </c>
      <c r="D3402" s="139" t="s">
        <v>8079</v>
      </c>
    </row>
    <row r="3403" spans="1:4" x14ac:dyDescent="0.25">
      <c r="A3403" s="139" t="s">
        <v>8080</v>
      </c>
      <c r="B3403" s="139" t="s">
        <v>8078</v>
      </c>
      <c r="C3403" s="139" t="s">
        <v>65</v>
      </c>
      <c r="D3403" s="139" t="s">
        <v>8081</v>
      </c>
    </row>
    <row r="3404" spans="1:4" x14ac:dyDescent="0.25">
      <c r="A3404" s="139" t="s">
        <v>8082</v>
      </c>
      <c r="B3404" s="139" t="s">
        <v>8083</v>
      </c>
      <c r="C3404" s="139" t="s">
        <v>65</v>
      </c>
      <c r="D3404" s="139" t="s">
        <v>8084</v>
      </c>
    </row>
    <row r="3405" spans="1:4" x14ac:dyDescent="0.25">
      <c r="A3405" s="139" t="s">
        <v>8085</v>
      </c>
      <c r="B3405" s="139" t="s">
        <v>8083</v>
      </c>
      <c r="C3405" s="139" t="s">
        <v>65</v>
      </c>
      <c r="D3405" s="139" t="s">
        <v>8086</v>
      </c>
    </row>
    <row r="3406" spans="1:4" x14ac:dyDescent="0.25">
      <c r="A3406" s="139" t="s">
        <v>8087</v>
      </c>
      <c r="B3406" s="139" t="s">
        <v>8088</v>
      </c>
      <c r="C3406" s="139" t="s">
        <v>65</v>
      </c>
      <c r="D3406" s="139" t="s">
        <v>8089</v>
      </c>
    </row>
    <row r="3407" spans="1:4" x14ac:dyDescent="0.25">
      <c r="A3407" s="139" t="s">
        <v>8090</v>
      </c>
      <c r="B3407" s="139" t="s">
        <v>8088</v>
      </c>
      <c r="C3407" s="139" t="s">
        <v>65</v>
      </c>
      <c r="D3407" s="139" t="s">
        <v>8091</v>
      </c>
    </row>
    <row r="3408" spans="1:4" x14ac:dyDescent="0.25">
      <c r="A3408" s="139" t="s">
        <v>8092</v>
      </c>
      <c r="B3408" s="139" t="s">
        <v>8093</v>
      </c>
      <c r="C3408" s="139" t="s">
        <v>65</v>
      </c>
      <c r="D3408" s="139" t="s">
        <v>8094</v>
      </c>
    </row>
    <row r="3409" spans="1:4" x14ac:dyDescent="0.25">
      <c r="A3409" s="139" t="s">
        <v>8095</v>
      </c>
      <c r="B3409" s="139" t="s">
        <v>8093</v>
      </c>
      <c r="C3409" s="139" t="s">
        <v>65</v>
      </c>
      <c r="D3409" s="139" t="s">
        <v>8096</v>
      </c>
    </row>
    <row r="3410" spans="1:4" x14ac:dyDescent="0.25">
      <c r="A3410" s="139" t="s">
        <v>8097</v>
      </c>
      <c r="B3410" s="139" t="s">
        <v>8098</v>
      </c>
      <c r="C3410" s="139" t="s">
        <v>65</v>
      </c>
      <c r="D3410" s="139" t="s">
        <v>8099</v>
      </c>
    </row>
    <row r="3411" spans="1:4" x14ac:dyDescent="0.25">
      <c r="A3411" s="139" t="s">
        <v>8100</v>
      </c>
      <c r="B3411" s="139" t="s">
        <v>8098</v>
      </c>
      <c r="C3411" s="139" t="s">
        <v>65</v>
      </c>
      <c r="D3411" s="139" t="s">
        <v>8101</v>
      </c>
    </row>
    <row r="3412" spans="1:4" x14ac:dyDescent="0.25">
      <c r="A3412" s="139" t="s">
        <v>8102</v>
      </c>
      <c r="B3412" s="139" t="s">
        <v>8103</v>
      </c>
      <c r="C3412" s="139" t="s">
        <v>65</v>
      </c>
      <c r="D3412" s="139" t="s">
        <v>8104</v>
      </c>
    </row>
    <row r="3413" spans="1:4" x14ac:dyDescent="0.25">
      <c r="A3413" s="139" t="s">
        <v>8105</v>
      </c>
      <c r="B3413" s="139" t="s">
        <v>8103</v>
      </c>
      <c r="C3413" s="139" t="s">
        <v>65</v>
      </c>
      <c r="D3413" s="139" t="s">
        <v>8106</v>
      </c>
    </row>
    <row r="3414" spans="1:4" x14ac:dyDescent="0.25">
      <c r="A3414" s="139" t="s">
        <v>8107</v>
      </c>
      <c r="B3414" s="139" t="s">
        <v>8108</v>
      </c>
      <c r="C3414" s="139" t="s">
        <v>65</v>
      </c>
      <c r="D3414" s="139" t="s">
        <v>8109</v>
      </c>
    </row>
    <row r="3415" spans="1:4" x14ac:dyDescent="0.25">
      <c r="A3415" s="139" t="s">
        <v>8110</v>
      </c>
      <c r="B3415" s="139" t="s">
        <v>8108</v>
      </c>
      <c r="C3415" s="139" t="s">
        <v>65</v>
      </c>
      <c r="D3415" s="139" t="s">
        <v>8111</v>
      </c>
    </row>
    <row r="3416" spans="1:4" x14ac:dyDescent="0.25">
      <c r="A3416" s="139" t="s">
        <v>8112</v>
      </c>
      <c r="B3416" s="139" t="s">
        <v>8113</v>
      </c>
      <c r="C3416" s="139" t="s">
        <v>33</v>
      </c>
      <c r="D3416" s="139" t="s">
        <v>8114</v>
      </c>
    </row>
    <row r="3417" spans="1:4" x14ac:dyDescent="0.25">
      <c r="A3417" s="139" t="s">
        <v>8115</v>
      </c>
      <c r="B3417" s="139" t="s">
        <v>8113</v>
      </c>
      <c r="C3417" s="139" t="s">
        <v>33</v>
      </c>
      <c r="D3417" s="139" t="s">
        <v>8116</v>
      </c>
    </row>
    <row r="3418" spans="1:4" x14ac:dyDescent="0.25">
      <c r="A3418" s="139" t="s">
        <v>8117</v>
      </c>
      <c r="B3418" s="139" t="s">
        <v>8118</v>
      </c>
      <c r="C3418" s="139" t="s">
        <v>33</v>
      </c>
      <c r="D3418" s="139" t="s">
        <v>8119</v>
      </c>
    </row>
    <row r="3419" spans="1:4" x14ac:dyDescent="0.25">
      <c r="A3419" s="139" t="s">
        <v>8120</v>
      </c>
      <c r="B3419" s="139" t="s">
        <v>8118</v>
      </c>
      <c r="C3419" s="139" t="s">
        <v>33</v>
      </c>
      <c r="D3419" s="139" t="s">
        <v>8121</v>
      </c>
    </row>
    <row r="3420" spans="1:4" x14ac:dyDescent="0.25">
      <c r="A3420" s="139" t="s">
        <v>8122</v>
      </c>
      <c r="B3420" s="139" t="s">
        <v>8123</v>
      </c>
      <c r="C3420" s="139" t="s">
        <v>33</v>
      </c>
      <c r="D3420" s="139" t="s">
        <v>8124</v>
      </c>
    </row>
    <row r="3421" spans="1:4" x14ac:dyDescent="0.25">
      <c r="A3421" s="139" t="s">
        <v>8125</v>
      </c>
      <c r="B3421" s="139" t="s">
        <v>8123</v>
      </c>
      <c r="C3421" s="139" t="s">
        <v>33</v>
      </c>
      <c r="D3421" s="139" t="s">
        <v>8126</v>
      </c>
    </row>
    <row r="3422" spans="1:4" x14ac:dyDescent="0.25">
      <c r="A3422" s="139" t="s">
        <v>8127</v>
      </c>
      <c r="B3422" s="139" t="s">
        <v>8128</v>
      </c>
      <c r="C3422" s="139" t="s">
        <v>33</v>
      </c>
      <c r="D3422" s="139" t="s">
        <v>8129</v>
      </c>
    </row>
    <row r="3423" spans="1:4" x14ac:dyDescent="0.25">
      <c r="A3423" s="139" t="s">
        <v>8130</v>
      </c>
      <c r="B3423" s="139" t="s">
        <v>8128</v>
      </c>
      <c r="C3423" s="139" t="s">
        <v>33</v>
      </c>
      <c r="D3423" s="139" t="s">
        <v>8131</v>
      </c>
    </row>
    <row r="3424" spans="1:4" x14ac:dyDescent="0.25">
      <c r="A3424" s="139" t="s">
        <v>8132</v>
      </c>
      <c r="B3424" s="139" t="s">
        <v>8133</v>
      </c>
      <c r="C3424" s="139" t="s">
        <v>33</v>
      </c>
      <c r="D3424" s="139" t="s">
        <v>8134</v>
      </c>
    </row>
    <row r="3425" spans="1:4" x14ac:dyDescent="0.25">
      <c r="A3425" s="139" t="s">
        <v>8135</v>
      </c>
      <c r="B3425" s="139" t="s">
        <v>8133</v>
      </c>
      <c r="C3425" s="139" t="s">
        <v>33</v>
      </c>
      <c r="D3425" s="139" t="s">
        <v>8136</v>
      </c>
    </row>
    <row r="3426" spans="1:4" x14ac:dyDescent="0.25">
      <c r="A3426" s="139" t="s">
        <v>8137</v>
      </c>
      <c r="B3426" s="139" t="s">
        <v>7787</v>
      </c>
      <c r="C3426" s="139" t="s">
        <v>33</v>
      </c>
      <c r="D3426" s="139" t="s">
        <v>8138</v>
      </c>
    </row>
    <row r="3427" spans="1:4" x14ac:dyDescent="0.25">
      <c r="A3427" s="139" t="s">
        <v>8139</v>
      </c>
      <c r="B3427" s="139" t="s">
        <v>7787</v>
      </c>
      <c r="C3427" s="139" t="s">
        <v>33</v>
      </c>
      <c r="D3427" s="139" t="s">
        <v>8140</v>
      </c>
    </row>
    <row r="3428" spans="1:4" x14ac:dyDescent="0.25">
      <c r="A3428" s="139" t="s">
        <v>8141</v>
      </c>
      <c r="B3428" s="139" t="s">
        <v>8142</v>
      </c>
      <c r="C3428" s="139" t="s">
        <v>33</v>
      </c>
      <c r="D3428" s="139" t="s">
        <v>8143</v>
      </c>
    </row>
    <row r="3429" spans="1:4" x14ac:dyDescent="0.25">
      <c r="A3429" s="139" t="s">
        <v>8144</v>
      </c>
      <c r="B3429" s="139" t="s">
        <v>8142</v>
      </c>
      <c r="C3429" s="139" t="s">
        <v>33</v>
      </c>
      <c r="D3429" s="139" t="s">
        <v>8145</v>
      </c>
    </row>
    <row r="3430" spans="1:4" x14ac:dyDescent="0.25">
      <c r="A3430" s="139" t="s">
        <v>8146</v>
      </c>
      <c r="B3430" s="139" t="s">
        <v>7807</v>
      </c>
      <c r="C3430" s="139" t="s">
        <v>33</v>
      </c>
      <c r="D3430" s="139" t="s">
        <v>8147</v>
      </c>
    </row>
    <row r="3431" spans="1:4" x14ac:dyDescent="0.25">
      <c r="A3431" s="139" t="s">
        <v>8148</v>
      </c>
      <c r="B3431" s="139" t="s">
        <v>7807</v>
      </c>
      <c r="C3431" s="139" t="s">
        <v>33</v>
      </c>
      <c r="D3431" s="139" t="s">
        <v>8149</v>
      </c>
    </row>
    <row r="3432" spans="1:4" x14ac:dyDescent="0.25">
      <c r="A3432" s="139" t="s">
        <v>8150</v>
      </c>
      <c r="B3432" s="139" t="s">
        <v>8151</v>
      </c>
      <c r="C3432" s="139" t="s">
        <v>33</v>
      </c>
      <c r="D3432" s="139" t="s">
        <v>8152</v>
      </c>
    </row>
    <row r="3433" spans="1:4" x14ac:dyDescent="0.25">
      <c r="A3433" s="139" t="s">
        <v>8153</v>
      </c>
      <c r="B3433" s="139" t="s">
        <v>8151</v>
      </c>
      <c r="C3433" s="139" t="s">
        <v>33</v>
      </c>
      <c r="D3433" s="139" t="s">
        <v>8154</v>
      </c>
    </row>
    <row r="3434" spans="1:4" x14ac:dyDescent="0.25">
      <c r="A3434" s="139" t="s">
        <v>8155</v>
      </c>
      <c r="B3434" s="139" t="s">
        <v>8156</v>
      </c>
      <c r="C3434" s="139" t="s">
        <v>65</v>
      </c>
      <c r="D3434" s="139" t="s">
        <v>8157</v>
      </c>
    </row>
    <row r="3435" spans="1:4" x14ac:dyDescent="0.25">
      <c r="A3435" s="139" t="s">
        <v>8158</v>
      </c>
      <c r="B3435" s="139" t="s">
        <v>8156</v>
      </c>
      <c r="C3435" s="139" t="s">
        <v>65</v>
      </c>
      <c r="D3435" s="139" t="s">
        <v>8159</v>
      </c>
    </row>
    <row r="3436" spans="1:4" x14ac:dyDescent="0.25">
      <c r="A3436" s="139" t="s">
        <v>8160</v>
      </c>
      <c r="B3436" s="139" t="s">
        <v>8161</v>
      </c>
      <c r="C3436" s="139" t="s">
        <v>33</v>
      </c>
      <c r="D3436" s="139" t="s">
        <v>8162</v>
      </c>
    </row>
    <row r="3437" spans="1:4" x14ac:dyDescent="0.25">
      <c r="A3437" s="139" t="s">
        <v>8163</v>
      </c>
      <c r="B3437" s="139" t="s">
        <v>8161</v>
      </c>
      <c r="C3437" s="139" t="s">
        <v>33</v>
      </c>
      <c r="D3437" s="139" t="s">
        <v>8164</v>
      </c>
    </row>
    <row r="3438" spans="1:4" x14ac:dyDescent="0.25">
      <c r="A3438" s="139" t="s">
        <v>8165</v>
      </c>
      <c r="B3438" s="139" t="s">
        <v>8166</v>
      </c>
      <c r="C3438" s="139" t="s">
        <v>65</v>
      </c>
      <c r="D3438" s="139" t="s">
        <v>8167</v>
      </c>
    </row>
    <row r="3439" spans="1:4" x14ac:dyDescent="0.25">
      <c r="A3439" s="139" t="s">
        <v>8168</v>
      </c>
      <c r="B3439" s="139" t="s">
        <v>1598</v>
      </c>
      <c r="C3439" s="139" t="s">
        <v>112</v>
      </c>
      <c r="D3439" s="139" t="s">
        <v>8169</v>
      </c>
    </row>
    <row r="3440" spans="1:4" x14ac:dyDescent="0.25">
      <c r="A3440" s="139" t="s">
        <v>8170</v>
      </c>
      <c r="B3440" s="139" t="s">
        <v>6652</v>
      </c>
      <c r="C3440" s="139" t="s">
        <v>33</v>
      </c>
      <c r="D3440" s="139" t="s">
        <v>8171</v>
      </c>
    </row>
    <row r="3441" spans="1:4" x14ac:dyDescent="0.25">
      <c r="A3441" s="139" t="s">
        <v>8170</v>
      </c>
      <c r="B3441" s="139" t="s">
        <v>6652</v>
      </c>
      <c r="C3441" s="139" t="s">
        <v>33</v>
      </c>
      <c r="D3441" s="139" t="s">
        <v>8172</v>
      </c>
    </row>
    <row r="3442" spans="1:4" x14ac:dyDescent="0.25">
      <c r="A3442" s="139" t="s">
        <v>8173</v>
      </c>
      <c r="B3442" s="139" t="s">
        <v>5622</v>
      </c>
      <c r="C3442" s="139" t="s">
        <v>44</v>
      </c>
      <c r="D3442" s="139" t="s">
        <v>8174</v>
      </c>
    </row>
    <row r="3443" spans="1:4" x14ac:dyDescent="0.25">
      <c r="A3443" s="139" t="s">
        <v>8175</v>
      </c>
      <c r="B3443" s="139" t="s">
        <v>6561</v>
      </c>
      <c r="C3443" s="139" t="s">
        <v>44</v>
      </c>
      <c r="D3443" s="139" t="s">
        <v>8176</v>
      </c>
    </row>
    <row r="3444" spans="1:4" x14ac:dyDescent="0.25">
      <c r="A3444" s="139" t="s">
        <v>8177</v>
      </c>
      <c r="B3444" s="139" t="s">
        <v>6610</v>
      </c>
      <c r="C3444" s="139" t="s">
        <v>44</v>
      </c>
      <c r="D3444" s="139" t="s">
        <v>8178</v>
      </c>
    </row>
    <row r="3445" spans="1:4" x14ac:dyDescent="0.25">
      <c r="A3445" s="139" t="s">
        <v>8179</v>
      </c>
      <c r="B3445" s="139" t="s">
        <v>6605</v>
      </c>
      <c r="C3445" s="139" t="s">
        <v>44</v>
      </c>
      <c r="D3445" s="139" t="s">
        <v>8180</v>
      </c>
    </row>
    <row r="3446" spans="1:4" x14ac:dyDescent="0.25">
      <c r="A3446" s="139" t="s">
        <v>8181</v>
      </c>
      <c r="B3446" s="139" t="s">
        <v>6600</v>
      </c>
      <c r="C3446" s="139" t="s">
        <v>112</v>
      </c>
      <c r="D3446" s="139" t="s">
        <v>8182</v>
      </c>
    </row>
    <row r="3447" spans="1:4" x14ac:dyDescent="0.25">
      <c r="A3447" s="139" t="s">
        <v>8183</v>
      </c>
      <c r="B3447" s="139" t="s">
        <v>6585</v>
      </c>
      <c r="C3447" s="139" t="s">
        <v>112</v>
      </c>
      <c r="D3447" s="139" t="s">
        <v>8184</v>
      </c>
    </row>
    <row r="3448" spans="1:4" x14ac:dyDescent="0.25">
      <c r="A3448" s="139" t="s">
        <v>8185</v>
      </c>
      <c r="B3448" s="139" t="s">
        <v>6575</v>
      </c>
      <c r="C3448" s="139" t="s">
        <v>112</v>
      </c>
      <c r="D3448" s="139" t="s">
        <v>8186</v>
      </c>
    </row>
    <row r="3449" spans="1:4" x14ac:dyDescent="0.25">
      <c r="A3449" s="139" t="s">
        <v>8187</v>
      </c>
      <c r="B3449" s="139" t="s">
        <v>6570</v>
      </c>
      <c r="C3449" s="139" t="s">
        <v>112</v>
      </c>
      <c r="D3449" s="139" t="s">
        <v>8188</v>
      </c>
    </row>
    <row r="3450" spans="1:4" x14ac:dyDescent="0.25">
      <c r="A3450" s="139" t="s">
        <v>8189</v>
      </c>
      <c r="B3450" s="139" t="s">
        <v>1588</v>
      </c>
      <c r="C3450" s="139" t="s">
        <v>6544</v>
      </c>
      <c r="D3450" s="139" t="s">
        <v>8190</v>
      </c>
    </row>
    <row r="3451" spans="1:4" x14ac:dyDescent="0.25">
      <c r="A3451" s="139" t="s">
        <v>8191</v>
      </c>
      <c r="B3451" s="139" t="s">
        <v>6561</v>
      </c>
      <c r="C3451" s="139" t="s">
        <v>6544</v>
      </c>
      <c r="D3451" s="139" t="s">
        <v>8192</v>
      </c>
    </row>
    <row r="3452" spans="1:4" x14ac:dyDescent="0.25">
      <c r="A3452" s="139" t="s">
        <v>8193</v>
      </c>
      <c r="B3452" s="139" t="s">
        <v>1598</v>
      </c>
      <c r="C3452" s="139" t="s">
        <v>6544</v>
      </c>
      <c r="D3452" s="139" t="s">
        <v>8194</v>
      </c>
    </row>
    <row r="3453" spans="1:4" x14ac:dyDescent="0.25">
      <c r="A3453" s="139" t="s">
        <v>8195</v>
      </c>
      <c r="B3453" s="139" t="s">
        <v>885</v>
      </c>
      <c r="C3453" s="139" t="s">
        <v>6544</v>
      </c>
      <c r="D3453" s="139" t="s">
        <v>8196</v>
      </c>
    </row>
    <row r="3454" spans="1:4" x14ac:dyDescent="0.25">
      <c r="A3454" s="139" t="s">
        <v>8197</v>
      </c>
      <c r="B3454" s="139" t="s">
        <v>5613</v>
      </c>
      <c r="C3454" s="139" t="s">
        <v>6544</v>
      </c>
      <c r="D3454" s="139" t="s">
        <v>8198</v>
      </c>
    </row>
    <row r="3455" spans="1:4" x14ac:dyDescent="0.25">
      <c r="A3455" s="139" t="s">
        <v>8199</v>
      </c>
      <c r="B3455" s="139" t="s">
        <v>5783</v>
      </c>
      <c r="C3455" s="139" t="s">
        <v>6544</v>
      </c>
      <c r="D3455" s="139" t="s">
        <v>8200</v>
      </c>
    </row>
    <row r="3456" spans="1:4" x14ac:dyDescent="0.25">
      <c r="A3456" s="139" t="s">
        <v>8201</v>
      </c>
      <c r="B3456" s="139" t="s">
        <v>3754</v>
      </c>
      <c r="C3456" s="139" t="s">
        <v>127</v>
      </c>
      <c r="D3456" s="139" t="s">
        <v>8202</v>
      </c>
    </row>
    <row r="3457" spans="1:4" x14ac:dyDescent="0.25">
      <c r="A3457" s="139" t="s">
        <v>8203</v>
      </c>
      <c r="B3457" s="139" t="s">
        <v>5286</v>
      </c>
      <c r="C3457" s="139" t="s">
        <v>127</v>
      </c>
      <c r="D3457" s="139" t="s">
        <v>8204</v>
      </c>
    </row>
    <row r="3458" spans="1:4" x14ac:dyDescent="0.25">
      <c r="A3458" s="139" t="s">
        <v>8205</v>
      </c>
      <c r="B3458" s="139" t="s">
        <v>4139</v>
      </c>
      <c r="C3458" s="139" t="s">
        <v>2895</v>
      </c>
      <c r="D3458" s="139" t="s">
        <v>8206</v>
      </c>
    </row>
    <row r="3459" spans="1:4" x14ac:dyDescent="0.25">
      <c r="A3459" s="139" t="s">
        <v>8207</v>
      </c>
      <c r="B3459" s="139" t="s">
        <v>4039</v>
      </c>
      <c r="C3459" s="139" t="s">
        <v>2895</v>
      </c>
      <c r="D3459" s="139" t="s">
        <v>8208</v>
      </c>
    </row>
    <row r="3460" spans="1:4" x14ac:dyDescent="0.25">
      <c r="A3460" s="139" t="s">
        <v>8209</v>
      </c>
      <c r="B3460" s="139" t="s">
        <v>4680</v>
      </c>
      <c r="C3460" s="139" t="s">
        <v>112</v>
      </c>
      <c r="D3460" s="139" t="s">
        <v>8210</v>
      </c>
    </row>
    <row r="3461" spans="1:4" x14ac:dyDescent="0.25">
      <c r="A3461" s="139" t="s">
        <v>8211</v>
      </c>
      <c r="B3461" s="139" t="s">
        <v>8212</v>
      </c>
      <c r="C3461" s="139" t="s">
        <v>112</v>
      </c>
      <c r="D3461" s="139" t="s">
        <v>8213</v>
      </c>
    </row>
    <row r="3462" spans="1:4" x14ac:dyDescent="0.25">
      <c r="A3462" s="139" t="s">
        <v>8214</v>
      </c>
      <c r="B3462" s="139" t="s">
        <v>8215</v>
      </c>
      <c r="C3462" s="139" t="s">
        <v>112</v>
      </c>
      <c r="D3462" s="139" t="s">
        <v>8216</v>
      </c>
    </row>
    <row r="3463" spans="1:4" x14ac:dyDescent="0.25">
      <c r="A3463" s="139" t="s">
        <v>8217</v>
      </c>
      <c r="B3463" s="139" t="s">
        <v>4646</v>
      </c>
      <c r="C3463" s="139" t="s">
        <v>112</v>
      </c>
      <c r="D3463" s="139" t="s">
        <v>8218</v>
      </c>
    </row>
    <row r="3464" spans="1:4" x14ac:dyDescent="0.25">
      <c r="A3464" s="139" t="s">
        <v>8219</v>
      </c>
      <c r="B3464" s="139" t="s">
        <v>8220</v>
      </c>
      <c r="C3464" s="139" t="s">
        <v>65</v>
      </c>
      <c r="D3464" s="139" t="s">
        <v>8221</v>
      </c>
    </row>
    <row r="3465" spans="1:4" x14ac:dyDescent="0.25">
      <c r="A3465" s="139" t="s">
        <v>8222</v>
      </c>
      <c r="B3465" s="139" t="s">
        <v>5622</v>
      </c>
      <c r="C3465" s="139" t="s">
        <v>1683</v>
      </c>
      <c r="D3465" s="139" t="s">
        <v>8223</v>
      </c>
    </row>
    <row r="3466" spans="1:4" x14ac:dyDescent="0.25">
      <c r="A3466" s="139" t="s">
        <v>8224</v>
      </c>
      <c r="B3466" s="139" t="s">
        <v>6464</v>
      </c>
      <c r="C3466" s="139" t="s">
        <v>123</v>
      </c>
      <c r="D3466" s="139" t="s">
        <v>8225</v>
      </c>
    </row>
    <row r="3467" spans="1:4" x14ac:dyDescent="0.25">
      <c r="A3467" s="139" t="s">
        <v>8226</v>
      </c>
      <c r="B3467" s="139" t="s">
        <v>6484</v>
      </c>
      <c r="C3467" s="139" t="s">
        <v>123</v>
      </c>
      <c r="D3467" s="139" t="s">
        <v>8227</v>
      </c>
    </row>
    <row r="3468" spans="1:4" x14ac:dyDescent="0.25">
      <c r="A3468" s="139" t="s">
        <v>8228</v>
      </c>
      <c r="B3468" s="139" t="s">
        <v>4371</v>
      </c>
      <c r="C3468" s="139" t="s">
        <v>658</v>
      </c>
      <c r="D3468" s="139" t="s">
        <v>8229</v>
      </c>
    </row>
    <row r="3469" spans="1:4" x14ac:dyDescent="0.25">
      <c r="A3469" s="139" t="s">
        <v>8230</v>
      </c>
      <c r="B3469" s="139" t="s">
        <v>4366</v>
      </c>
      <c r="C3469" s="139" t="s">
        <v>658</v>
      </c>
      <c r="D3469" s="139" t="s">
        <v>8231</v>
      </c>
    </row>
    <row r="3470" spans="1:4" x14ac:dyDescent="0.25">
      <c r="A3470" s="139" t="s">
        <v>8232</v>
      </c>
      <c r="B3470" s="139" t="s">
        <v>4347</v>
      </c>
      <c r="C3470" s="139" t="s">
        <v>112</v>
      </c>
      <c r="D3470" s="139" t="s">
        <v>8233</v>
      </c>
    </row>
    <row r="3471" spans="1:4" x14ac:dyDescent="0.25">
      <c r="A3471" s="139" t="s">
        <v>8234</v>
      </c>
      <c r="B3471" s="139" t="s">
        <v>2880</v>
      </c>
      <c r="C3471" s="139" t="s">
        <v>112</v>
      </c>
      <c r="D3471" s="139" t="s">
        <v>8235</v>
      </c>
    </row>
    <row r="3472" spans="1:4" x14ac:dyDescent="0.25">
      <c r="A3472" s="139" t="s">
        <v>8236</v>
      </c>
      <c r="B3472" s="139" t="s">
        <v>4337</v>
      </c>
      <c r="C3472" s="139" t="s">
        <v>112</v>
      </c>
      <c r="D3472" s="139" t="s">
        <v>8237</v>
      </c>
    </row>
    <row r="3473" spans="1:4" x14ac:dyDescent="0.25">
      <c r="A3473" s="139" t="s">
        <v>8238</v>
      </c>
      <c r="B3473" s="139" t="s">
        <v>4327</v>
      </c>
      <c r="C3473" s="139" t="s">
        <v>112</v>
      </c>
      <c r="D3473" s="139" t="s">
        <v>8239</v>
      </c>
    </row>
    <row r="3474" spans="1:4" x14ac:dyDescent="0.25">
      <c r="A3474" s="139" t="s">
        <v>8240</v>
      </c>
      <c r="B3474" s="139" t="s">
        <v>6857</v>
      </c>
      <c r="C3474" s="139" t="s">
        <v>112</v>
      </c>
      <c r="D3474" s="139" t="s">
        <v>8241</v>
      </c>
    </row>
    <row r="3475" spans="1:4" x14ac:dyDescent="0.25">
      <c r="A3475" s="139" t="s">
        <v>8242</v>
      </c>
      <c r="B3475" s="139" t="s">
        <v>4332</v>
      </c>
      <c r="C3475" s="139" t="s">
        <v>112</v>
      </c>
      <c r="D3475" s="139" t="s">
        <v>8243</v>
      </c>
    </row>
    <row r="3476" spans="1:4" x14ac:dyDescent="0.25">
      <c r="A3476" s="139" t="s">
        <v>8244</v>
      </c>
      <c r="B3476" s="139" t="s">
        <v>5807</v>
      </c>
      <c r="C3476" s="139" t="s">
        <v>65</v>
      </c>
      <c r="D3476" s="139" t="s">
        <v>8245</v>
      </c>
    </row>
    <row r="3477" spans="1:4" x14ac:dyDescent="0.25">
      <c r="A3477" s="139" t="s">
        <v>8246</v>
      </c>
      <c r="B3477" s="139" t="s">
        <v>534</v>
      </c>
      <c r="C3477" s="139" t="s">
        <v>65</v>
      </c>
      <c r="D3477" s="139" t="s">
        <v>8247</v>
      </c>
    </row>
    <row r="3478" spans="1:4" x14ac:dyDescent="0.25">
      <c r="A3478" s="139" t="s">
        <v>8248</v>
      </c>
      <c r="B3478" s="139" t="s">
        <v>8249</v>
      </c>
      <c r="C3478" s="139" t="s">
        <v>65</v>
      </c>
      <c r="D3478" s="139" t="s">
        <v>8250</v>
      </c>
    </row>
    <row r="3479" spans="1:4" x14ac:dyDescent="0.25">
      <c r="A3479" s="139" t="s">
        <v>8251</v>
      </c>
      <c r="B3479" s="139" t="s">
        <v>544</v>
      </c>
      <c r="C3479" s="139" t="s">
        <v>65</v>
      </c>
      <c r="D3479" s="139" t="s">
        <v>8252</v>
      </c>
    </row>
    <row r="3480" spans="1:4" x14ac:dyDescent="0.25">
      <c r="A3480" s="139" t="s">
        <v>8253</v>
      </c>
      <c r="B3480" s="139" t="s">
        <v>8254</v>
      </c>
      <c r="C3480" s="139" t="s">
        <v>65</v>
      </c>
      <c r="D3480" s="139" t="s">
        <v>8255</v>
      </c>
    </row>
    <row r="3481" spans="1:4" x14ac:dyDescent="0.25">
      <c r="A3481" s="139" t="s">
        <v>8256</v>
      </c>
      <c r="B3481" s="139" t="s">
        <v>2284</v>
      </c>
      <c r="C3481" s="139" t="s">
        <v>65</v>
      </c>
      <c r="D3481" s="139" t="s">
        <v>8257</v>
      </c>
    </row>
    <row r="3482" spans="1:4" x14ac:dyDescent="0.25">
      <c r="A3482" s="139" t="s">
        <v>8258</v>
      </c>
      <c r="B3482" s="139" t="s">
        <v>4054</v>
      </c>
      <c r="C3482" s="139" t="s">
        <v>127</v>
      </c>
      <c r="D3482" s="139" t="s">
        <v>8259</v>
      </c>
    </row>
    <row r="3483" spans="1:4" x14ac:dyDescent="0.25">
      <c r="A3483" s="139" t="s">
        <v>8260</v>
      </c>
      <c r="B3483" s="139" t="s">
        <v>4875</v>
      </c>
      <c r="C3483" s="139" t="s">
        <v>316</v>
      </c>
      <c r="D3483" s="139" t="s">
        <v>8261</v>
      </c>
    </row>
    <row r="3484" spans="1:4" x14ac:dyDescent="0.25">
      <c r="A3484" s="139" t="s">
        <v>8262</v>
      </c>
      <c r="B3484" s="139" t="s">
        <v>4875</v>
      </c>
      <c r="C3484" s="139" t="s">
        <v>316</v>
      </c>
      <c r="D3484" s="139" t="s">
        <v>8263</v>
      </c>
    </row>
    <row r="3485" spans="1:4" x14ac:dyDescent="0.25">
      <c r="A3485" s="139" t="s">
        <v>8264</v>
      </c>
      <c r="B3485" s="139" t="s">
        <v>8265</v>
      </c>
      <c r="C3485" s="139" t="s">
        <v>316</v>
      </c>
      <c r="D3485" s="139" t="s">
        <v>8266</v>
      </c>
    </row>
    <row r="3486" spans="1:4" x14ac:dyDescent="0.25">
      <c r="A3486" s="139" t="s">
        <v>8267</v>
      </c>
      <c r="B3486" s="139" t="s">
        <v>8265</v>
      </c>
      <c r="C3486" s="139" t="s">
        <v>316</v>
      </c>
      <c r="D3486" s="139" t="s">
        <v>8268</v>
      </c>
    </row>
    <row r="3487" spans="1:4" x14ac:dyDescent="0.25">
      <c r="A3487" s="139" t="s">
        <v>8269</v>
      </c>
      <c r="B3487" s="139" t="s">
        <v>8270</v>
      </c>
      <c r="C3487" s="139" t="s">
        <v>8271</v>
      </c>
      <c r="D3487" s="139" t="s">
        <v>8272</v>
      </c>
    </row>
    <row r="3488" spans="1:4" x14ac:dyDescent="0.25">
      <c r="A3488" s="139" t="s">
        <v>8273</v>
      </c>
      <c r="B3488" s="139" t="s">
        <v>332</v>
      </c>
      <c r="C3488" s="139" t="s">
        <v>33</v>
      </c>
      <c r="D3488" s="139" t="s">
        <v>8274</v>
      </c>
    </row>
    <row r="3489" spans="1:4" x14ac:dyDescent="0.25">
      <c r="A3489" s="139" t="s">
        <v>8275</v>
      </c>
      <c r="B3489" s="139" t="s">
        <v>6951</v>
      </c>
      <c r="C3489" s="139" t="s">
        <v>65</v>
      </c>
      <c r="D3489" s="139" t="s">
        <v>8276</v>
      </c>
    </row>
    <row r="3490" spans="1:4" x14ac:dyDescent="0.25">
      <c r="A3490" s="139" t="s">
        <v>8277</v>
      </c>
      <c r="B3490" s="139" t="s">
        <v>5927</v>
      </c>
      <c r="C3490" s="139" t="s">
        <v>65</v>
      </c>
      <c r="D3490" s="139" t="s">
        <v>8278</v>
      </c>
    </row>
    <row r="3491" spans="1:4" x14ac:dyDescent="0.25">
      <c r="A3491" s="139" t="s">
        <v>8279</v>
      </c>
      <c r="B3491" s="139" t="s">
        <v>38</v>
      </c>
      <c r="C3491" s="139" t="s">
        <v>65</v>
      </c>
      <c r="D3491" s="139" t="s">
        <v>8280</v>
      </c>
    </row>
    <row r="3492" spans="1:4" x14ac:dyDescent="0.25">
      <c r="A3492" s="139" t="s">
        <v>8281</v>
      </c>
      <c r="B3492" s="139" t="s">
        <v>4147</v>
      </c>
      <c r="C3492" s="139" t="s">
        <v>2895</v>
      </c>
      <c r="D3492" s="139" t="s">
        <v>8282</v>
      </c>
    </row>
    <row r="3493" spans="1:4" x14ac:dyDescent="0.25">
      <c r="A3493" s="139" t="s">
        <v>8283</v>
      </c>
      <c r="B3493" s="139" t="s">
        <v>6575</v>
      </c>
      <c r="C3493" s="139" t="s">
        <v>112</v>
      </c>
      <c r="D3493" s="139" t="s">
        <v>8284</v>
      </c>
    </row>
    <row r="3494" spans="1:4" x14ac:dyDescent="0.25">
      <c r="A3494" s="139" t="s">
        <v>8285</v>
      </c>
      <c r="B3494" s="139" t="s">
        <v>6570</v>
      </c>
      <c r="C3494" s="139" t="s">
        <v>112</v>
      </c>
      <c r="D3494" s="139" t="s">
        <v>8286</v>
      </c>
    </row>
    <row r="3495" spans="1:4" x14ac:dyDescent="0.25">
      <c r="A3495" s="139" t="s">
        <v>8287</v>
      </c>
      <c r="B3495" s="139" t="s">
        <v>1588</v>
      </c>
      <c r="C3495" s="139" t="s">
        <v>6544</v>
      </c>
      <c r="D3495" s="139" t="s">
        <v>8288</v>
      </c>
    </row>
    <row r="3496" spans="1:4" x14ac:dyDescent="0.25">
      <c r="A3496" s="139" t="s">
        <v>8289</v>
      </c>
      <c r="B3496" s="139" t="s">
        <v>6561</v>
      </c>
      <c r="C3496" s="139" t="s">
        <v>6544</v>
      </c>
      <c r="D3496" s="139" t="s">
        <v>8290</v>
      </c>
    </row>
    <row r="3497" spans="1:4" x14ac:dyDescent="0.25">
      <c r="A3497" s="139" t="s">
        <v>8291</v>
      </c>
      <c r="B3497" s="139" t="s">
        <v>1598</v>
      </c>
      <c r="C3497" s="139" t="s">
        <v>6544</v>
      </c>
      <c r="D3497" s="139" t="s">
        <v>8292</v>
      </c>
    </row>
    <row r="3498" spans="1:4" x14ac:dyDescent="0.25">
      <c r="A3498" s="139" t="s">
        <v>8293</v>
      </c>
      <c r="B3498" s="139" t="s">
        <v>885</v>
      </c>
      <c r="C3498" s="139" t="s">
        <v>6544</v>
      </c>
      <c r="D3498" s="139" t="s">
        <v>8294</v>
      </c>
    </row>
    <row r="3499" spans="1:4" x14ac:dyDescent="0.25">
      <c r="A3499" s="139" t="s">
        <v>8295</v>
      </c>
      <c r="B3499" s="139" t="s">
        <v>5613</v>
      </c>
      <c r="C3499" s="139" t="s">
        <v>6544</v>
      </c>
      <c r="D3499" s="139" t="s">
        <v>8296</v>
      </c>
    </row>
    <row r="3500" spans="1:4" x14ac:dyDescent="0.25">
      <c r="A3500" s="139" t="s">
        <v>8297</v>
      </c>
      <c r="B3500" s="139" t="s">
        <v>1598</v>
      </c>
      <c r="C3500" s="139" t="s">
        <v>112</v>
      </c>
      <c r="D3500" s="139" t="s">
        <v>8298</v>
      </c>
    </row>
    <row r="3501" spans="1:4" x14ac:dyDescent="0.25">
      <c r="A3501" s="139" t="s">
        <v>8299</v>
      </c>
      <c r="B3501" s="139" t="s">
        <v>5622</v>
      </c>
      <c r="C3501" s="139" t="s">
        <v>44</v>
      </c>
      <c r="D3501" s="139" t="s">
        <v>8300</v>
      </c>
    </row>
    <row r="3502" spans="1:4" x14ac:dyDescent="0.25">
      <c r="A3502" s="139" t="s">
        <v>8301</v>
      </c>
      <c r="B3502" s="139" t="s">
        <v>6561</v>
      </c>
      <c r="C3502" s="139" t="s">
        <v>44</v>
      </c>
      <c r="D3502" s="139" t="s">
        <v>8302</v>
      </c>
    </row>
    <row r="3503" spans="1:4" x14ac:dyDescent="0.25">
      <c r="A3503" s="139" t="s">
        <v>8303</v>
      </c>
      <c r="B3503" s="139" t="s">
        <v>6610</v>
      </c>
      <c r="C3503" s="139" t="s">
        <v>44</v>
      </c>
      <c r="D3503" s="139" t="s">
        <v>8304</v>
      </c>
    </row>
    <row r="3504" spans="1:4" x14ac:dyDescent="0.25">
      <c r="A3504" s="139" t="s">
        <v>8305</v>
      </c>
      <c r="B3504" s="139" t="s">
        <v>6605</v>
      </c>
      <c r="C3504" s="139" t="s">
        <v>44</v>
      </c>
      <c r="D3504" s="139" t="s">
        <v>8306</v>
      </c>
    </row>
    <row r="3505" spans="1:4" x14ac:dyDescent="0.25">
      <c r="A3505" s="139" t="s">
        <v>8307</v>
      </c>
      <c r="B3505" s="139" t="s">
        <v>6585</v>
      </c>
      <c r="C3505" s="139" t="s">
        <v>112</v>
      </c>
      <c r="D3505" s="139" t="s">
        <v>8308</v>
      </c>
    </row>
    <row r="3506" spans="1:4" x14ac:dyDescent="0.25">
      <c r="A3506" s="139" t="s">
        <v>8309</v>
      </c>
      <c r="B3506" s="139" t="s">
        <v>5783</v>
      </c>
      <c r="C3506" s="139" t="s">
        <v>6544</v>
      </c>
      <c r="D3506" s="139" t="s">
        <v>8310</v>
      </c>
    </row>
    <row r="3507" spans="1:4" x14ac:dyDescent="0.25">
      <c r="A3507" s="139" t="s">
        <v>8311</v>
      </c>
      <c r="B3507" s="139" t="s">
        <v>6484</v>
      </c>
      <c r="C3507" s="139" t="s">
        <v>123</v>
      </c>
      <c r="D3507" s="139" t="s">
        <v>8312</v>
      </c>
    </row>
    <row r="3508" spans="1:4" x14ac:dyDescent="0.25">
      <c r="A3508" s="139" t="s">
        <v>8313</v>
      </c>
      <c r="B3508" s="139" t="s">
        <v>6464</v>
      </c>
      <c r="C3508" s="139" t="s">
        <v>123</v>
      </c>
      <c r="D3508" s="139" t="s">
        <v>8314</v>
      </c>
    </row>
    <row r="3509" spans="1:4" x14ac:dyDescent="0.25">
      <c r="A3509" s="139" t="s">
        <v>8315</v>
      </c>
      <c r="B3509" s="139" t="s">
        <v>3754</v>
      </c>
      <c r="C3509" s="139" t="s">
        <v>127</v>
      </c>
      <c r="D3509" s="139" t="s">
        <v>8316</v>
      </c>
    </row>
    <row r="3510" spans="1:4" x14ac:dyDescent="0.25">
      <c r="A3510" s="139" t="s">
        <v>8317</v>
      </c>
      <c r="B3510" s="139" t="s">
        <v>5286</v>
      </c>
      <c r="C3510" s="139" t="s">
        <v>127</v>
      </c>
      <c r="D3510" s="139" t="s">
        <v>8318</v>
      </c>
    </row>
    <row r="3511" spans="1:4" x14ac:dyDescent="0.25">
      <c r="A3511" s="139" t="s">
        <v>8319</v>
      </c>
      <c r="B3511" s="139" t="s">
        <v>4139</v>
      </c>
      <c r="C3511" s="139" t="s">
        <v>2895</v>
      </c>
      <c r="D3511" s="139" t="s">
        <v>8320</v>
      </c>
    </row>
    <row r="3512" spans="1:4" x14ac:dyDescent="0.25">
      <c r="A3512" s="139" t="s">
        <v>8321</v>
      </c>
      <c r="B3512" s="139" t="s">
        <v>4039</v>
      </c>
      <c r="C3512" s="139" t="s">
        <v>2895</v>
      </c>
      <c r="D3512" s="139" t="s">
        <v>8322</v>
      </c>
    </row>
    <row r="3513" spans="1:4" x14ac:dyDescent="0.25">
      <c r="A3513" s="139" t="s">
        <v>8323</v>
      </c>
      <c r="B3513" s="139" t="s">
        <v>4680</v>
      </c>
      <c r="C3513" s="139" t="s">
        <v>112</v>
      </c>
      <c r="D3513" s="139" t="s">
        <v>8324</v>
      </c>
    </row>
    <row r="3514" spans="1:4" x14ac:dyDescent="0.25">
      <c r="A3514" s="139" t="s">
        <v>8325</v>
      </c>
      <c r="B3514" s="139" t="s">
        <v>8212</v>
      </c>
      <c r="C3514" s="139" t="s">
        <v>112</v>
      </c>
      <c r="D3514" s="139" t="s">
        <v>8326</v>
      </c>
    </row>
    <row r="3515" spans="1:4" x14ac:dyDescent="0.25">
      <c r="A3515" s="139" t="s">
        <v>8327</v>
      </c>
      <c r="B3515" s="139" t="s">
        <v>8215</v>
      </c>
      <c r="C3515" s="139" t="s">
        <v>112</v>
      </c>
      <c r="D3515" s="139" t="s">
        <v>8328</v>
      </c>
    </row>
    <row r="3516" spans="1:4" x14ac:dyDescent="0.25">
      <c r="A3516" s="139" t="s">
        <v>8329</v>
      </c>
      <c r="B3516" s="139" t="s">
        <v>4646</v>
      </c>
      <c r="C3516" s="139" t="s">
        <v>112</v>
      </c>
      <c r="D3516" s="139" t="s">
        <v>8330</v>
      </c>
    </row>
    <row r="3517" spans="1:4" x14ac:dyDescent="0.25">
      <c r="A3517" s="139" t="s">
        <v>8331</v>
      </c>
      <c r="B3517" s="139" t="s">
        <v>8220</v>
      </c>
      <c r="C3517" s="139" t="s">
        <v>65</v>
      </c>
      <c r="D3517" s="139" t="s">
        <v>8332</v>
      </c>
    </row>
    <row r="3518" spans="1:4" x14ac:dyDescent="0.25">
      <c r="A3518" s="139" t="s">
        <v>8333</v>
      </c>
      <c r="B3518" s="139" t="s">
        <v>5622</v>
      </c>
      <c r="C3518" s="139" t="s">
        <v>1683</v>
      </c>
      <c r="D3518" s="139" t="s">
        <v>8334</v>
      </c>
    </row>
    <row r="3519" spans="1:4" x14ac:dyDescent="0.25">
      <c r="A3519" s="139" t="s">
        <v>8335</v>
      </c>
      <c r="B3519" s="139" t="s">
        <v>4371</v>
      </c>
      <c r="C3519" s="139" t="s">
        <v>658</v>
      </c>
      <c r="D3519" s="139" t="s">
        <v>8336</v>
      </c>
    </row>
    <row r="3520" spans="1:4" x14ac:dyDescent="0.25">
      <c r="A3520" s="139" t="s">
        <v>8337</v>
      </c>
      <c r="B3520" s="139" t="s">
        <v>4366</v>
      </c>
      <c r="C3520" s="139" t="s">
        <v>658</v>
      </c>
      <c r="D3520" s="139" t="s">
        <v>8338</v>
      </c>
    </row>
    <row r="3521" spans="1:4" x14ac:dyDescent="0.25">
      <c r="A3521" s="139" t="s">
        <v>8339</v>
      </c>
      <c r="B3521" s="139" t="s">
        <v>4347</v>
      </c>
      <c r="C3521" s="139" t="s">
        <v>112</v>
      </c>
      <c r="D3521" s="139" t="s">
        <v>8340</v>
      </c>
    </row>
    <row r="3522" spans="1:4" x14ac:dyDescent="0.25">
      <c r="A3522" s="139" t="s">
        <v>8341</v>
      </c>
      <c r="B3522" s="139" t="s">
        <v>2880</v>
      </c>
      <c r="C3522" s="139" t="s">
        <v>112</v>
      </c>
      <c r="D3522" s="139" t="s">
        <v>8342</v>
      </c>
    </row>
    <row r="3523" spans="1:4" x14ac:dyDescent="0.25">
      <c r="A3523" s="139" t="s">
        <v>8343</v>
      </c>
      <c r="B3523" s="139" t="s">
        <v>4337</v>
      </c>
      <c r="C3523" s="139" t="s">
        <v>112</v>
      </c>
      <c r="D3523" s="139" t="s">
        <v>8344</v>
      </c>
    </row>
    <row r="3524" spans="1:4" x14ac:dyDescent="0.25">
      <c r="A3524" s="139" t="s">
        <v>8345</v>
      </c>
      <c r="B3524" s="139" t="s">
        <v>4327</v>
      </c>
      <c r="C3524" s="139" t="s">
        <v>112</v>
      </c>
      <c r="D3524" s="139" t="s">
        <v>8346</v>
      </c>
    </row>
    <row r="3525" spans="1:4" x14ac:dyDescent="0.25">
      <c r="A3525" s="139" t="s">
        <v>8347</v>
      </c>
      <c r="B3525" s="139" t="s">
        <v>6857</v>
      </c>
      <c r="C3525" s="139" t="s">
        <v>112</v>
      </c>
      <c r="D3525" s="139" t="s">
        <v>8348</v>
      </c>
    </row>
    <row r="3526" spans="1:4" x14ac:dyDescent="0.25">
      <c r="A3526" s="139" t="s">
        <v>8349</v>
      </c>
      <c r="B3526" s="139" t="s">
        <v>5807</v>
      </c>
      <c r="C3526" s="139" t="s">
        <v>65</v>
      </c>
      <c r="D3526" s="139" t="s">
        <v>8350</v>
      </c>
    </row>
    <row r="3527" spans="1:4" x14ac:dyDescent="0.25">
      <c r="A3527" s="139" t="s">
        <v>8351</v>
      </c>
      <c r="B3527" s="139" t="s">
        <v>534</v>
      </c>
      <c r="C3527" s="139" t="s">
        <v>65</v>
      </c>
      <c r="D3527" s="139" t="s">
        <v>8352</v>
      </c>
    </row>
    <row r="3528" spans="1:4" x14ac:dyDescent="0.25">
      <c r="A3528" s="139" t="s">
        <v>8353</v>
      </c>
      <c r="B3528" s="139" t="s">
        <v>8249</v>
      </c>
      <c r="C3528" s="139" t="s">
        <v>65</v>
      </c>
      <c r="D3528" s="139" t="s">
        <v>8354</v>
      </c>
    </row>
    <row r="3529" spans="1:4" x14ac:dyDescent="0.25">
      <c r="A3529" s="139" t="s">
        <v>8355</v>
      </c>
      <c r="B3529" s="139" t="s">
        <v>544</v>
      </c>
      <c r="C3529" s="139" t="s">
        <v>65</v>
      </c>
      <c r="D3529" s="139" t="s">
        <v>8356</v>
      </c>
    </row>
    <row r="3530" spans="1:4" x14ac:dyDescent="0.25">
      <c r="A3530" s="139" t="s">
        <v>8357</v>
      </c>
      <c r="B3530" s="139" t="s">
        <v>8254</v>
      </c>
      <c r="C3530" s="139" t="s">
        <v>65</v>
      </c>
      <c r="D3530" s="139" t="s">
        <v>8358</v>
      </c>
    </row>
    <row r="3531" spans="1:4" x14ac:dyDescent="0.25">
      <c r="A3531" s="139" t="s">
        <v>8359</v>
      </c>
      <c r="B3531" s="139" t="s">
        <v>2284</v>
      </c>
      <c r="C3531" s="139" t="s">
        <v>65</v>
      </c>
      <c r="D3531" s="139" t="s">
        <v>8360</v>
      </c>
    </row>
    <row r="3532" spans="1:4" x14ac:dyDescent="0.25">
      <c r="A3532" s="139" t="s">
        <v>8361</v>
      </c>
      <c r="B3532" s="139" t="s">
        <v>4054</v>
      </c>
      <c r="C3532" s="139" t="s">
        <v>127</v>
      </c>
      <c r="D3532" s="139" t="s">
        <v>8362</v>
      </c>
    </row>
    <row r="3533" spans="1:4" x14ac:dyDescent="0.25">
      <c r="A3533" s="139" t="s">
        <v>8363</v>
      </c>
      <c r="B3533" s="139" t="s">
        <v>8270</v>
      </c>
      <c r="C3533" s="139" t="s">
        <v>8271</v>
      </c>
      <c r="D3533" s="139" t="s">
        <v>8364</v>
      </c>
    </row>
    <row r="3534" spans="1:4" x14ac:dyDescent="0.25">
      <c r="A3534" s="139" t="s">
        <v>8365</v>
      </c>
      <c r="B3534" s="139" t="s">
        <v>332</v>
      </c>
      <c r="C3534" s="139" t="s">
        <v>33</v>
      </c>
      <c r="D3534" s="139" t="s">
        <v>8366</v>
      </c>
    </row>
    <row r="3535" spans="1:4" x14ac:dyDescent="0.25">
      <c r="A3535" s="139" t="s">
        <v>8367</v>
      </c>
      <c r="B3535" s="139" t="s">
        <v>6951</v>
      </c>
      <c r="C3535" s="139" t="s">
        <v>65</v>
      </c>
      <c r="D3535" s="139" t="s">
        <v>8368</v>
      </c>
    </row>
    <row r="3536" spans="1:4" x14ac:dyDescent="0.25">
      <c r="A3536" s="139" t="s">
        <v>8369</v>
      </c>
      <c r="B3536" s="139" t="s">
        <v>5927</v>
      </c>
      <c r="C3536" s="139" t="s">
        <v>65</v>
      </c>
      <c r="D3536" s="139" t="s">
        <v>8370</v>
      </c>
    </row>
    <row r="3537" spans="1:4" x14ac:dyDescent="0.25">
      <c r="A3537" s="139" t="s">
        <v>8371</v>
      </c>
      <c r="B3537" s="139" t="s">
        <v>38</v>
      </c>
      <c r="C3537" s="139" t="s">
        <v>65</v>
      </c>
      <c r="D3537" s="139" t="s">
        <v>8372</v>
      </c>
    </row>
    <row r="3538" spans="1:4" x14ac:dyDescent="0.25">
      <c r="A3538" s="139" t="s">
        <v>8373</v>
      </c>
      <c r="B3538" s="139" t="s">
        <v>4147</v>
      </c>
      <c r="C3538" s="139" t="s">
        <v>2895</v>
      </c>
      <c r="D3538" s="139" t="s">
        <v>8374</v>
      </c>
    </row>
    <row r="3539" spans="1:4" x14ac:dyDescent="0.25">
      <c r="A3539" s="139" t="s">
        <v>8375</v>
      </c>
      <c r="B3539" s="139" t="s">
        <v>6600</v>
      </c>
      <c r="C3539" s="139" t="s">
        <v>112</v>
      </c>
      <c r="D3539" s="139" t="s">
        <v>8376</v>
      </c>
    </row>
    <row r="3540" spans="1:4" x14ac:dyDescent="0.25">
      <c r="A3540" s="139" t="s">
        <v>8377</v>
      </c>
      <c r="B3540" s="139" t="s">
        <v>4332</v>
      </c>
      <c r="C3540" s="139" t="s">
        <v>112</v>
      </c>
      <c r="D3540" s="139" t="s">
        <v>8378</v>
      </c>
    </row>
    <row r="3541" spans="1:4" x14ac:dyDescent="0.25">
      <c r="A3541" s="139" t="s">
        <v>8379</v>
      </c>
      <c r="B3541" s="139" t="s">
        <v>8380</v>
      </c>
      <c r="C3541" s="139" t="s">
        <v>65</v>
      </c>
      <c r="D3541" s="139" t="s">
        <v>8381</v>
      </c>
    </row>
    <row r="3542" spans="1:4" x14ac:dyDescent="0.25">
      <c r="A3542" s="139" t="s">
        <v>8382</v>
      </c>
      <c r="B3542" s="139" t="s">
        <v>8380</v>
      </c>
      <c r="C3542" s="139" t="s">
        <v>65</v>
      </c>
      <c r="D3542" s="139" t="s">
        <v>8383</v>
      </c>
    </row>
    <row r="3543" spans="1:4" x14ac:dyDescent="0.25">
      <c r="A3543" s="139" t="s">
        <v>8384</v>
      </c>
      <c r="B3543" s="139" t="s">
        <v>4147</v>
      </c>
      <c r="C3543" s="139" t="s">
        <v>2895</v>
      </c>
      <c r="D3543" s="139" t="s">
        <v>8385</v>
      </c>
    </row>
    <row r="3544" spans="1:4" x14ac:dyDescent="0.25">
      <c r="A3544" s="139" t="s">
        <v>8386</v>
      </c>
      <c r="B3544" s="139" t="s">
        <v>4147</v>
      </c>
      <c r="C3544" s="139" t="s">
        <v>2895</v>
      </c>
      <c r="D3544" s="139" t="s">
        <v>8387</v>
      </c>
    </row>
    <row r="3545" spans="1:4" x14ac:dyDescent="0.25">
      <c r="A3545" s="139" t="s">
        <v>8388</v>
      </c>
      <c r="B3545" s="139" t="s">
        <v>8389</v>
      </c>
      <c r="C3545" s="139" t="s">
        <v>33</v>
      </c>
      <c r="D3545" s="139" t="s">
        <v>8390</v>
      </c>
    </row>
    <row r="3546" spans="1:4" x14ac:dyDescent="0.25">
      <c r="A3546" s="139" t="s">
        <v>8391</v>
      </c>
      <c r="B3546" s="139" t="s">
        <v>8389</v>
      </c>
      <c r="C3546" s="139" t="s">
        <v>33</v>
      </c>
      <c r="D3546" s="139" t="s">
        <v>8392</v>
      </c>
    </row>
    <row r="3547" spans="1:4" x14ac:dyDescent="0.25">
      <c r="A3547" s="139" t="s">
        <v>8393</v>
      </c>
      <c r="B3547" s="139" t="s">
        <v>8394</v>
      </c>
      <c r="C3547" s="139" t="s">
        <v>33</v>
      </c>
      <c r="D3547" s="139" t="s">
        <v>8395</v>
      </c>
    </row>
    <row r="3548" spans="1:4" x14ac:dyDescent="0.25">
      <c r="A3548" s="139" t="s">
        <v>8396</v>
      </c>
      <c r="B3548" s="139" t="s">
        <v>8394</v>
      </c>
      <c r="C3548" s="139" t="s">
        <v>33</v>
      </c>
      <c r="D3548" s="139" t="s">
        <v>8397</v>
      </c>
    </row>
    <row r="3549" spans="1:4" x14ac:dyDescent="0.25">
      <c r="A3549" s="139" t="s">
        <v>8398</v>
      </c>
      <c r="B3549" s="139" t="s">
        <v>8399</v>
      </c>
      <c r="C3549" s="139" t="s">
        <v>33</v>
      </c>
      <c r="D3549" s="139" t="s">
        <v>8400</v>
      </c>
    </row>
    <row r="3550" spans="1:4" x14ac:dyDescent="0.25">
      <c r="A3550" s="139" t="s">
        <v>8401</v>
      </c>
      <c r="B3550" s="139" t="s">
        <v>8399</v>
      </c>
      <c r="C3550" s="139" t="s">
        <v>33</v>
      </c>
      <c r="D3550" s="139" t="s">
        <v>8402</v>
      </c>
    </row>
    <row r="3551" spans="1:4" x14ac:dyDescent="0.25">
      <c r="A3551" s="139" t="s">
        <v>8403</v>
      </c>
      <c r="B3551" s="139" t="s">
        <v>8404</v>
      </c>
      <c r="C3551" s="139" t="s">
        <v>33</v>
      </c>
      <c r="D3551" s="139" t="s">
        <v>8405</v>
      </c>
    </row>
    <row r="3552" spans="1:4" x14ac:dyDescent="0.25">
      <c r="A3552" s="139" t="s">
        <v>8406</v>
      </c>
      <c r="B3552" s="139" t="s">
        <v>8404</v>
      </c>
      <c r="C3552" s="139" t="s">
        <v>33</v>
      </c>
      <c r="D3552" s="139" t="s">
        <v>8407</v>
      </c>
    </row>
    <row r="3553" spans="1:4" x14ac:dyDescent="0.25">
      <c r="A3553" s="139" t="s">
        <v>8408</v>
      </c>
      <c r="B3553" s="139" t="s">
        <v>8409</v>
      </c>
      <c r="C3553" s="139" t="s">
        <v>33</v>
      </c>
      <c r="D3553" s="139" t="s">
        <v>8410</v>
      </c>
    </row>
    <row r="3554" spans="1:4" x14ac:dyDescent="0.25">
      <c r="A3554" s="139" t="s">
        <v>8411</v>
      </c>
      <c r="B3554" s="139" t="s">
        <v>8409</v>
      </c>
      <c r="C3554" s="139" t="s">
        <v>33</v>
      </c>
      <c r="D3554" s="139" t="s">
        <v>8412</v>
      </c>
    </row>
    <row r="3555" spans="1:4" x14ac:dyDescent="0.25">
      <c r="A3555" s="139" t="s">
        <v>8413</v>
      </c>
      <c r="B3555" s="139" t="s">
        <v>8414</v>
      </c>
      <c r="C3555" s="139" t="s">
        <v>33</v>
      </c>
      <c r="D3555" s="139" t="s">
        <v>8415</v>
      </c>
    </row>
    <row r="3556" spans="1:4" x14ac:dyDescent="0.25">
      <c r="A3556" s="139" t="s">
        <v>8416</v>
      </c>
      <c r="B3556" s="139" t="s">
        <v>8414</v>
      </c>
      <c r="C3556" s="139" t="s">
        <v>33</v>
      </c>
      <c r="D3556" s="139" t="s">
        <v>8417</v>
      </c>
    </row>
    <row r="3557" spans="1:4" x14ac:dyDescent="0.25">
      <c r="A3557" s="139" t="s">
        <v>8418</v>
      </c>
      <c r="B3557" s="139" t="s">
        <v>8419</v>
      </c>
      <c r="C3557" s="139" t="s">
        <v>33</v>
      </c>
      <c r="D3557" s="139" t="s">
        <v>8420</v>
      </c>
    </row>
    <row r="3558" spans="1:4" x14ac:dyDescent="0.25">
      <c r="A3558" s="139" t="s">
        <v>8421</v>
      </c>
      <c r="B3558" s="139" t="s">
        <v>8419</v>
      </c>
      <c r="C3558" s="139" t="s">
        <v>33</v>
      </c>
      <c r="D3558" s="139" t="s">
        <v>8422</v>
      </c>
    </row>
    <row r="3559" spans="1:4" x14ac:dyDescent="0.25">
      <c r="A3559" s="139" t="s">
        <v>8423</v>
      </c>
      <c r="B3559" s="139" t="s">
        <v>8424</v>
      </c>
      <c r="C3559" s="139" t="s">
        <v>33</v>
      </c>
      <c r="D3559" s="139" t="s">
        <v>8425</v>
      </c>
    </row>
    <row r="3560" spans="1:4" x14ac:dyDescent="0.25">
      <c r="A3560" s="139" t="s">
        <v>8426</v>
      </c>
      <c r="B3560" s="139" t="s">
        <v>8424</v>
      </c>
      <c r="C3560" s="139" t="s">
        <v>33</v>
      </c>
      <c r="D3560" s="139" t="s">
        <v>8427</v>
      </c>
    </row>
    <row r="3561" spans="1:4" x14ac:dyDescent="0.25">
      <c r="A3561" s="139" t="s">
        <v>8428</v>
      </c>
      <c r="B3561" s="139" t="s">
        <v>70</v>
      </c>
      <c r="C3561" s="139" t="s">
        <v>33</v>
      </c>
      <c r="D3561" s="139" t="s">
        <v>8429</v>
      </c>
    </row>
    <row r="3562" spans="1:4" x14ac:dyDescent="0.25">
      <c r="A3562" s="139" t="s">
        <v>8430</v>
      </c>
      <c r="B3562" s="139" t="s">
        <v>70</v>
      </c>
      <c r="C3562" s="139" t="s">
        <v>33</v>
      </c>
      <c r="D3562" s="139" t="s">
        <v>8431</v>
      </c>
    </row>
    <row r="3563" spans="1:4" x14ac:dyDescent="0.25">
      <c r="A3563" s="139" t="s">
        <v>8432</v>
      </c>
      <c r="B3563" s="139" t="s">
        <v>2945</v>
      </c>
      <c r="C3563" s="139" t="s">
        <v>33</v>
      </c>
      <c r="D3563" s="139" t="s">
        <v>8433</v>
      </c>
    </row>
    <row r="3564" spans="1:4" x14ac:dyDescent="0.25">
      <c r="A3564" s="139" t="s">
        <v>8434</v>
      </c>
      <c r="B3564" s="139" t="s">
        <v>2945</v>
      </c>
      <c r="C3564" s="139" t="s">
        <v>33</v>
      </c>
      <c r="D3564" s="139" t="s">
        <v>8435</v>
      </c>
    </row>
    <row r="3565" spans="1:4" x14ac:dyDescent="0.25">
      <c r="A3565" s="139" t="s">
        <v>8436</v>
      </c>
      <c r="B3565" s="139" t="s">
        <v>8437</v>
      </c>
      <c r="C3565" s="139" t="s">
        <v>65</v>
      </c>
      <c r="D3565" s="139" t="s">
        <v>8438</v>
      </c>
    </row>
    <row r="3566" spans="1:4" x14ac:dyDescent="0.25">
      <c r="A3566" s="139" t="s">
        <v>8439</v>
      </c>
      <c r="B3566" s="139" t="s">
        <v>8437</v>
      </c>
      <c r="C3566" s="139" t="s">
        <v>65</v>
      </c>
      <c r="D3566" s="139" t="s">
        <v>8440</v>
      </c>
    </row>
    <row r="3567" spans="1:4" x14ac:dyDescent="0.25">
      <c r="A3567" s="139" t="s">
        <v>8441</v>
      </c>
      <c r="B3567" s="139" t="s">
        <v>8442</v>
      </c>
      <c r="C3567" s="139" t="s">
        <v>65</v>
      </c>
      <c r="D3567" s="139" t="s">
        <v>8443</v>
      </c>
    </row>
    <row r="3568" spans="1:4" x14ac:dyDescent="0.25">
      <c r="A3568" s="139" t="s">
        <v>8444</v>
      </c>
      <c r="B3568" s="139" t="s">
        <v>8442</v>
      </c>
      <c r="C3568" s="139" t="s">
        <v>65</v>
      </c>
      <c r="D3568" s="139" t="s">
        <v>8445</v>
      </c>
    </row>
    <row r="3569" spans="1:4" x14ac:dyDescent="0.25">
      <c r="A3569" s="139" t="s">
        <v>8446</v>
      </c>
      <c r="B3569" s="139" t="s">
        <v>2950</v>
      </c>
      <c r="C3569" s="139" t="s">
        <v>65</v>
      </c>
      <c r="D3569" s="139" t="s">
        <v>8447</v>
      </c>
    </row>
    <row r="3570" spans="1:4" x14ac:dyDescent="0.25">
      <c r="A3570" s="139" t="s">
        <v>8448</v>
      </c>
      <c r="B3570" s="139" t="s">
        <v>2950</v>
      </c>
      <c r="C3570" s="139" t="s">
        <v>65</v>
      </c>
      <c r="D3570" s="139" t="s">
        <v>8449</v>
      </c>
    </row>
    <row r="3571" spans="1:4" x14ac:dyDescent="0.25">
      <c r="A3571" s="139" t="s">
        <v>8450</v>
      </c>
      <c r="B3571" s="139" t="s">
        <v>8419</v>
      </c>
      <c r="C3571" s="139" t="s">
        <v>33</v>
      </c>
      <c r="D3571" s="139" t="s">
        <v>8451</v>
      </c>
    </row>
    <row r="3572" spans="1:4" x14ac:dyDescent="0.25">
      <c r="A3572" s="139" t="s">
        <v>8450</v>
      </c>
      <c r="B3572" s="139" t="s">
        <v>8419</v>
      </c>
      <c r="C3572" s="139" t="s">
        <v>33</v>
      </c>
      <c r="D3572" s="139" t="s">
        <v>8452</v>
      </c>
    </row>
    <row r="3573" spans="1:4" x14ac:dyDescent="0.25">
      <c r="A3573" s="139" t="s">
        <v>8453</v>
      </c>
      <c r="B3573" s="139" t="s">
        <v>8270</v>
      </c>
      <c r="C3573" s="139" t="s">
        <v>8271</v>
      </c>
      <c r="D3573" s="139" t="s">
        <v>8454</v>
      </c>
    </row>
    <row r="3574" spans="1:4" x14ac:dyDescent="0.25">
      <c r="A3574" s="139" t="s">
        <v>8455</v>
      </c>
      <c r="B3574" s="139" t="s">
        <v>8270</v>
      </c>
      <c r="C3574" s="139" t="s">
        <v>8271</v>
      </c>
      <c r="D3574" s="139" t="s">
        <v>8456</v>
      </c>
    </row>
    <row r="3575" spans="1:4" x14ac:dyDescent="0.25">
      <c r="A3575" s="139" t="s">
        <v>8457</v>
      </c>
      <c r="B3575" s="139" t="s">
        <v>2955</v>
      </c>
      <c r="C3575" s="139" t="s">
        <v>65</v>
      </c>
      <c r="D3575" s="139" t="s">
        <v>8458</v>
      </c>
    </row>
    <row r="3576" spans="1:4" x14ac:dyDescent="0.25">
      <c r="A3576" s="139" t="s">
        <v>8459</v>
      </c>
      <c r="B3576" s="139" t="s">
        <v>2955</v>
      </c>
      <c r="C3576" s="139" t="s">
        <v>65</v>
      </c>
      <c r="D3576" s="139" t="s">
        <v>8460</v>
      </c>
    </row>
    <row r="3577" spans="1:4" x14ac:dyDescent="0.25">
      <c r="A3577" s="139" t="s">
        <v>8461</v>
      </c>
      <c r="B3577" s="139" t="s">
        <v>8462</v>
      </c>
      <c r="C3577" s="139" t="s">
        <v>65</v>
      </c>
      <c r="D3577" s="139" t="s">
        <v>8463</v>
      </c>
    </row>
    <row r="3578" spans="1:4" x14ac:dyDescent="0.25">
      <c r="A3578" s="139" t="s">
        <v>8464</v>
      </c>
      <c r="B3578" s="139" t="s">
        <v>8462</v>
      </c>
      <c r="C3578" s="139" t="s">
        <v>65</v>
      </c>
      <c r="D3578" s="139" t="s">
        <v>8465</v>
      </c>
    </row>
    <row r="3579" spans="1:4" x14ac:dyDescent="0.25">
      <c r="A3579" s="139" t="s">
        <v>8466</v>
      </c>
      <c r="B3579" s="139" t="s">
        <v>8467</v>
      </c>
      <c r="C3579" s="139" t="s">
        <v>65</v>
      </c>
      <c r="D3579" s="139" t="s">
        <v>8468</v>
      </c>
    </row>
    <row r="3580" spans="1:4" x14ac:dyDescent="0.25">
      <c r="A3580" s="139" t="s">
        <v>8469</v>
      </c>
      <c r="B3580" s="139" t="s">
        <v>8467</v>
      </c>
      <c r="C3580" s="139" t="s">
        <v>65</v>
      </c>
      <c r="D3580" s="139" t="s">
        <v>8470</v>
      </c>
    </row>
    <row r="3581" spans="1:4" x14ac:dyDescent="0.25">
      <c r="A3581" s="139" t="s">
        <v>8471</v>
      </c>
      <c r="B3581" s="139" t="s">
        <v>8472</v>
      </c>
      <c r="C3581" s="139" t="s">
        <v>65</v>
      </c>
      <c r="D3581" s="139" t="s">
        <v>8473</v>
      </c>
    </row>
    <row r="3582" spans="1:4" x14ac:dyDescent="0.25">
      <c r="A3582" s="139" t="s">
        <v>8474</v>
      </c>
      <c r="B3582" s="139" t="s">
        <v>8472</v>
      </c>
      <c r="C3582" s="139" t="s">
        <v>65</v>
      </c>
      <c r="D3582" s="139" t="s">
        <v>8475</v>
      </c>
    </row>
    <row r="3583" spans="1:4" x14ac:dyDescent="0.25">
      <c r="A3583" s="139" t="s">
        <v>8476</v>
      </c>
      <c r="B3583" s="139" t="s">
        <v>8477</v>
      </c>
      <c r="C3583" s="139" t="s">
        <v>65</v>
      </c>
      <c r="D3583" s="139" t="s">
        <v>8478</v>
      </c>
    </row>
    <row r="3584" spans="1:4" x14ac:dyDescent="0.25">
      <c r="A3584" s="139" t="s">
        <v>8479</v>
      </c>
      <c r="B3584" s="139" t="s">
        <v>8477</v>
      </c>
      <c r="C3584" s="139" t="s">
        <v>65</v>
      </c>
      <c r="D3584" s="139" t="s">
        <v>8480</v>
      </c>
    </row>
    <row r="3585" spans="1:4" x14ac:dyDescent="0.25">
      <c r="A3585" s="139" t="s">
        <v>8481</v>
      </c>
      <c r="B3585" s="139" t="s">
        <v>8482</v>
      </c>
      <c r="C3585" s="139" t="s">
        <v>65</v>
      </c>
      <c r="D3585" s="139" t="s">
        <v>8483</v>
      </c>
    </row>
    <row r="3586" spans="1:4" x14ac:dyDescent="0.25">
      <c r="A3586" s="139" t="s">
        <v>8484</v>
      </c>
      <c r="B3586" s="139" t="s">
        <v>8482</v>
      </c>
      <c r="C3586" s="139" t="s">
        <v>65</v>
      </c>
      <c r="D3586" s="139" t="s">
        <v>8485</v>
      </c>
    </row>
    <row r="3587" spans="1:4" x14ac:dyDescent="0.25">
      <c r="A3587" s="139" t="s">
        <v>8486</v>
      </c>
      <c r="B3587" s="139" t="s">
        <v>8487</v>
      </c>
      <c r="C3587" s="139" t="s">
        <v>65</v>
      </c>
      <c r="D3587" s="139" t="s">
        <v>8488</v>
      </c>
    </row>
    <row r="3588" spans="1:4" x14ac:dyDescent="0.25">
      <c r="A3588" s="139" t="s">
        <v>8489</v>
      </c>
      <c r="B3588" s="139" t="s">
        <v>8487</v>
      </c>
      <c r="C3588" s="139" t="s">
        <v>65</v>
      </c>
      <c r="D3588" s="139" t="s">
        <v>8490</v>
      </c>
    </row>
    <row r="3589" spans="1:4" x14ac:dyDescent="0.25">
      <c r="A3589" s="139" t="s">
        <v>8491</v>
      </c>
      <c r="B3589" s="139" t="s">
        <v>4054</v>
      </c>
      <c r="C3589" s="139" t="s">
        <v>127</v>
      </c>
      <c r="D3589" s="139" t="s">
        <v>8492</v>
      </c>
    </row>
    <row r="3590" spans="1:4" x14ac:dyDescent="0.25">
      <c r="A3590" s="139" t="s">
        <v>8493</v>
      </c>
      <c r="B3590" s="139" t="s">
        <v>4054</v>
      </c>
      <c r="C3590" s="139" t="s">
        <v>127</v>
      </c>
      <c r="D3590" s="139" t="s">
        <v>8494</v>
      </c>
    </row>
    <row r="3591" spans="1:4" x14ac:dyDescent="0.25">
      <c r="A3591" s="139" t="s">
        <v>8495</v>
      </c>
      <c r="B3591" s="139" t="s">
        <v>8496</v>
      </c>
      <c r="C3591" s="139" t="s">
        <v>65</v>
      </c>
      <c r="D3591" s="139" t="s">
        <v>8497</v>
      </c>
    </row>
    <row r="3592" spans="1:4" x14ac:dyDescent="0.25">
      <c r="A3592" s="139" t="s">
        <v>8498</v>
      </c>
      <c r="B3592" s="139" t="s">
        <v>8496</v>
      </c>
      <c r="C3592" s="139" t="s">
        <v>65</v>
      </c>
      <c r="D3592" s="139" t="s">
        <v>8499</v>
      </c>
    </row>
    <row r="3593" spans="1:4" x14ac:dyDescent="0.25">
      <c r="A3593" s="139" t="s">
        <v>8500</v>
      </c>
      <c r="B3593" s="139" t="s">
        <v>8501</v>
      </c>
      <c r="C3593" s="139" t="s">
        <v>65</v>
      </c>
      <c r="D3593" s="139" t="s">
        <v>8502</v>
      </c>
    </row>
    <row r="3594" spans="1:4" x14ac:dyDescent="0.25">
      <c r="A3594" s="139" t="s">
        <v>8503</v>
      </c>
      <c r="B3594" s="139" t="s">
        <v>8501</v>
      </c>
      <c r="C3594" s="139" t="s">
        <v>65</v>
      </c>
      <c r="D3594" s="139" t="s">
        <v>8504</v>
      </c>
    </row>
    <row r="3595" spans="1:4" x14ac:dyDescent="0.25">
      <c r="A3595" s="139" t="s">
        <v>8505</v>
      </c>
      <c r="B3595" s="139" t="s">
        <v>8506</v>
      </c>
      <c r="C3595" s="139" t="s">
        <v>65</v>
      </c>
      <c r="D3595" s="139" t="s">
        <v>8507</v>
      </c>
    </row>
    <row r="3596" spans="1:4" x14ac:dyDescent="0.25">
      <c r="A3596" s="139" t="s">
        <v>8508</v>
      </c>
      <c r="B3596" s="139" t="s">
        <v>8506</v>
      </c>
      <c r="C3596" s="139" t="s">
        <v>65</v>
      </c>
      <c r="D3596" s="139" t="s">
        <v>8509</v>
      </c>
    </row>
    <row r="3597" spans="1:4" x14ac:dyDescent="0.25">
      <c r="A3597" s="139" t="s">
        <v>8510</v>
      </c>
      <c r="B3597" s="139" t="s">
        <v>8511</v>
      </c>
      <c r="C3597" s="139" t="s">
        <v>33</v>
      </c>
      <c r="D3597" s="139" t="s">
        <v>8512</v>
      </c>
    </row>
    <row r="3598" spans="1:4" x14ac:dyDescent="0.25">
      <c r="A3598" s="139" t="s">
        <v>8513</v>
      </c>
      <c r="B3598" s="139" t="s">
        <v>8511</v>
      </c>
      <c r="C3598" s="139" t="s">
        <v>33</v>
      </c>
      <c r="D3598" s="139" t="s">
        <v>8514</v>
      </c>
    </row>
    <row r="3599" spans="1:4" x14ac:dyDescent="0.25">
      <c r="A3599" s="139" t="s">
        <v>8515</v>
      </c>
      <c r="B3599" s="139" t="s">
        <v>8516</v>
      </c>
      <c r="C3599" s="139" t="s">
        <v>33</v>
      </c>
      <c r="D3599" s="139" t="s">
        <v>8517</v>
      </c>
    </row>
    <row r="3600" spans="1:4" x14ac:dyDescent="0.25">
      <c r="A3600" s="139" t="s">
        <v>8518</v>
      </c>
      <c r="B3600" s="139" t="s">
        <v>8516</v>
      </c>
      <c r="C3600" s="139" t="s">
        <v>33</v>
      </c>
      <c r="D3600" s="139" t="s">
        <v>8519</v>
      </c>
    </row>
    <row r="3601" spans="1:4" x14ac:dyDescent="0.25">
      <c r="A3601" s="139" t="s">
        <v>8520</v>
      </c>
      <c r="B3601" s="139" t="s">
        <v>8521</v>
      </c>
      <c r="C3601" s="139" t="s">
        <v>33</v>
      </c>
      <c r="D3601" s="139" t="s">
        <v>8522</v>
      </c>
    </row>
    <row r="3602" spans="1:4" x14ac:dyDescent="0.25">
      <c r="A3602" s="139" t="s">
        <v>8523</v>
      </c>
      <c r="B3602" s="139" t="s">
        <v>8521</v>
      </c>
      <c r="C3602" s="139" t="s">
        <v>33</v>
      </c>
      <c r="D3602" s="139" t="s">
        <v>8524</v>
      </c>
    </row>
    <row r="3603" spans="1:4" x14ac:dyDescent="0.25">
      <c r="A3603" s="139" t="s">
        <v>8525</v>
      </c>
      <c r="B3603" s="139" t="s">
        <v>8526</v>
      </c>
      <c r="C3603" s="139" t="s">
        <v>33</v>
      </c>
      <c r="D3603" s="139" t="s">
        <v>8527</v>
      </c>
    </row>
    <row r="3604" spans="1:4" x14ac:dyDescent="0.25">
      <c r="A3604" s="139" t="s">
        <v>8528</v>
      </c>
      <c r="B3604" s="139" t="s">
        <v>8526</v>
      </c>
      <c r="C3604" s="139" t="s">
        <v>33</v>
      </c>
      <c r="D3604" s="139" t="s">
        <v>8529</v>
      </c>
    </row>
    <row r="3605" spans="1:4" x14ac:dyDescent="0.25">
      <c r="A3605" s="139" t="s">
        <v>8530</v>
      </c>
      <c r="B3605" s="139" t="s">
        <v>8531</v>
      </c>
      <c r="C3605" s="139" t="s">
        <v>33</v>
      </c>
      <c r="D3605" s="139" t="s">
        <v>8532</v>
      </c>
    </row>
    <row r="3606" spans="1:4" x14ac:dyDescent="0.25">
      <c r="A3606" s="139" t="s">
        <v>8533</v>
      </c>
      <c r="B3606" s="139" t="s">
        <v>8531</v>
      </c>
      <c r="C3606" s="139" t="s">
        <v>33</v>
      </c>
      <c r="D3606" s="139" t="s">
        <v>8534</v>
      </c>
    </row>
    <row r="3607" spans="1:4" x14ac:dyDescent="0.25">
      <c r="A3607" s="139" t="s">
        <v>8535</v>
      </c>
      <c r="B3607" s="139" t="s">
        <v>8536</v>
      </c>
      <c r="C3607" s="139" t="s">
        <v>33</v>
      </c>
      <c r="D3607" s="139" t="s">
        <v>8537</v>
      </c>
    </row>
    <row r="3608" spans="1:4" x14ac:dyDescent="0.25">
      <c r="A3608" s="139" t="s">
        <v>8538</v>
      </c>
      <c r="B3608" s="139" t="s">
        <v>8536</v>
      </c>
      <c r="C3608" s="139" t="s">
        <v>33</v>
      </c>
      <c r="D3608" s="139" t="s">
        <v>8539</v>
      </c>
    </row>
    <row r="3609" spans="1:4" x14ac:dyDescent="0.25">
      <c r="A3609" s="139" t="s">
        <v>8540</v>
      </c>
      <c r="B3609" s="139" t="s">
        <v>8541</v>
      </c>
      <c r="C3609" s="139" t="s">
        <v>33</v>
      </c>
      <c r="D3609" s="139" t="s">
        <v>8542</v>
      </c>
    </row>
    <row r="3610" spans="1:4" x14ac:dyDescent="0.25">
      <c r="A3610" s="139" t="s">
        <v>8543</v>
      </c>
      <c r="B3610" s="139" t="s">
        <v>8541</v>
      </c>
      <c r="C3610" s="139" t="s">
        <v>33</v>
      </c>
      <c r="D3610" s="139" t="s">
        <v>8544</v>
      </c>
    </row>
    <row r="3611" spans="1:4" x14ac:dyDescent="0.25">
      <c r="A3611" s="139" t="s">
        <v>8545</v>
      </c>
      <c r="B3611" s="139" t="s">
        <v>8546</v>
      </c>
      <c r="C3611" s="139" t="s">
        <v>112</v>
      </c>
      <c r="D3611" s="139" t="s">
        <v>8547</v>
      </c>
    </row>
    <row r="3612" spans="1:4" x14ac:dyDescent="0.25">
      <c r="A3612" s="139" t="s">
        <v>8548</v>
      </c>
      <c r="B3612" s="139" t="s">
        <v>8546</v>
      </c>
      <c r="C3612" s="139" t="s">
        <v>112</v>
      </c>
      <c r="D3612" s="139" t="s">
        <v>8549</v>
      </c>
    </row>
    <row r="3613" spans="1:4" x14ac:dyDescent="0.25">
      <c r="A3613" s="139" t="s">
        <v>8550</v>
      </c>
      <c r="B3613" s="139" t="s">
        <v>8551</v>
      </c>
      <c r="C3613" s="139" t="s">
        <v>112</v>
      </c>
      <c r="D3613" s="139" t="s">
        <v>8552</v>
      </c>
    </row>
    <row r="3614" spans="1:4" x14ac:dyDescent="0.25">
      <c r="A3614" s="139" t="s">
        <v>8553</v>
      </c>
      <c r="B3614" s="139" t="s">
        <v>8551</v>
      </c>
      <c r="C3614" s="139" t="s">
        <v>112</v>
      </c>
      <c r="D3614" s="139" t="s">
        <v>8554</v>
      </c>
    </row>
    <row r="3615" spans="1:4" x14ac:dyDescent="0.25">
      <c r="A3615" s="139" t="s">
        <v>8555</v>
      </c>
      <c r="B3615" s="139" t="s">
        <v>8556</v>
      </c>
      <c r="C3615" s="139" t="s">
        <v>123</v>
      </c>
      <c r="D3615" s="139" t="s">
        <v>8557</v>
      </c>
    </row>
    <row r="3616" spans="1:4" x14ac:dyDescent="0.25">
      <c r="A3616" s="139" t="s">
        <v>8558</v>
      </c>
      <c r="B3616" s="139" t="s">
        <v>8556</v>
      </c>
      <c r="C3616" s="139" t="s">
        <v>123</v>
      </c>
      <c r="D3616" s="139" t="s">
        <v>8559</v>
      </c>
    </row>
    <row r="3617" spans="1:4" x14ac:dyDescent="0.25">
      <c r="A3617" s="139" t="s">
        <v>8560</v>
      </c>
      <c r="B3617" s="139" t="s">
        <v>8561</v>
      </c>
      <c r="C3617" s="139" t="s">
        <v>123</v>
      </c>
      <c r="D3617" s="139" t="s">
        <v>8562</v>
      </c>
    </row>
    <row r="3618" spans="1:4" x14ac:dyDescent="0.25">
      <c r="A3618" s="139" t="s">
        <v>8563</v>
      </c>
      <c r="B3618" s="139" t="s">
        <v>8561</v>
      </c>
      <c r="C3618" s="139" t="s">
        <v>123</v>
      </c>
      <c r="D3618" s="139" t="s">
        <v>8564</v>
      </c>
    </row>
    <row r="3619" spans="1:4" x14ac:dyDescent="0.25">
      <c r="A3619" s="139" t="s">
        <v>8565</v>
      </c>
      <c r="B3619" s="139" t="s">
        <v>8566</v>
      </c>
      <c r="C3619" s="139" t="s">
        <v>123</v>
      </c>
      <c r="D3619" s="139" t="s">
        <v>8567</v>
      </c>
    </row>
    <row r="3620" spans="1:4" x14ac:dyDescent="0.25">
      <c r="A3620" s="139" t="s">
        <v>8568</v>
      </c>
      <c r="B3620" s="139" t="s">
        <v>8566</v>
      </c>
      <c r="C3620" s="139" t="s">
        <v>123</v>
      </c>
      <c r="D3620" s="139" t="s">
        <v>8569</v>
      </c>
    </row>
    <row r="3621" spans="1:4" x14ac:dyDescent="0.25">
      <c r="A3621" s="139" t="s">
        <v>8570</v>
      </c>
      <c r="B3621" s="139" t="s">
        <v>8571</v>
      </c>
      <c r="C3621" s="139" t="s">
        <v>123</v>
      </c>
      <c r="D3621" s="139" t="s">
        <v>8572</v>
      </c>
    </row>
    <row r="3622" spans="1:4" x14ac:dyDescent="0.25">
      <c r="A3622" s="139" t="s">
        <v>8573</v>
      </c>
      <c r="B3622" s="139" t="s">
        <v>8571</v>
      </c>
      <c r="C3622" s="139" t="s">
        <v>123</v>
      </c>
      <c r="D3622" s="139" t="s">
        <v>8574</v>
      </c>
    </row>
    <row r="3623" spans="1:4" x14ac:dyDescent="0.25">
      <c r="A3623" s="139" t="s">
        <v>8575</v>
      </c>
      <c r="B3623" s="139" t="s">
        <v>8576</v>
      </c>
      <c r="C3623" s="139" t="s">
        <v>123</v>
      </c>
      <c r="D3623" s="139" t="s">
        <v>8577</v>
      </c>
    </row>
    <row r="3624" spans="1:4" x14ac:dyDescent="0.25">
      <c r="A3624" s="139" t="s">
        <v>8578</v>
      </c>
      <c r="B3624" s="139" t="s">
        <v>8576</v>
      </c>
      <c r="C3624" s="139" t="s">
        <v>123</v>
      </c>
      <c r="D3624" s="139" t="s">
        <v>8579</v>
      </c>
    </row>
    <row r="3625" spans="1:4" x14ac:dyDescent="0.25">
      <c r="A3625" s="139" t="s">
        <v>8580</v>
      </c>
      <c r="B3625" s="139" t="s">
        <v>8581</v>
      </c>
      <c r="C3625" s="139" t="s">
        <v>33</v>
      </c>
      <c r="D3625" s="139" t="s">
        <v>8582</v>
      </c>
    </row>
    <row r="3626" spans="1:4" x14ac:dyDescent="0.25">
      <c r="A3626" s="139" t="s">
        <v>8583</v>
      </c>
      <c r="B3626" s="139" t="s">
        <v>8581</v>
      </c>
      <c r="C3626" s="139" t="s">
        <v>33</v>
      </c>
      <c r="D3626" s="139" t="s">
        <v>8584</v>
      </c>
    </row>
    <row r="3627" spans="1:4" x14ac:dyDescent="0.25">
      <c r="A3627" s="139" t="s">
        <v>8585</v>
      </c>
      <c r="B3627" s="139" t="s">
        <v>8586</v>
      </c>
      <c r="C3627" s="139" t="s">
        <v>33</v>
      </c>
      <c r="D3627" s="139" t="s">
        <v>8587</v>
      </c>
    </row>
    <row r="3628" spans="1:4" x14ac:dyDescent="0.25">
      <c r="A3628" s="139" t="s">
        <v>8588</v>
      </c>
      <c r="B3628" s="139" t="s">
        <v>8586</v>
      </c>
      <c r="C3628" s="139" t="s">
        <v>33</v>
      </c>
      <c r="D3628" s="139" t="s">
        <v>8589</v>
      </c>
    </row>
    <row r="3629" spans="1:4" x14ac:dyDescent="0.25">
      <c r="A3629" s="139" t="s">
        <v>8590</v>
      </c>
      <c r="B3629" s="139" t="s">
        <v>8591</v>
      </c>
      <c r="C3629" s="139" t="s">
        <v>33</v>
      </c>
      <c r="D3629" s="139" t="s">
        <v>8592</v>
      </c>
    </row>
    <row r="3630" spans="1:4" x14ac:dyDescent="0.25">
      <c r="A3630" s="139" t="s">
        <v>8593</v>
      </c>
      <c r="B3630" s="139" t="s">
        <v>8591</v>
      </c>
      <c r="C3630" s="139" t="s">
        <v>33</v>
      </c>
      <c r="D3630" s="139" t="s">
        <v>8594</v>
      </c>
    </row>
    <row r="3631" spans="1:4" x14ac:dyDescent="0.25">
      <c r="A3631" s="139" t="s">
        <v>8595</v>
      </c>
      <c r="B3631" s="139" t="s">
        <v>8596</v>
      </c>
      <c r="C3631" s="139" t="s">
        <v>33</v>
      </c>
      <c r="D3631" s="139" t="s">
        <v>8597</v>
      </c>
    </row>
    <row r="3632" spans="1:4" x14ac:dyDescent="0.25">
      <c r="A3632" s="139" t="s">
        <v>8598</v>
      </c>
      <c r="B3632" s="139" t="s">
        <v>8596</v>
      </c>
      <c r="C3632" s="139" t="s">
        <v>33</v>
      </c>
      <c r="D3632" s="139" t="s">
        <v>8599</v>
      </c>
    </row>
    <row r="3633" spans="1:4" x14ac:dyDescent="0.25">
      <c r="A3633" s="139" t="s">
        <v>8600</v>
      </c>
      <c r="B3633" s="139" t="s">
        <v>8601</v>
      </c>
      <c r="C3633" s="139" t="s">
        <v>33</v>
      </c>
      <c r="D3633" s="139" t="s">
        <v>8602</v>
      </c>
    </row>
    <row r="3634" spans="1:4" x14ac:dyDescent="0.25">
      <c r="A3634" s="139" t="s">
        <v>8603</v>
      </c>
      <c r="B3634" s="139" t="s">
        <v>8601</v>
      </c>
      <c r="C3634" s="139" t="s">
        <v>33</v>
      </c>
      <c r="D3634" s="139" t="s">
        <v>8604</v>
      </c>
    </row>
    <row r="3635" spans="1:4" x14ac:dyDescent="0.25">
      <c r="A3635" s="139" t="s">
        <v>8605</v>
      </c>
      <c r="B3635" s="139" t="s">
        <v>8606</v>
      </c>
      <c r="C3635" s="139" t="s">
        <v>33</v>
      </c>
      <c r="D3635" s="139" t="s">
        <v>8607</v>
      </c>
    </row>
    <row r="3636" spans="1:4" x14ac:dyDescent="0.25">
      <c r="A3636" s="139" t="s">
        <v>8608</v>
      </c>
      <c r="B3636" s="139" t="s">
        <v>8606</v>
      </c>
      <c r="C3636" s="139" t="s">
        <v>33</v>
      </c>
      <c r="D3636" s="139" t="s">
        <v>8609</v>
      </c>
    </row>
    <row r="3637" spans="1:4" x14ac:dyDescent="0.25">
      <c r="A3637" s="139" t="s">
        <v>8610</v>
      </c>
      <c r="B3637" s="139" t="s">
        <v>8611</v>
      </c>
      <c r="C3637" s="139" t="s">
        <v>33</v>
      </c>
      <c r="D3637" s="139" t="s">
        <v>8612</v>
      </c>
    </row>
    <row r="3638" spans="1:4" x14ac:dyDescent="0.25">
      <c r="A3638" s="139" t="s">
        <v>8613</v>
      </c>
      <c r="B3638" s="139" t="s">
        <v>8611</v>
      </c>
      <c r="C3638" s="139" t="s">
        <v>33</v>
      </c>
      <c r="D3638" s="139" t="s">
        <v>8614</v>
      </c>
    </row>
    <row r="3639" spans="1:4" x14ac:dyDescent="0.25">
      <c r="A3639" s="139" t="s">
        <v>8615</v>
      </c>
      <c r="B3639" s="139" t="s">
        <v>4620</v>
      </c>
      <c r="C3639" s="139" t="s">
        <v>33</v>
      </c>
      <c r="D3639" s="139" t="s">
        <v>8616</v>
      </c>
    </row>
    <row r="3640" spans="1:4" x14ac:dyDescent="0.25">
      <c r="A3640" s="139" t="s">
        <v>8617</v>
      </c>
      <c r="B3640" s="139" t="s">
        <v>4620</v>
      </c>
      <c r="C3640" s="139" t="s">
        <v>33</v>
      </c>
      <c r="D3640" s="139" t="s">
        <v>8618</v>
      </c>
    </row>
    <row r="3641" spans="1:4" x14ac:dyDescent="0.25">
      <c r="A3641" s="139" t="s">
        <v>8619</v>
      </c>
      <c r="B3641" s="139" t="s">
        <v>8620</v>
      </c>
      <c r="C3641" s="139" t="s">
        <v>33</v>
      </c>
      <c r="D3641" s="139" t="s">
        <v>8621</v>
      </c>
    </row>
    <row r="3642" spans="1:4" x14ac:dyDescent="0.25">
      <c r="A3642" s="139" t="s">
        <v>8622</v>
      </c>
      <c r="B3642" s="139" t="s">
        <v>8620</v>
      </c>
      <c r="C3642" s="139" t="s">
        <v>33</v>
      </c>
      <c r="D3642" s="139" t="s">
        <v>8623</v>
      </c>
    </row>
    <row r="3643" spans="1:4" x14ac:dyDescent="0.25">
      <c r="A3643" s="139" t="s">
        <v>8624</v>
      </c>
      <c r="B3643" s="139" t="s">
        <v>8625</v>
      </c>
      <c r="C3643" s="139" t="s">
        <v>65</v>
      </c>
      <c r="D3643" s="139" t="s">
        <v>8626</v>
      </c>
    </row>
    <row r="3644" spans="1:4" x14ac:dyDescent="0.25">
      <c r="A3644" s="139" t="s">
        <v>8627</v>
      </c>
      <c r="B3644" s="139" t="s">
        <v>8625</v>
      </c>
      <c r="C3644" s="139" t="s">
        <v>65</v>
      </c>
      <c r="D3644" s="139" t="s">
        <v>8628</v>
      </c>
    </row>
    <row r="3645" spans="1:4" x14ac:dyDescent="0.25">
      <c r="A3645" s="139" t="s">
        <v>8629</v>
      </c>
      <c r="B3645" s="139" t="s">
        <v>8630</v>
      </c>
      <c r="C3645" s="139" t="s">
        <v>33</v>
      </c>
      <c r="D3645" s="139" t="s">
        <v>8631</v>
      </c>
    </row>
    <row r="3646" spans="1:4" x14ac:dyDescent="0.25">
      <c r="A3646" s="139" t="s">
        <v>8632</v>
      </c>
      <c r="B3646" s="139" t="s">
        <v>8630</v>
      </c>
      <c r="C3646" s="139" t="s">
        <v>33</v>
      </c>
      <c r="D3646" s="139" t="s">
        <v>8633</v>
      </c>
    </row>
    <row r="3647" spans="1:4" x14ac:dyDescent="0.25">
      <c r="A3647" s="139" t="s">
        <v>8634</v>
      </c>
      <c r="B3647" s="139" t="s">
        <v>5792</v>
      </c>
      <c r="C3647" s="139" t="s">
        <v>127</v>
      </c>
      <c r="D3647" s="139" t="s">
        <v>8635</v>
      </c>
    </row>
    <row r="3648" spans="1:4" x14ac:dyDescent="0.25">
      <c r="A3648" s="139" t="s">
        <v>8636</v>
      </c>
      <c r="B3648" s="139" t="s">
        <v>5792</v>
      </c>
      <c r="C3648" s="139" t="s">
        <v>127</v>
      </c>
      <c r="D3648" s="139" t="s">
        <v>8637</v>
      </c>
    </row>
    <row r="3649" spans="1:4" x14ac:dyDescent="0.25">
      <c r="A3649" s="139" t="s">
        <v>8638</v>
      </c>
      <c r="B3649" s="139" t="s">
        <v>6726</v>
      </c>
      <c r="C3649" s="139" t="s">
        <v>127</v>
      </c>
      <c r="D3649" s="139" t="s">
        <v>8639</v>
      </c>
    </row>
    <row r="3650" spans="1:4" x14ac:dyDescent="0.25">
      <c r="A3650" s="139" t="s">
        <v>8640</v>
      </c>
      <c r="B3650" s="139" t="s">
        <v>6726</v>
      </c>
      <c r="C3650" s="139" t="s">
        <v>127</v>
      </c>
      <c r="D3650" s="139" t="s">
        <v>8641</v>
      </c>
    </row>
    <row r="3651" spans="1:4" x14ac:dyDescent="0.25">
      <c r="A3651" s="139" t="s">
        <v>8642</v>
      </c>
      <c r="B3651" s="139" t="s">
        <v>2955</v>
      </c>
      <c r="C3651" s="139" t="s">
        <v>127</v>
      </c>
      <c r="D3651" s="139" t="s">
        <v>8643</v>
      </c>
    </row>
    <row r="3652" spans="1:4" x14ac:dyDescent="0.25">
      <c r="A3652" s="139" t="s">
        <v>8644</v>
      </c>
      <c r="B3652" s="139" t="s">
        <v>2955</v>
      </c>
      <c r="C3652" s="139" t="s">
        <v>127</v>
      </c>
      <c r="D3652" s="139" t="s">
        <v>8645</v>
      </c>
    </row>
    <row r="3653" spans="1:4" x14ac:dyDescent="0.25">
      <c r="A3653" s="139" t="s">
        <v>8646</v>
      </c>
      <c r="B3653" s="139" t="s">
        <v>8647</v>
      </c>
      <c r="C3653" s="139" t="s">
        <v>127</v>
      </c>
      <c r="D3653" s="139" t="s">
        <v>8648</v>
      </c>
    </row>
    <row r="3654" spans="1:4" x14ac:dyDescent="0.25">
      <c r="A3654" s="139" t="s">
        <v>8649</v>
      </c>
      <c r="B3654" s="139" t="s">
        <v>8647</v>
      </c>
      <c r="C3654" s="139" t="s">
        <v>127</v>
      </c>
      <c r="D3654" s="139" t="s">
        <v>8650</v>
      </c>
    </row>
    <row r="3655" spans="1:4" x14ac:dyDescent="0.25">
      <c r="A3655" s="139" t="s">
        <v>8651</v>
      </c>
      <c r="B3655" s="139" t="s">
        <v>8652</v>
      </c>
      <c r="C3655" s="139" t="s">
        <v>127</v>
      </c>
      <c r="D3655" s="139" t="s">
        <v>8653</v>
      </c>
    </row>
    <row r="3656" spans="1:4" x14ac:dyDescent="0.25">
      <c r="A3656" s="139" t="s">
        <v>8654</v>
      </c>
      <c r="B3656" s="139" t="s">
        <v>8652</v>
      </c>
      <c r="C3656" s="139" t="s">
        <v>127</v>
      </c>
      <c r="D3656" s="139" t="s">
        <v>8655</v>
      </c>
    </row>
    <row r="3657" spans="1:4" x14ac:dyDescent="0.25">
      <c r="A3657" s="139" t="s">
        <v>8656</v>
      </c>
      <c r="B3657" s="139" t="s">
        <v>8657</v>
      </c>
      <c r="C3657" s="139" t="s">
        <v>65</v>
      </c>
      <c r="D3657" s="139" t="s">
        <v>8658</v>
      </c>
    </row>
    <row r="3658" spans="1:4" x14ac:dyDescent="0.25">
      <c r="A3658" s="139" t="s">
        <v>8659</v>
      </c>
      <c r="B3658" s="139" t="s">
        <v>8657</v>
      </c>
      <c r="C3658" s="139" t="s">
        <v>65</v>
      </c>
      <c r="D3658" s="139" t="s">
        <v>8660</v>
      </c>
    </row>
    <row r="3659" spans="1:4" x14ac:dyDescent="0.25">
      <c r="A3659" s="139" t="s">
        <v>8661</v>
      </c>
      <c r="B3659" s="139" t="s">
        <v>8662</v>
      </c>
      <c r="C3659" s="139" t="s">
        <v>65</v>
      </c>
      <c r="D3659" s="139" t="s">
        <v>8663</v>
      </c>
    </row>
    <row r="3660" spans="1:4" x14ac:dyDescent="0.25">
      <c r="A3660" s="139" t="s">
        <v>8664</v>
      </c>
      <c r="B3660" s="139" t="s">
        <v>8662</v>
      </c>
      <c r="C3660" s="139" t="s">
        <v>65</v>
      </c>
      <c r="D3660" s="139" t="s">
        <v>8665</v>
      </c>
    </row>
    <row r="3661" spans="1:4" x14ac:dyDescent="0.25">
      <c r="A3661" s="139" t="s">
        <v>8666</v>
      </c>
      <c r="B3661" s="139" t="s">
        <v>8667</v>
      </c>
      <c r="C3661" s="139" t="s">
        <v>65</v>
      </c>
      <c r="D3661" s="139" t="s">
        <v>8668</v>
      </c>
    </row>
    <row r="3662" spans="1:4" x14ac:dyDescent="0.25">
      <c r="A3662" s="139" t="s">
        <v>8669</v>
      </c>
      <c r="B3662" s="139" t="s">
        <v>8667</v>
      </c>
      <c r="C3662" s="139" t="s">
        <v>65</v>
      </c>
      <c r="D3662" s="139" t="s">
        <v>8670</v>
      </c>
    </row>
    <row r="3663" spans="1:4" x14ac:dyDescent="0.25">
      <c r="A3663" s="139" t="s">
        <v>8671</v>
      </c>
      <c r="B3663" s="139" t="s">
        <v>3202</v>
      </c>
      <c r="C3663" s="139" t="s">
        <v>127</v>
      </c>
      <c r="D3663" s="139" t="s">
        <v>8672</v>
      </c>
    </row>
    <row r="3664" spans="1:4" x14ac:dyDescent="0.25">
      <c r="A3664" s="139" t="s">
        <v>8673</v>
      </c>
      <c r="B3664" s="139" t="s">
        <v>3202</v>
      </c>
      <c r="C3664" s="139" t="s">
        <v>127</v>
      </c>
      <c r="D3664" s="139" t="s">
        <v>8674</v>
      </c>
    </row>
    <row r="3665" spans="1:4" x14ac:dyDescent="0.25">
      <c r="A3665" s="139" t="s">
        <v>8675</v>
      </c>
      <c r="B3665" s="139" t="s">
        <v>7061</v>
      </c>
      <c r="C3665" s="139" t="s">
        <v>127</v>
      </c>
      <c r="D3665" s="139" t="s">
        <v>8676</v>
      </c>
    </row>
    <row r="3666" spans="1:4" x14ac:dyDescent="0.25">
      <c r="A3666" s="139" t="s">
        <v>8677</v>
      </c>
      <c r="B3666" s="139" t="s">
        <v>7061</v>
      </c>
      <c r="C3666" s="139" t="s">
        <v>127</v>
      </c>
      <c r="D3666" s="139" t="s">
        <v>8678</v>
      </c>
    </row>
    <row r="3667" spans="1:4" x14ac:dyDescent="0.25">
      <c r="A3667" s="139" t="s">
        <v>8679</v>
      </c>
      <c r="B3667" s="139" t="s">
        <v>8680</v>
      </c>
      <c r="C3667" s="139" t="s">
        <v>127</v>
      </c>
      <c r="D3667" s="139" t="s">
        <v>8681</v>
      </c>
    </row>
    <row r="3668" spans="1:4" x14ac:dyDescent="0.25">
      <c r="A3668" s="139" t="s">
        <v>8682</v>
      </c>
      <c r="B3668" s="139" t="s">
        <v>8680</v>
      </c>
      <c r="C3668" s="139" t="s">
        <v>127</v>
      </c>
      <c r="D3668" s="139" t="s">
        <v>8683</v>
      </c>
    </row>
    <row r="3669" spans="1:4" x14ac:dyDescent="0.25">
      <c r="A3669" s="139" t="s">
        <v>8684</v>
      </c>
      <c r="B3669" s="139" t="s">
        <v>8685</v>
      </c>
      <c r="C3669" s="139" t="s">
        <v>127</v>
      </c>
      <c r="D3669" s="139" t="s">
        <v>8686</v>
      </c>
    </row>
    <row r="3670" spans="1:4" x14ac:dyDescent="0.25">
      <c r="A3670" s="139" t="s">
        <v>8687</v>
      </c>
      <c r="B3670" s="139" t="s">
        <v>8685</v>
      </c>
      <c r="C3670" s="139" t="s">
        <v>127</v>
      </c>
      <c r="D3670" s="139" t="s">
        <v>8688</v>
      </c>
    </row>
    <row r="3671" spans="1:4" x14ac:dyDescent="0.25">
      <c r="A3671" s="139" t="s">
        <v>8689</v>
      </c>
      <c r="B3671" s="139" t="s">
        <v>1444</v>
      </c>
      <c r="C3671" s="139" t="s">
        <v>65</v>
      </c>
      <c r="D3671" s="139" t="s">
        <v>8690</v>
      </c>
    </row>
    <row r="3672" spans="1:4" x14ac:dyDescent="0.25">
      <c r="A3672" s="139" t="s">
        <v>8691</v>
      </c>
      <c r="B3672" s="139" t="s">
        <v>1444</v>
      </c>
      <c r="C3672" s="139" t="s">
        <v>65</v>
      </c>
      <c r="D3672" s="139" t="s">
        <v>8692</v>
      </c>
    </row>
    <row r="3673" spans="1:4" x14ac:dyDescent="0.25">
      <c r="A3673" s="139" t="s">
        <v>8693</v>
      </c>
      <c r="B3673" s="139" t="s">
        <v>8694</v>
      </c>
      <c r="C3673" s="139" t="s">
        <v>65</v>
      </c>
      <c r="D3673" s="139" t="s">
        <v>8695</v>
      </c>
    </row>
    <row r="3674" spans="1:4" x14ac:dyDescent="0.25">
      <c r="A3674" s="139" t="s">
        <v>8696</v>
      </c>
      <c r="B3674" s="139" t="s">
        <v>8694</v>
      </c>
      <c r="C3674" s="139" t="s">
        <v>65</v>
      </c>
      <c r="D3674" s="139" t="s">
        <v>8697</v>
      </c>
    </row>
    <row r="3675" spans="1:4" x14ac:dyDescent="0.25">
      <c r="A3675" s="139" t="s">
        <v>8698</v>
      </c>
      <c r="B3675" s="139" t="s">
        <v>8699</v>
      </c>
      <c r="C3675" s="139" t="s">
        <v>65</v>
      </c>
      <c r="D3675" s="139" t="s">
        <v>8700</v>
      </c>
    </row>
    <row r="3676" spans="1:4" x14ac:dyDescent="0.25">
      <c r="A3676" s="139" t="s">
        <v>8701</v>
      </c>
      <c r="B3676" s="139" t="s">
        <v>8699</v>
      </c>
      <c r="C3676" s="139" t="s">
        <v>65</v>
      </c>
      <c r="D3676" s="139" t="s">
        <v>8702</v>
      </c>
    </row>
    <row r="3677" spans="1:4" x14ac:dyDescent="0.25">
      <c r="A3677" s="139" t="s">
        <v>8703</v>
      </c>
      <c r="B3677" s="139" t="s">
        <v>8704</v>
      </c>
      <c r="C3677" s="139" t="s">
        <v>65</v>
      </c>
      <c r="D3677" s="139" t="s">
        <v>8705</v>
      </c>
    </row>
    <row r="3678" spans="1:4" x14ac:dyDescent="0.25">
      <c r="A3678" s="139" t="s">
        <v>8706</v>
      </c>
      <c r="B3678" s="139" t="s">
        <v>8704</v>
      </c>
      <c r="C3678" s="139" t="s">
        <v>65</v>
      </c>
      <c r="D3678" s="139" t="s">
        <v>8707</v>
      </c>
    </row>
    <row r="3679" spans="1:4" x14ac:dyDescent="0.25">
      <c r="A3679" s="139" t="s">
        <v>8708</v>
      </c>
      <c r="B3679" s="139" t="s">
        <v>1554</v>
      </c>
      <c r="C3679" s="139" t="s">
        <v>65</v>
      </c>
      <c r="D3679" s="139" t="s">
        <v>8709</v>
      </c>
    </row>
    <row r="3680" spans="1:4" x14ac:dyDescent="0.25">
      <c r="A3680" s="139" t="s">
        <v>8710</v>
      </c>
      <c r="B3680" s="139" t="s">
        <v>1554</v>
      </c>
      <c r="C3680" s="139" t="s">
        <v>65</v>
      </c>
      <c r="D3680" s="139" t="s">
        <v>8711</v>
      </c>
    </row>
    <row r="3681" spans="1:4" x14ac:dyDescent="0.25">
      <c r="A3681" s="139" t="s">
        <v>8712</v>
      </c>
      <c r="B3681" s="139" t="s">
        <v>8713</v>
      </c>
      <c r="C3681" s="139" t="s">
        <v>65</v>
      </c>
      <c r="D3681" s="139" t="s">
        <v>8714</v>
      </c>
    </row>
    <row r="3682" spans="1:4" x14ac:dyDescent="0.25">
      <c r="A3682" s="139" t="s">
        <v>8715</v>
      </c>
      <c r="B3682" s="139" t="s">
        <v>8713</v>
      </c>
      <c r="C3682" s="139" t="s">
        <v>65</v>
      </c>
      <c r="D3682" s="139" t="s">
        <v>8716</v>
      </c>
    </row>
    <row r="3683" spans="1:4" x14ac:dyDescent="0.25">
      <c r="A3683" s="139" t="s">
        <v>8717</v>
      </c>
      <c r="B3683" s="139" t="s">
        <v>8254</v>
      </c>
      <c r="C3683" s="139" t="s">
        <v>65</v>
      </c>
      <c r="D3683" s="139" t="s">
        <v>8718</v>
      </c>
    </row>
    <row r="3684" spans="1:4" x14ac:dyDescent="0.25">
      <c r="A3684" s="139" t="s">
        <v>8719</v>
      </c>
      <c r="B3684" s="139" t="s">
        <v>8254</v>
      </c>
      <c r="C3684" s="139" t="s">
        <v>65</v>
      </c>
      <c r="D3684" s="139" t="s">
        <v>8720</v>
      </c>
    </row>
    <row r="3685" spans="1:4" x14ac:dyDescent="0.25">
      <c r="A3685" s="139" t="s">
        <v>8721</v>
      </c>
      <c r="B3685" s="139" t="s">
        <v>544</v>
      </c>
      <c r="C3685" s="139" t="s">
        <v>65</v>
      </c>
      <c r="D3685" s="139" t="s">
        <v>8722</v>
      </c>
    </row>
    <row r="3686" spans="1:4" x14ac:dyDescent="0.25">
      <c r="A3686" s="139" t="s">
        <v>8723</v>
      </c>
      <c r="B3686" s="139" t="s">
        <v>544</v>
      </c>
      <c r="C3686" s="139" t="s">
        <v>65</v>
      </c>
      <c r="D3686" s="139" t="s">
        <v>8724</v>
      </c>
    </row>
    <row r="3687" spans="1:4" x14ac:dyDescent="0.25">
      <c r="A3687" s="139" t="s">
        <v>8725</v>
      </c>
      <c r="B3687" s="139" t="s">
        <v>8249</v>
      </c>
      <c r="C3687" s="139" t="s">
        <v>65</v>
      </c>
      <c r="D3687" s="139" t="s">
        <v>8726</v>
      </c>
    </row>
    <row r="3688" spans="1:4" x14ac:dyDescent="0.25">
      <c r="A3688" s="139" t="s">
        <v>8727</v>
      </c>
      <c r="B3688" s="139" t="s">
        <v>8249</v>
      </c>
      <c r="C3688" s="139" t="s">
        <v>65</v>
      </c>
      <c r="D3688" s="139" t="s">
        <v>8728</v>
      </c>
    </row>
    <row r="3689" spans="1:4" x14ac:dyDescent="0.25">
      <c r="A3689" s="139" t="s">
        <v>8729</v>
      </c>
      <c r="B3689" s="139" t="s">
        <v>8730</v>
      </c>
      <c r="C3689" s="139" t="s">
        <v>65</v>
      </c>
      <c r="D3689" s="139" t="s">
        <v>8731</v>
      </c>
    </row>
    <row r="3690" spans="1:4" x14ac:dyDescent="0.25">
      <c r="A3690" s="139" t="s">
        <v>8732</v>
      </c>
      <c r="B3690" s="139" t="s">
        <v>8730</v>
      </c>
      <c r="C3690" s="139" t="s">
        <v>65</v>
      </c>
      <c r="D3690" s="139" t="s">
        <v>8733</v>
      </c>
    </row>
    <row r="3691" spans="1:4" x14ac:dyDescent="0.25">
      <c r="A3691" s="139" t="s">
        <v>8734</v>
      </c>
      <c r="B3691" s="139" t="s">
        <v>3221</v>
      </c>
      <c r="C3691" s="139" t="s">
        <v>65</v>
      </c>
      <c r="D3691" s="139" t="s">
        <v>8735</v>
      </c>
    </row>
    <row r="3692" spans="1:4" x14ac:dyDescent="0.25">
      <c r="A3692" s="139" t="s">
        <v>8736</v>
      </c>
      <c r="B3692" s="139" t="s">
        <v>3221</v>
      </c>
      <c r="C3692" s="139" t="s">
        <v>65</v>
      </c>
      <c r="D3692" s="139" t="s">
        <v>8737</v>
      </c>
    </row>
    <row r="3693" spans="1:4" x14ac:dyDescent="0.25">
      <c r="A3693" s="139" t="s">
        <v>8738</v>
      </c>
      <c r="B3693" s="139" t="s">
        <v>8739</v>
      </c>
      <c r="C3693" s="139" t="s">
        <v>65</v>
      </c>
      <c r="D3693" s="139" t="s">
        <v>8740</v>
      </c>
    </row>
    <row r="3694" spans="1:4" x14ac:dyDescent="0.25">
      <c r="A3694" s="139" t="s">
        <v>8741</v>
      </c>
      <c r="B3694" s="139" t="s">
        <v>8739</v>
      </c>
      <c r="C3694" s="139" t="s">
        <v>65</v>
      </c>
      <c r="D3694" s="139" t="s">
        <v>8742</v>
      </c>
    </row>
    <row r="3695" spans="1:4" x14ac:dyDescent="0.25">
      <c r="A3695" s="139" t="s">
        <v>8743</v>
      </c>
      <c r="B3695" s="139" t="s">
        <v>8744</v>
      </c>
      <c r="C3695" s="139" t="s">
        <v>65</v>
      </c>
      <c r="D3695" s="139" t="s">
        <v>8745</v>
      </c>
    </row>
    <row r="3696" spans="1:4" x14ac:dyDescent="0.25">
      <c r="A3696" s="139" t="s">
        <v>8746</v>
      </c>
      <c r="B3696" s="139" t="s">
        <v>8744</v>
      </c>
      <c r="C3696" s="139" t="s">
        <v>65</v>
      </c>
      <c r="D3696" s="139" t="s">
        <v>8747</v>
      </c>
    </row>
    <row r="3697" spans="1:4" x14ac:dyDescent="0.25">
      <c r="A3697" s="139" t="s">
        <v>8748</v>
      </c>
      <c r="B3697" s="139" t="s">
        <v>8749</v>
      </c>
      <c r="C3697" s="139" t="s">
        <v>65</v>
      </c>
      <c r="D3697" s="139" t="s">
        <v>8750</v>
      </c>
    </row>
    <row r="3698" spans="1:4" x14ac:dyDescent="0.25">
      <c r="A3698" s="139" t="s">
        <v>8751</v>
      </c>
      <c r="B3698" s="139" t="s">
        <v>8749</v>
      </c>
      <c r="C3698" s="139" t="s">
        <v>65</v>
      </c>
      <c r="D3698" s="139" t="s">
        <v>8752</v>
      </c>
    </row>
    <row r="3699" spans="1:4" x14ac:dyDescent="0.25">
      <c r="A3699" s="139" t="s">
        <v>8753</v>
      </c>
      <c r="B3699" s="139" t="s">
        <v>8754</v>
      </c>
      <c r="C3699" s="139" t="s">
        <v>33</v>
      </c>
      <c r="D3699" s="139" t="s">
        <v>8755</v>
      </c>
    </row>
    <row r="3700" spans="1:4" x14ac:dyDescent="0.25">
      <c r="A3700" s="139" t="s">
        <v>8756</v>
      </c>
      <c r="B3700" s="139" t="s">
        <v>8754</v>
      </c>
      <c r="C3700" s="139" t="s">
        <v>33</v>
      </c>
      <c r="D3700" s="139" t="s">
        <v>8757</v>
      </c>
    </row>
    <row r="3701" spans="1:4" x14ac:dyDescent="0.25">
      <c r="A3701" s="139" t="s">
        <v>8758</v>
      </c>
      <c r="B3701" s="139" t="s">
        <v>2393</v>
      </c>
      <c r="C3701" s="139" t="s">
        <v>658</v>
      </c>
      <c r="D3701" s="139" t="s">
        <v>8759</v>
      </c>
    </row>
    <row r="3702" spans="1:4" x14ac:dyDescent="0.25">
      <c r="A3702" s="139" t="s">
        <v>8760</v>
      </c>
      <c r="B3702" s="139" t="s">
        <v>2393</v>
      </c>
      <c r="C3702" s="139" t="s">
        <v>658</v>
      </c>
      <c r="D3702" s="139" t="s">
        <v>8761</v>
      </c>
    </row>
    <row r="3703" spans="1:4" x14ac:dyDescent="0.25">
      <c r="A3703" s="139" t="s">
        <v>8762</v>
      </c>
      <c r="B3703" s="139" t="s">
        <v>4778</v>
      </c>
      <c r="C3703" s="139" t="s">
        <v>658</v>
      </c>
      <c r="D3703" s="139" t="s">
        <v>8763</v>
      </c>
    </row>
    <row r="3704" spans="1:4" x14ac:dyDescent="0.25">
      <c r="A3704" s="139" t="s">
        <v>8764</v>
      </c>
      <c r="B3704" s="139" t="s">
        <v>4778</v>
      </c>
      <c r="C3704" s="139" t="s">
        <v>658</v>
      </c>
      <c r="D3704" s="139" t="s">
        <v>8765</v>
      </c>
    </row>
    <row r="3705" spans="1:4" x14ac:dyDescent="0.25">
      <c r="A3705" s="139" t="s">
        <v>8766</v>
      </c>
      <c r="B3705" s="139" t="s">
        <v>8767</v>
      </c>
      <c r="C3705" s="139" t="s">
        <v>658</v>
      </c>
      <c r="D3705" s="139" t="s">
        <v>8768</v>
      </c>
    </row>
    <row r="3706" spans="1:4" x14ac:dyDescent="0.25">
      <c r="A3706" s="139" t="s">
        <v>8769</v>
      </c>
      <c r="B3706" s="139" t="s">
        <v>8767</v>
      </c>
      <c r="C3706" s="139" t="s">
        <v>658</v>
      </c>
      <c r="D3706" s="139" t="s">
        <v>8770</v>
      </c>
    </row>
    <row r="3707" spans="1:4" x14ac:dyDescent="0.25">
      <c r="A3707" s="139" t="s">
        <v>8771</v>
      </c>
      <c r="B3707" s="139" t="s">
        <v>8772</v>
      </c>
      <c r="C3707" s="139" t="s">
        <v>33</v>
      </c>
      <c r="D3707" s="139" t="s">
        <v>8773</v>
      </c>
    </row>
    <row r="3708" spans="1:4" x14ac:dyDescent="0.25">
      <c r="A3708" s="139" t="s">
        <v>8774</v>
      </c>
      <c r="B3708" s="139" t="s">
        <v>8772</v>
      </c>
      <c r="C3708" s="139" t="s">
        <v>33</v>
      </c>
      <c r="D3708" s="139" t="s">
        <v>8775</v>
      </c>
    </row>
    <row r="3709" spans="1:4" x14ac:dyDescent="0.25">
      <c r="A3709" s="139" t="s">
        <v>8776</v>
      </c>
      <c r="B3709" s="139" t="s">
        <v>2950</v>
      </c>
      <c r="C3709" s="139" t="s">
        <v>33</v>
      </c>
      <c r="D3709" s="139" t="s">
        <v>8777</v>
      </c>
    </row>
    <row r="3710" spans="1:4" x14ac:dyDescent="0.25">
      <c r="A3710" s="139" t="s">
        <v>8778</v>
      </c>
      <c r="B3710" s="139" t="s">
        <v>2950</v>
      </c>
      <c r="C3710" s="139" t="s">
        <v>33</v>
      </c>
      <c r="D3710" s="139" t="s">
        <v>8779</v>
      </c>
    </row>
    <row r="3711" spans="1:4" x14ac:dyDescent="0.25">
      <c r="A3711" s="139" t="s">
        <v>8780</v>
      </c>
      <c r="B3711" s="139" t="s">
        <v>437</v>
      </c>
      <c r="C3711" s="139" t="s">
        <v>65</v>
      </c>
      <c r="D3711" s="139" t="s">
        <v>8781</v>
      </c>
    </row>
    <row r="3712" spans="1:4" x14ac:dyDescent="0.25">
      <c r="A3712" s="139" t="s">
        <v>8782</v>
      </c>
      <c r="B3712" s="139" t="s">
        <v>437</v>
      </c>
      <c r="C3712" s="139" t="s">
        <v>65</v>
      </c>
      <c r="D3712" s="139" t="s">
        <v>8783</v>
      </c>
    </row>
    <row r="3713" spans="1:4" x14ac:dyDescent="0.25">
      <c r="A3713" s="139" t="s">
        <v>8784</v>
      </c>
      <c r="B3713" s="139" t="s">
        <v>8785</v>
      </c>
      <c r="C3713" s="139" t="s">
        <v>65</v>
      </c>
      <c r="D3713" s="139" t="s">
        <v>8786</v>
      </c>
    </row>
    <row r="3714" spans="1:4" x14ac:dyDescent="0.25">
      <c r="A3714" s="139" t="s">
        <v>8787</v>
      </c>
      <c r="B3714" s="139" t="s">
        <v>8785</v>
      </c>
      <c r="C3714" s="139" t="s">
        <v>65</v>
      </c>
      <c r="D3714" s="139" t="s">
        <v>8788</v>
      </c>
    </row>
    <row r="3715" spans="1:4" x14ac:dyDescent="0.25">
      <c r="A3715" s="139" t="s">
        <v>8789</v>
      </c>
      <c r="B3715" s="139" t="s">
        <v>8790</v>
      </c>
      <c r="C3715" s="139" t="s">
        <v>65</v>
      </c>
      <c r="D3715" s="139" t="s">
        <v>8791</v>
      </c>
    </row>
    <row r="3716" spans="1:4" x14ac:dyDescent="0.25">
      <c r="A3716" s="139" t="s">
        <v>8792</v>
      </c>
      <c r="B3716" s="139" t="s">
        <v>8790</v>
      </c>
      <c r="C3716" s="139" t="s">
        <v>65</v>
      </c>
      <c r="D3716" s="139" t="s">
        <v>8793</v>
      </c>
    </row>
    <row r="3717" spans="1:4" x14ac:dyDescent="0.25">
      <c r="A3717" s="139" t="s">
        <v>8794</v>
      </c>
      <c r="B3717" s="139" t="s">
        <v>8795</v>
      </c>
      <c r="C3717" s="139" t="s">
        <v>65</v>
      </c>
      <c r="D3717" s="139" t="s">
        <v>8796</v>
      </c>
    </row>
    <row r="3718" spans="1:4" x14ac:dyDescent="0.25">
      <c r="A3718" s="139" t="s">
        <v>8797</v>
      </c>
      <c r="B3718" s="139" t="s">
        <v>8795</v>
      </c>
      <c r="C3718" s="139" t="s">
        <v>65</v>
      </c>
      <c r="D3718" s="139" t="s">
        <v>8798</v>
      </c>
    </row>
    <row r="3719" spans="1:4" x14ac:dyDescent="0.25">
      <c r="A3719" s="139" t="s">
        <v>8799</v>
      </c>
      <c r="B3719" s="139" t="s">
        <v>8800</v>
      </c>
      <c r="C3719" s="139" t="s">
        <v>65</v>
      </c>
      <c r="D3719" s="139" t="s">
        <v>8801</v>
      </c>
    </row>
    <row r="3720" spans="1:4" x14ac:dyDescent="0.25">
      <c r="A3720" s="139" t="s">
        <v>8802</v>
      </c>
      <c r="B3720" s="139" t="s">
        <v>8800</v>
      </c>
      <c r="C3720" s="139" t="s">
        <v>65</v>
      </c>
      <c r="D3720" s="139" t="s">
        <v>8803</v>
      </c>
    </row>
    <row r="3721" spans="1:4" x14ac:dyDescent="0.25">
      <c r="A3721" s="139" t="s">
        <v>8804</v>
      </c>
      <c r="B3721" s="139" t="s">
        <v>8265</v>
      </c>
      <c r="C3721" s="139" t="s">
        <v>316</v>
      </c>
      <c r="D3721" s="139" t="s">
        <v>8805</v>
      </c>
    </row>
    <row r="3722" spans="1:4" x14ac:dyDescent="0.25">
      <c r="A3722" s="139" t="s">
        <v>8806</v>
      </c>
      <c r="B3722" s="139" t="s">
        <v>8265</v>
      </c>
      <c r="C3722" s="139" t="s">
        <v>316</v>
      </c>
      <c r="D3722" s="139" t="s">
        <v>8807</v>
      </c>
    </row>
    <row r="3723" spans="1:4" x14ac:dyDescent="0.25">
      <c r="A3723" s="139" t="s">
        <v>8808</v>
      </c>
      <c r="B3723" s="139" t="s">
        <v>4875</v>
      </c>
      <c r="C3723" s="139" t="s">
        <v>316</v>
      </c>
      <c r="D3723" s="139" t="s">
        <v>8809</v>
      </c>
    </row>
    <row r="3724" spans="1:4" x14ac:dyDescent="0.25">
      <c r="A3724" s="139" t="s">
        <v>8810</v>
      </c>
      <c r="B3724" s="139" t="s">
        <v>4875</v>
      </c>
      <c r="C3724" s="139" t="s">
        <v>316</v>
      </c>
      <c r="D3724" s="139" t="s">
        <v>8811</v>
      </c>
    </row>
    <row r="3725" spans="1:4" x14ac:dyDescent="0.25">
      <c r="A3725" s="139" t="s">
        <v>8812</v>
      </c>
      <c r="B3725" s="139" t="s">
        <v>541</v>
      </c>
      <c r="C3725" s="139" t="s">
        <v>4452</v>
      </c>
      <c r="D3725" s="139" t="s">
        <v>8813</v>
      </c>
    </row>
    <row r="3726" spans="1:4" x14ac:dyDescent="0.25">
      <c r="A3726" s="139" t="s">
        <v>8814</v>
      </c>
      <c r="B3726" s="139" t="s">
        <v>8815</v>
      </c>
      <c r="C3726" s="139" t="s">
        <v>65</v>
      </c>
      <c r="D3726" s="139" t="s">
        <v>8816</v>
      </c>
    </row>
    <row r="3727" spans="1:4" x14ac:dyDescent="0.25">
      <c r="A3727" s="139" t="s">
        <v>8817</v>
      </c>
      <c r="B3727" s="139" t="s">
        <v>8815</v>
      </c>
      <c r="C3727" s="139" t="s">
        <v>65</v>
      </c>
      <c r="D3727" s="139" t="s">
        <v>8818</v>
      </c>
    </row>
    <row r="3728" spans="1:4" x14ac:dyDescent="0.25">
      <c r="A3728" s="139" t="s">
        <v>8819</v>
      </c>
      <c r="B3728" s="139" t="s">
        <v>8820</v>
      </c>
      <c r="C3728" s="139" t="s">
        <v>112</v>
      </c>
      <c r="D3728" s="139" t="s">
        <v>8821</v>
      </c>
    </row>
    <row r="3729" spans="1:4" x14ac:dyDescent="0.25">
      <c r="A3729" s="139" t="s">
        <v>8822</v>
      </c>
      <c r="B3729" s="139" t="s">
        <v>8820</v>
      </c>
      <c r="C3729" s="139" t="s">
        <v>112</v>
      </c>
      <c r="D3729" s="139" t="s">
        <v>8823</v>
      </c>
    </row>
    <row r="3730" spans="1:4" x14ac:dyDescent="0.25">
      <c r="A3730" s="139" t="s">
        <v>8824</v>
      </c>
      <c r="B3730" s="139" t="s">
        <v>8825</v>
      </c>
      <c r="C3730" s="139" t="s">
        <v>112</v>
      </c>
      <c r="D3730" s="139" t="s">
        <v>8826</v>
      </c>
    </row>
    <row r="3731" spans="1:4" x14ac:dyDescent="0.25">
      <c r="A3731" s="139" t="s">
        <v>8827</v>
      </c>
      <c r="B3731" s="139" t="s">
        <v>8825</v>
      </c>
      <c r="C3731" s="139" t="s">
        <v>112</v>
      </c>
      <c r="D3731" s="139" t="s">
        <v>8828</v>
      </c>
    </row>
    <row r="3732" spans="1:4" x14ac:dyDescent="0.25">
      <c r="A3732" s="139" t="s">
        <v>8829</v>
      </c>
      <c r="B3732" s="139" t="s">
        <v>8830</v>
      </c>
      <c r="C3732" s="139" t="s">
        <v>112</v>
      </c>
      <c r="D3732" s="139" t="s">
        <v>8831</v>
      </c>
    </row>
    <row r="3733" spans="1:4" x14ac:dyDescent="0.25">
      <c r="A3733" s="139" t="s">
        <v>8832</v>
      </c>
      <c r="B3733" s="139" t="s">
        <v>8830</v>
      </c>
      <c r="C3733" s="139" t="s">
        <v>112</v>
      </c>
      <c r="D3733" s="139" t="s">
        <v>8833</v>
      </c>
    </row>
    <row r="3734" spans="1:4" x14ac:dyDescent="0.25">
      <c r="A3734" s="139" t="s">
        <v>8834</v>
      </c>
      <c r="B3734" s="139" t="s">
        <v>8835</v>
      </c>
      <c r="C3734" s="139" t="s">
        <v>112</v>
      </c>
      <c r="D3734" s="139" t="s">
        <v>8836</v>
      </c>
    </row>
    <row r="3735" spans="1:4" x14ac:dyDescent="0.25">
      <c r="A3735" s="139" t="s">
        <v>8837</v>
      </c>
      <c r="B3735" s="139" t="s">
        <v>8835</v>
      </c>
      <c r="C3735" s="139" t="s">
        <v>112</v>
      </c>
      <c r="D3735" s="139" t="s">
        <v>8838</v>
      </c>
    </row>
    <row r="3736" spans="1:4" x14ac:dyDescent="0.25">
      <c r="A3736" s="139" t="s">
        <v>8839</v>
      </c>
      <c r="B3736" s="139" t="s">
        <v>8840</v>
      </c>
      <c r="C3736" s="139" t="s">
        <v>123</v>
      </c>
      <c r="D3736" s="139" t="s">
        <v>8841</v>
      </c>
    </row>
    <row r="3737" spans="1:4" x14ac:dyDescent="0.25">
      <c r="A3737" s="139" t="s">
        <v>8842</v>
      </c>
      <c r="B3737" s="139" t="s">
        <v>8840</v>
      </c>
      <c r="C3737" s="139" t="s">
        <v>123</v>
      </c>
      <c r="D3737" s="139" t="s">
        <v>8843</v>
      </c>
    </row>
    <row r="3738" spans="1:4" x14ac:dyDescent="0.25">
      <c r="A3738" s="139" t="s">
        <v>8844</v>
      </c>
      <c r="B3738" s="139" t="s">
        <v>8845</v>
      </c>
      <c r="C3738" s="139" t="s">
        <v>112</v>
      </c>
      <c r="D3738" s="139" t="s">
        <v>8846</v>
      </c>
    </row>
    <row r="3739" spans="1:4" x14ac:dyDescent="0.25">
      <c r="A3739" s="139" t="s">
        <v>8847</v>
      </c>
      <c r="B3739" s="139" t="s">
        <v>8845</v>
      </c>
      <c r="C3739" s="139" t="s">
        <v>112</v>
      </c>
      <c r="D3739" s="139" t="s">
        <v>8848</v>
      </c>
    </row>
    <row r="3740" spans="1:4" x14ac:dyDescent="0.25">
      <c r="A3740" s="139" t="s">
        <v>8849</v>
      </c>
      <c r="B3740" s="139" t="s">
        <v>8850</v>
      </c>
      <c r="C3740" s="139" t="s">
        <v>112</v>
      </c>
      <c r="D3740" s="139" t="s">
        <v>8851</v>
      </c>
    </row>
    <row r="3741" spans="1:4" x14ac:dyDescent="0.25">
      <c r="A3741" s="139" t="s">
        <v>8852</v>
      </c>
      <c r="B3741" s="139" t="s">
        <v>8850</v>
      </c>
      <c r="C3741" s="139" t="s">
        <v>112</v>
      </c>
      <c r="D3741" s="139" t="s">
        <v>8853</v>
      </c>
    </row>
    <row r="3742" spans="1:4" x14ac:dyDescent="0.25">
      <c r="A3742" s="139" t="s">
        <v>8854</v>
      </c>
      <c r="B3742" s="139" t="s">
        <v>8855</v>
      </c>
      <c r="C3742" s="139" t="s">
        <v>65</v>
      </c>
      <c r="D3742" s="139" t="s">
        <v>8856</v>
      </c>
    </row>
    <row r="3743" spans="1:4" x14ac:dyDescent="0.25">
      <c r="A3743" s="139" t="s">
        <v>8857</v>
      </c>
      <c r="B3743" s="139" t="s">
        <v>8855</v>
      </c>
      <c r="C3743" s="139" t="s">
        <v>65</v>
      </c>
      <c r="D3743" s="139" t="s">
        <v>8858</v>
      </c>
    </row>
    <row r="3744" spans="1:4" x14ac:dyDescent="0.25">
      <c r="A3744" s="139" t="s">
        <v>8859</v>
      </c>
      <c r="B3744" s="139" t="s">
        <v>8860</v>
      </c>
      <c r="C3744" s="139" t="s">
        <v>65</v>
      </c>
      <c r="D3744" s="139" t="s">
        <v>8861</v>
      </c>
    </row>
    <row r="3745" spans="1:4" x14ac:dyDescent="0.25">
      <c r="A3745" s="139" t="s">
        <v>8862</v>
      </c>
      <c r="B3745" s="139" t="s">
        <v>8860</v>
      </c>
      <c r="C3745" s="139" t="s">
        <v>65</v>
      </c>
      <c r="D3745" s="139" t="s">
        <v>8863</v>
      </c>
    </row>
    <row r="3746" spans="1:4" x14ac:dyDescent="0.25">
      <c r="A3746" s="139" t="s">
        <v>8864</v>
      </c>
      <c r="B3746" s="139" t="s">
        <v>8865</v>
      </c>
      <c r="C3746" s="139" t="s">
        <v>65</v>
      </c>
      <c r="D3746" s="139" t="s">
        <v>8866</v>
      </c>
    </row>
    <row r="3747" spans="1:4" x14ac:dyDescent="0.25">
      <c r="A3747" s="139" t="s">
        <v>8867</v>
      </c>
      <c r="B3747" s="139" t="s">
        <v>8865</v>
      </c>
      <c r="C3747" s="139" t="s">
        <v>65</v>
      </c>
      <c r="D3747" s="139" t="s">
        <v>8868</v>
      </c>
    </row>
    <row r="3748" spans="1:4" x14ac:dyDescent="0.25">
      <c r="A3748" s="139" t="s">
        <v>8869</v>
      </c>
      <c r="B3748" s="139" t="s">
        <v>8870</v>
      </c>
      <c r="C3748" s="139" t="s">
        <v>65</v>
      </c>
      <c r="D3748" s="139" t="s">
        <v>8871</v>
      </c>
    </row>
    <row r="3749" spans="1:4" x14ac:dyDescent="0.25">
      <c r="A3749" s="139" t="s">
        <v>8872</v>
      </c>
      <c r="B3749" s="139" t="s">
        <v>8870</v>
      </c>
      <c r="C3749" s="139" t="s">
        <v>65</v>
      </c>
      <c r="D3749" s="139" t="s">
        <v>8873</v>
      </c>
    </row>
    <row r="3750" spans="1:4" x14ac:dyDescent="0.25">
      <c r="A3750" s="139" t="s">
        <v>8874</v>
      </c>
      <c r="B3750" s="139" t="s">
        <v>8875</v>
      </c>
      <c r="C3750" s="139" t="s">
        <v>65</v>
      </c>
      <c r="D3750" s="139" t="s">
        <v>8876</v>
      </c>
    </row>
    <row r="3751" spans="1:4" x14ac:dyDescent="0.25">
      <c r="A3751" s="139" t="s">
        <v>8877</v>
      </c>
      <c r="B3751" s="139" t="s">
        <v>8875</v>
      </c>
      <c r="C3751" s="139" t="s">
        <v>65</v>
      </c>
      <c r="D3751" s="139" t="s">
        <v>8878</v>
      </c>
    </row>
    <row r="3752" spans="1:4" x14ac:dyDescent="0.25">
      <c r="A3752" s="139" t="s">
        <v>8879</v>
      </c>
      <c r="B3752" s="139" t="s">
        <v>8880</v>
      </c>
      <c r="C3752" s="139" t="s">
        <v>65</v>
      </c>
      <c r="D3752" s="139" t="s">
        <v>8881</v>
      </c>
    </row>
    <row r="3753" spans="1:4" x14ac:dyDescent="0.25">
      <c r="A3753" s="139" t="s">
        <v>8882</v>
      </c>
      <c r="B3753" s="139" t="s">
        <v>8880</v>
      </c>
      <c r="C3753" s="139" t="s">
        <v>65</v>
      </c>
      <c r="D3753" s="139" t="s">
        <v>8883</v>
      </c>
    </row>
    <row r="3754" spans="1:4" x14ac:dyDescent="0.25">
      <c r="A3754" s="139" t="s">
        <v>8884</v>
      </c>
      <c r="B3754" s="139" t="s">
        <v>558</v>
      </c>
      <c r="C3754" s="139" t="s">
        <v>65</v>
      </c>
      <c r="D3754" s="139" t="s">
        <v>8885</v>
      </c>
    </row>
    <row r="3755" spans="1:4" x14ac:dyDescent="0.25">
      <c r="A3755" s="139" t="s">
        <v>8886</v>
      </c>
      <c r="B3755" s="139" t="s">
        <v>558</v>
      </c>
      <c r="C3755" s="139" t="s">
        <v>65</v>
      </c>
      <c r="D3755" s="139" t="s">
        <v>8887</v>
      </c>
    </row>
    <row r="3756" spans="1:4" x14ac:dyDescent="0.25">
      <c r="A3756" s="139" t="s">
        <v>8888</v>
      </c>
      <c r="B3756" s="139" t="s">
        <v>8889</v>
      </c>
      <c r="C3756" s="139" t="s">
        <v>65</v>
      </c>
      <c r="D3756" s="139" t="s">
        <v>8890</v>
      </c>
    </row>
    <row r="3757" spans="1:4" x14ac:dyDescent="0.25">
      <c r="A3757" s="139" t="s">
        <v>8891</v>
      </c>
      <c r="B3757" s="139" t="s">
        <v>8889</v>
      </c>
      <c r="C3757" s="139" t="s">
        <v>65</v>
      </c>
      <c r="D3757" s="139" t="s">
        <v>8892</v>
      </c>
    </row>
    <row r="3758" spans="1:4" x14ac:dyDescent="0.25">
      <c r="A3758" s="139" t="s">
        <v>8893</v>
      </c>
      <c r="B3758" s="139" t="s">
        <v>8894</v>
      </c>
      <c r="C3758" s="139" t="s">
        <v>65</v>
      </c>
      <c r="D3758" s="139" t="s">
        <v>8895</v>
      </c>
    </row>
    <row r="3759" spans="1:4" x14ac:dyDescent="0.25">
      <c r="A3759" s="139" t="s">
        <v>8896</v>
      </c>
      <c r="B3759" s="139" t="s">
        <v>8894</v>
      </c>
      <c r="C3759" s="139" t="s">
        <v>65</v>
      </c>
      <c r="D3759" s="139" t="s">
        <v>8897</v>
      </c>
    </row>
    <row r="3760" spans="1:4" x14ac:dyDescent="0.25">
      <c r="A3760" s="139" t="s">
        <v>8898</v>
      </c>
      <c r="B3760" s="139" t="s">
        <v>8899</v>
      </c>
      <c r="C3760" s="139" t="s">
        <v>65</v>
      </c>
      <c r="D3760" s="139" t="s">
        <v>8900</v>
      </c>
    </row>
    <row r="3761" spans="1:4" x14ac:dyDescent="0.25">
      <c r="A3761" s="139" t="s">
        <v>8901</v>
      </c>
      <c r="B3761" s="139" t="s">
        <v>8899</v>
      </c>
      <c r="C3761" s="139" t="s">
        <v>65</v>
      </c>
      <c r="D3761" s="139" t="s">
        <v>8902</v>
      </c>
    </row>
    <row r="3762" spans="1:4" x14ac:dyDescent="0.25">
      <c r="A3762" s="139" t="s">
        <v>8903</v>
      </c>
      <c r="B3762" s="139" t="s">
        <v>8904</v>
      </c>
      <c r="C3762" s="139" t="s">
        <v>65</v>
      </c>
      <c r="D3762" s="139" t="s">
        <v>8905</v>
      </c>
    </row>
    <row r="3763" spans="1:4" x14ac:dyDescent="0.25">
      <c r="A3763" s="139" t="s">
        <v>8906</v>
      </c>
      <c r="B3763" s="139" t="s">
        <v>8904</v>
      </c>
      <c r="C3763" s="139" t="s">
        <v>65</v>
      </c>
      <c r="D3763" s="139" t="s">
        <v>8907</v>
      </c>
    </row>
    <row r="3764" spans="1:4" x14ac:dyDescent="0.25">
      <c r="A3764" s="139" t="s">
        <v>8908</v>
      </c>
      <c r="B3764" s="139" t="s">
        <v>8909</v>
      </c>
      <c r="C3764" s="139" t="s">
        <v>65</v>
      </c>
      <c r="D3764" s="139" t="s">
        <v>8910</v>
      </c>
    </row>
    <row r="3765" spans="1:4" x14ac:dyDescent="0.25">
      <c r="A3765" s="139" t="s">
        <v>8911</v>
      </c>
      <c r="B3765" s="139" t="s">
        <v>8909</v>
      </c>
      <c r="C3765" s="139" t="s">
        <v>65</v>
      </c>
      <c r="D3765" s="139" t="s">
        <v>8912</v>
      </c>
    </row>
    <row r="3766" spans="1:4" x14ac:dyDescent="0.25">
      <c r="A3766" s="139" t="s">
        <v>8913</v>
      </c>
      <c r="B3766" s="139" t="s">
        <v>8914</v>
      </c>
      <c r="C3766" s="139" t="s">
        <v>65</v>
      </c>
      <c r="D3766" s="139" t="s">
        <v>8915</v>
      </c>
    </row>
    <row r="3767" spans="1:4" x14ac:dyDescent="0.25">
      <c r="A3767" s="139" t="s">
        <v>8916</v>
      </c>
      <c r="B3767" s="139" t="s">
        <v>8914</v>
      </c>
      <c r="C3767" s="139" t="s">
        <v>65</v>
      </c>
      <c r="D3767" s="139" t="s">
        <v>8917</v>
      </c>
    </row>
    <row r="3768" spans="1:4" x14ac:dyDescent="0.25">
      <c r="A3768" s="139" t="s">
        <v>8918</v>
      </c>
      <c r="B3768" s="139" t="s">
        <v>8919</v>
      </c>
      <c r="C3768" s="139" t="s">
        <v>65</v>
      </c>
      <c r="D3768" s="139" t="s">
        <v>8920</v>
      </c>
    </row>
    <row r="3769" spans="1:4" x14ac:dyDescent="0.25">
      <c r="A3769" s="139" t="s">
        <v>8921</v>
      </c>
      <c r="B3769" s="139" t="s">
        <v>8919</v>
      </c>
      <c r="C3769" s="139" t="s">
        <v>65</v>
      </c>
      <c r="D3769" s="139" t="s">
        <v>8922</v>
      </c>
    </row>
    <row r="3770" spans="1:4" x14ac:dyDescent="0.25">
      <c r="A3770" s="139" t="s">
        <v>8923</v>
      </c>
      <c r="B3770" s="139" t="s">
        <v>570</v>
      </c>
      <c r="C3770" s="139" t="s">
        <v>65</v>
      </c>
      <c r="D3770" s="139" t="s">
        <v>8924</v>
      </c>
    </row>
    <row r="3771" spans="1:4" x14ac:dyDescent="0.25">
      <c r="A3771" s="139" t="s">
        <v>8925</v>
      </c>
      <c r="B3771" s="139" t="s">
        <v>570</v>
      </c>
      <c r="C3771" s="139" t="s">
        <v>65</v>
      </c>
      <c r="D3771" s="139" t="s">
        <v>8926</v>
      </c>
    </row>
    <row r="3772" spans="1:4" x14ac:dyDescent="0.25">
      <c r="A3772" s="139" t="s">
        <v>8927</v>
      </c>
      <c r="B3772" s="139" t="s">
        <v>564</v>
      </c>
      <c r="C3772" s="139" t="s">
        <v>65</v>
      </c>
      <c r="D3772" s="139" t="s">
        <v>8928</v>
      </c>
    </row>
    <row r="3773" spans="1:4" x14ac:dyDescent="0.25">
      <c r="A3773" s="139" t="s">
        <v>8929</v>
      </c>
      <c r="B3773" s="139" t="s">
        <v>564</v>
      </c>
      <c r="C3773" s="139" t="s">
        <v>65</v>
      </c>
      <c r="D3773" s="139" t="s">
        <v>8930</v>
      </c>
    </row>
    <row r="3774" spans="1:4" x14ac:dyDescent="0.25">
      <c r="A3774" s="139" t="s">
        <v>8931</v>
      </c>
      <c r="B3774" s="139" t="s">
        <v>360</v>
      </c>
      <c r="C3774" s="139" t="s">
        <v>65</v>
      </c>
      <c r="D3774" s="139" t="s">
        <v>8932</v>
      </c>
    </row>
    <row r="3775" spans="1:4" x14ac:dyDescent="0.25">
      <c r="A3775" s="139" t="s">
        <v>8933</v>
      </c>
      <c r="B3775" s="139" t="s">
        <v>360</v>
      </c>
      <c r="C3775" s="139" t="s">
        <v>65</v>
      </c>
      <c r="D3775" s="139" t="s">
        <v>8934</v>
      </c>
    </row>
    <row r="3776" spans="1:4" x14ac:dyDescent="0.25">
      <c r="A3776" s="139" t="s">
        <v>8935</v>
      </c>
      <c r="B3776" s="139" t="s">
        <v>8936</v>
      </c>
      <c r="C3776" s="139" t="s">
        <v>127</v>
      </c>
      <c r="D3776" s="139" t="s">
        <v>8937</v>
      </c>
    </row>
    <row r="3777" spans="1:4" x14ac:dyDescent="0.25">
      <c r="A3777" s="139" t="s">
        <v>8938</v>
      </c>
      <c r="B3777" s="139" t="s">
        <v>8936</v>
      </c>
      <c r="C3777" s="139" t="s">
        <v>127</v>
      </c>
      <c r="D3777" s="139" t="s">
        <v>8939</v>
      </c>
    </row>
    <row r="3778" spans="1:4" x14ac:dyDescent="0.25">
      <c r="A3778" s="139" t="s">
        <v>8940</v>
      </c>
      <c r="B3778" s="139" t="s">
        <v>8941</v>
      </c>
      <c r="C3778" s="139" t="s">
        <v>127</v>
      </c>
      <c r="D3778" s="139" t="s">
        <v>8942</v>
      </c>
    </row>
    <row r="3779" spans="1:4" x14ac:dyDescent="0.25">
      <c r="A3779" s="139" t="s">
        <v>8943</v>
      </c>
      <c r="B3779" s="139" t="s">
        <v>8941</v>
      </c>
      <c r="C3779" s="139" t="s">
        <v>127</v>
      </c>
      <c r="D3779" s="139" t="s">
        <v>8944</v>
      </c>
    </row>
    <row r="3780" spans="1:4" x14ac:dyDescent="0.25">
      <c r="A3780" s="139" t="s">
        <v>8945</v>
      </c>
      <c r="B3780" s="139" t="s">
        <v>5236</v>
      </c>
      <c r="C3780" s="139" t="s">
        <v>127</v>
      </c>
      <c r="D3780" s="139" t="s">
        <v>8946</v>
      </c>
    </row>
    <row r="3781" spans="1:4" x14ac:dyDescent="0.25">
      <c r="A3781" s="139" t="s">
        <v>8947</v>
      </c>
      <c r="B3781" s="139" t="s">
        <v>5236</v>
      </c>
      <c r="C3781" s="139" t="s">
        <v>127</v>
      </c>
      <c r="D3781" s="139" t="s">
        <v>8948</v>
      </c>
    </row>
    <row r="3782" spans="1:4" x14ac:dyDescent="0.25">
      <c r="A3782" s="139" t="s">
        <v>8949</v>
      </c>
      <c r="B3782" s="139" t="s">
        <v>3467</v>
      </c>
      <c r="C3782" s="139" t="s">
        <v>127</v>
      </c>
      <c r="D3782" s="139" t="s">
        <v>8950</v>
      </c>
    </row>
    <row r="3783" spans="1:4" x14ac:dyDescent="0.25">
      <c r="A3783" s="139" t="s">
        <v>8951</v>
      </c>
      <c r="B3783" s="139" t="s">
        <v>3467</v>
      </c>
      <c r="C3783" s="139" t="s">
        <v>127</v>
      </c>
      <c r="D3783" s="139" t="s">
        <v>8952</v>
      </c>
    </row>
    <row r="3784" spans="1:4" x14ac:dyDescent="0.25">
      <c r="A3784" s="139" t="s">
        <v>8953</v>
      </c>
      <c r="B3784" s="139" t="s">
        <v>8954</v>
      </c>
      <c r="C3784" s="139" t="s">
        <v>33</v>
      </c>
      <c r="D3784" s="139" t="s">
        <v>8955</v>
      </c>
    </row>
    <row r="3785" spans="1:4" x14ac:dyDescent="0.25">
      <c r="A3785" s="139" t="s">
        <v>8956</v>
      </c>
      <c r="B3785" s="139" t="s">
        <v>8954</v>
      </c>
      <c r="C3785" s="139" t="s">
        <v>33</v>
      </c>
      <c r="D3785" s="139" t="s">
        <v>8957</v>
      </c>
    </row>
    <row r="3786" spans="1:4" x14ac:dyDescent="0.25">
      <c r="A3786" s="139" t="s">
        <v>8958</v>
      </c>
      <c r="B3786" s="139" t="s">
        <v>8959</v>
      </c>
      <c r="C3786" s="139" t="s">
        <v>33</v>
      </c>
      <c r="D3786" s="139" t="s">
        <v>8960</v>
      </c>
    </row>
    <row r="3787" spans="1:4" x14ac:dyDescent="0.25">
      <c r="A3787" s="139" t="s">
        <v>8961</v>
      </c>
      <c r="B3787" s="139" t="s">
        <v>8959</v>
      </c>
      <c r="C3787" s="139" t="s">
        <v>33</v>
      </c>
      <c r="D3787" s="139" t="s">
        <v>8962</v>
      </c>
    </row>
    <row r="3788" spans="1:4" x14ac:dyDescent="0.25">
      <c r="A3788" s="139" t="s">
        <v>8963</v>
      </c>
      <c r="B3788" s="139" t="s">
        <v>8964</v>
      </c>
      <c r="C3788" s="139" t="s">
        <v>33</v>
      </c>
      <c r="D3788" s="139" t="s">
        <v>8965</v>
      </c>
    </row>
    <row r="3789" spans="1:4" x14ac:dyDescent="0.25">
      <c r="A3789" s="139" t="s">
        <v>8966</v>
      </c>
      <c r="B3789" s="139" t="s">
        <v>8964</v>
      </c>
      <c r="C3789" s="139" t="s">
        <v>33</v>
      </c>
      <c r="D3789" s="139" t="s">
        <v>8967</v>
      </c>
    </row>
    <row r="3790" spans="1:4" x14ac:dyDescent="0.25">
      <c r="A3790" s="139" t="s">
        <v>8968</v>
      </c>
      <c r="B3790" s="139" t="s">
        <v>8969</v>
      </c>
      <c r="C3790" s="139" t="s">
        <v>33</v>
      </c>
      <c r="D3790" s="139" t="s">
        <v>8970</v>
      </c>
    </row>
    <row r="3791" spans="1:4" x14ac:dyDescent="0.25">
      <c r="A3791" s="139" t="s">
        <v>8971</v>
      </c>
      <c r="B3791" s="139" t="s">
        <v>8969</v>
      </c>
      <c r="C3791" s="139" t="s">
        <v>33</v>
      </c>
      <c r="D3791" s="139" t="s">
        <v>8972</v>
      </c>
    </row>
    <row r="3792" spans="1:4" x14ac:dyDescent="0.25">
      <c r="A3792" s="139" t="s">
        <v>8973</v>
      </c>
      <c r="B3792" s="139" t="s">
        <v>8974</v>
      </c>
      <c r="C3792" s="139" t="s">
        <v>33</v>
      </c>
      <c r="D3792" s="139" t="s">
        <v>8975</v>
      </c>
    </row>
    <row r="3793" spans="1:4" x14ac:dyDescent="0.25">
      <c r="A3793" s="139" t="s">
        <v>8976</v>
      </c>
      <c r="B3793" s="139" t="s">
        <v>8974</v>
      </c>
      <c r="C3793" s="139" t="s">
        <v>33</v>
      </c>
      <c r="D3793" s="139" t="s">
        <v>8977</v>
      </c>
    </row>
    <row r="3794" spans="1:4" x14ac:dyDescent="0.25">
      <c r="A3794" s="139" t="s">
        <v>8978</v>
      </c>
      <c r="B3794" s="139" t="s">
        <v>8979</v>
      </c>
      <c r="C3794" s="139" t="s">
        <v>33</v>
      </c>
      <c r="D3794" s="139" t="s">
        <v>8980</v>
      </c>
    </row>
    <row r="3795" spans="1:4" x14ac:dyDescent="0.25">
      <c r="A3795" s="139" t="s">
        <v>8981</v>
      </c>
      <c r="B3795" s="139" t="s">
        <v>8979</v>
      </c>
      <c r="C3795" s="139" t="s">
        <v>33</v>
      </c>
      <c r="D3795" s="139" t="s">
        <v>8982</v>
      </c>
    </row>
    <row r="3796" spans="1:4" x14ac:dyDescent="0.25">
      <c r="A3796" s="139" t="s">
        <v>8983</v>
      </c>
      <c r="B3796" s="139" t="s">
        <v>8984</v>
      </c>
      <c r="C3796" s="139" t="s">
        <v>33</v>
      </c>
      <c r="D3796" s="139" t="s">
        <v>8985</v>
      </c>
    </row>
    <row r="3797" spans="1:4" x14ac:dyDescent="0.25">
      <c r="A3797" s="139" t="s">
        <v>8986</v>
      </c>
      <c r="B3797" s="139" t="s">
        <v>8984</v>
      </c>
      <c r="C3797" s="139" t="s">
        <v>33</v>
      </c>
      <c r="D3797" s="139" t="s">
        <v>8987</v>
      </c>
    </row>
    <row r="3798" spans="1:4" x14ac:dyDescent="0.25">
      <c r="A3798" s="139" t="s">
        <v>8988</v>
      </c>
      <c r="B3798" s="139" t="s">
        <v>8989</v>
      </c>
      <c r="C3798" s="139" t="s">
        <v>33</v>
      </c>
      <c r="D3798" s="139" t="s">
        <v>8990</v>
      </c>
    </row>
    <row r="3799" spans="1:4" x14ac:dyDescent="0.25">
      <c r="A3799" s="139" t="s">
        <v>8991</v>
      </c>
      <c r="B3799" s="139" t="s">
        <v>8989</v>
      </c>
      <c r="C3799" s="139" t="s">
        <v>33</v>
      </c>
      <c r="D3799" s="139" t="s">
        <v>8992</v>
      </c>
    </row>
    <row r="3800" spans="1:4" x14ac:dyDescent="0.25">
      <c r="A3800" s="139" t="s">
        <v>8993</v>
      </c>
      <c r="B3800" s="139" t="s">
        <v>8994</v>
      </c>
      <c r="C3800" s="139" t="s">
        <v>33</v>
      </c>
      <c r="D3800" s="139" t="s">
        <v>8995</v>
      </c>
    </row>
    <row r="3801" spans="1:4" x14ac:dyDescent="0.25">
      <c r="A3801" s="139" t="s">
        <v>8996</v>
      </c>
      <c r="B3801" s="139" t="s">
        <v>8994</v>
      </c>
      <c r="C3801" s="139" t="s">
        <v>33</v>
      </c>
      <c r="D3801" s="139" t="s">
        <v>8997</v>
      </c>
    </row>
    <row r="3802" spans="1:4" x14ac:dyDescent="0.25">
      <c r="A3802" s="139" t="s">
        <v>8998</v>
      </c>
      <c r="B3802" s="139" t="s">
        <v>154</v>
      </c>
      <c r="C3802" s="139" t="s">
        <v>33</v>
      </c>
      <c r="D3802" s="139" t="s">
        <v>8999</v>
      </c>
    </row>
    <row r="3803" spans="1:4" x14ac:dyDescent="0.25">
      <c r="A3803" s="139" t="s">
        <v>9000</v>
      </c>
      <c r="B3803" s="139" t="s">
        <v>154</v>
      </c>
      <c r="C3803" s="139" t="s">
        <v>33</v>
      </c>
      <c r="D3803" s="139" t="s">
        <v>9001</v>
      </c>
    </row>
    <row r="3804" spans="1:4" x14ac:dyDescent="0.25">
      <c r="A3804" s="139" t="s">
        <v>9002</v>
      </c>
      <c r="B3804" s="139" t="s">
        <v>9003</v>
      </c>
      <c r="C3804" s="139" t="s">
        <v>33</v>
      </c>
      <c r="D3804" s="139" t="s">
        <v>9004</v>
      </c>
    </row>
    <row r="3805" spans="1:4" x14ac:dyDescent="0.25">
      <c r="A3805" s="139" t="s">
        <v>9005</v>
      </c>
      <c r="B3805" s="139" t="s">
        <v>9003</v>
      </c>
      <c r="C3805" s="139" t="s">
        <v>33</v>
      </c>
      <c r="D3805" s="139" t="s">
        <v>9006</v>
      </c>
    </row>
    <row r="3806" spans="1:4" x14ac:dyDescent="0.25">
      <c r="A3806" s="139" t="s">
        <v>9007</v>
      </c>
      <c r="B3806" s="139" t="s">
        <v>9008</v>
      </c>
      <c r="C3806" s="139" t="s">
        <v>33</v>
      </c>
      <c r="D3806" s="139" t="s">
        <v>9009</v>
      </c>
    </row>
    <row r="3807" spans="1:4" x14ac:dyDescent="0.25">
      <c r="A3807" s="139" t="s">
        <v>9010</v>
      </c>
      <c r="B3807" s="139" t="s">
        <v>9008</v>
      </c>
      <c r="C3807" s="139" t="s">
        <v>33</v>
      </c>
      <c r="D3807" s="139" t="s">
        <v>9011</v>
      </c>
    </row>
    <row r="3808" spans="1:4" x14ac:dyDescent="0.25">
      <c r="A3808" s="139" t="s">
        <v>9012</v>
      </c>
      <c r="B3808" s="139" t="s">
        <v>9013</v>
      </c>
      <c r="C3808" s="139" t="s">
        <v>33</v>
      </c>
      <c r="D3808" s="139" t="s">
        <v>9014</v>
      </c>
    </row>
    <row r="3809" spans="1:4" x14ac:dyDescent="0.25">
      <c r="A3809" s="139" t="s">
        <v>9015</v>
      </c>
      <c r="B3809" s="139" t="s">
        <v>9013</v>
      </c>
      <c r="C3809" s="139" t="s">
        <v>33</v>
      </c>
      <c r="D3809" s="139" t="s">
        <v>9016</v>
      </c>
    </row>
    <row r="3810" spans="1:4" x14ac:dyDescent="0.25">
      <c r="A3810" s="139" t="s">
        <v>9017</v>
      </c>
      <c r="B3810" s="139" t="s">
        <v>9018</v>
      </c>
      <c r="C3810" s="139" t="s">
        <v>33</v>
      </c>
      <c r="D3810" s="139" t="s">
        <v>9019</v>
      </c>
    </row>
    <row r="3811" spans="1:4" x14ac:dyDescent="0.25">
      <c r="A3811" s="139" t="s">
        <v>9020</v>
      </c>
      <c r="B3811" s="139" t="s">
        <v>9018</v>
      </c>
      <c r="C3811" s="139" t="s">
        <v>33</v>
      </c>
      <c r="D3811" s="139" t="s">
        <v>9021</v>
      </c>
    </row>
    <row r="3812" spans="1:4" x14ac:dyDescent="0.25">
      <c r="A3812" s="139" t="s">
        <v>9022</v>
      </c>
      <c r="B3812" s="139" t="s">
        <v>9023</v>
      </c>
      <c r="C3812" s="139" t="s">
        <v>33</v>
      </c>
      <c r="D3812" s="139" t="s">
        <v>9024</v>
      </c>
    </row>
    <row r="3813" spans="1:4" x14ac:dyDescent="0.25">
      <c r="A3813" s="139" t="s">
        <v>9025</v>
      </c>
      <c r="B3813" s="139" t="s">
        <v>9023</v>
      </c>
      <c r="C3813" s="139" t="s">
        <v>33</v>
      </c>
      <c r="D3813" s="139" t="s">
        <v>9026</v>
      </c>
    </row>
    <row r="3814" spans="1:4" x14ac:dyDescent="0.25">
      <c r="A3814" s="139" t="s">
        <v>9027</v>
      </c>
      <c r="B3814" s="139" t="s">
        <v>9028</v>
      </c>
      <c r="C3814" s="139" t="s">
        <v>65</v>
      </c>
      <c r="D3814" s="139" t="s">
        <v>9029</v>
      </c>
    </row>
    <row r="3815" spans="1:4" x14ac:dyDescent="0.25">
      <c r="A3815" s="139" t="s">
        <v>9030</v>
      </c>
      <c r="B3815" s="139" t="s">
        <v>9028</v>
      </c>
      <c r="C3815" s="139" t="s">
        <v>65</v>
      </c>
      <c r="D3815" s="139" t="s">
        <v>9031</v>
      </c>
    </row>
    <row r="3816" spans="1:4" x14ac:dyDescent="0.25">
      <c r="A3816" s="139" t="s">
        <v>9032</v>
      </c>
      <c r="B3816" s="139" t="s">
        <v>9033</v>
      </c>
      <c r="C3816" s="139" t="s">
        <v>65</v>
      </c>
      <c r="D3816" s="139" t="s">
        <v>9034</v>
      </c>
    </row>
    <row r="3817" spans="1:4" x14ac:dyDescent="0.25">
      <c r="A3817" s="139" t="s">
        <v>9035</v>
      </c>
      <c r="B3817" s="139" t="s">
        <v>9033</v>
      </c>
      <c r="C3817" s="139" t="s">
        <v>65</v>
      </c>
      <c r="D3817" s="139" t="s">
        <v>9036</v>
      </c>
    </row>
    <row r="3818" spans="1:4" x14ac:dyDescent="0.25">
      <c r="A3818" s="139" t="s">
        <v>9037</v>
      </c>
      <c r="B3818" s="139" t="s">
        <v>9038</v>
      </c>
      <c r="C3818" s="139" t="s">
        <v>44</v>
      </c>
      <c r="D3818" s="139" t="s">
        <v>9039</v>
      </c>
    </row>
    <row r="3819" spans="1:4" x14ac:dyDescent="0.25">
      <c r="A3819" s="139" t="s">
        <v>9040</v>
      </c>
      <c r="B3819" s="139" t="s">
        <v>9038</v>
      </c>
      <c r="C3819" s="139" t="s">
        <v>44</v>
      </c>
      <c r="D3819" s="139" t="s">
        <v>9041</v>
      </c>
    </row>
    <row r="3820" spans="1:4" x14ac:dyDescent="0.25">
      <c r="A3820" s="139" t="s">
        <v>9042</v>
      </c>
      <c r="B3820" s="139" t="s">
        <v>9043</v>
      </c>
      <c r="C3820" s="139" t="s">
        <v>33</v>
      </c>
      <c r="D3820" s="139" t="s">
        <v>9044</v>
      </c>
    </row>
    <row r="3821" spans="1:4" x14ac:dyDescent="0.25">
      <c r="A3821" s="139" t="s">
        <v>9045</v>
      </c>
      <c r="B3821" s="139" t="s">
        <v>9043</v>
      </c>
      <c r="C3821" s="139" t="s">
        <v>33</v>
      </c>
      <c r="D3821" s="139" t="s">
        <v>9046</v>
      </c>
    </row>
    <row r="3822" spans="1:4" x14ac:dyDescent="0.25">
      <c r="A3822" s="139" t="s">
        <v>9047</v>
      </c>
      <c r="B3822" s="139" t="s">
        <v>9048</v>
      </c>
      <c r="C3822" s="139" t="s">
        <v>44</v>
      </c>
      <c r="D3822" s="139" t="s">
        <v>9049</v>
      </c>
    </row>
    <row r="3823" spans="1:4" x14ac:dyDescent="0.25">
      <c r="A3823" s="139" t="s">
        <v>9050</v>
      </c>
      <c r="B3823" s="139" t="s">
        <v>9048</v>
      </c>
      <c r="C3823" s="139" t="s">
        <v>44</v>
      </c>
      <c r="D3823" s="139" t="s">
        <v>9051</v>
      </c>
    </row>
    <row r="3824" spans="1:4" x14ac:dyDescent="0.25">
      <c r="A3824" s="139" t="s">
        <v>9052</v>
      </c>
      <c r="B3824" s="139" t="s">
        <v>9053</v>
      </c>
      <c r="C3824" s="139" t="s">
        <v>44</v>
      </c>
      <c r="D3824" s="139" t="s">
        <v>9054</v>
      </c>
    </row>
    <row r="3825" spans="1:4" x14ac:dyDescent="0.25">
      <c r="A3825" s="139" t="s">
        <v>9055</v>
      </c>
      <c r="B3825" s="139" t="s">
        <v>9053</v>
      </c>
      <c r="C3825" s="139" t="s">
        <v>44</v>
      </c>
      <c r="D3825" s="139" t="s">
        <v>9056</v>
      </c>
    </row>
    <row r="3826" spans="1:4" x14ac:dyDescent="0.25">
      <c r="A3826" s="139" t="s">
        <v>9057</v>
      </c>
      <c r="B3826" s="139" t="s">
        <v>9058</v>
      </c>
      <c r="C3826" s="139" t="s">
        <v>123</v>
      </c>
      <c r="D3826" s="139" t="s">
        <v>9059</v>
      </c>
    </row>
    <row r="3827" spans="1:4" x14ac:dyDescent="0.25">
      <c r="A3827" s="139" t="s">
        <v>9060</v>
      </c>
      <c r="B3827" s="139" t="s">
        <v>9058</v>
      </c>
      <c r="C3827" s="139" t="s">
        <v>123</v>
      </c>
      <c r="D3827" s="139" t="s">
        <v>9061</v>
      </c>
    </row>
    <row r="3828" spans="1:4" x14ac:dyDescent="0.25">
      <c r="A3828" s="139" t="s">
        <v>9062</v>
      </c>
      <c r="B3828" s="139" t="s">
        <v>4437</v>
      </c>
      <c r="C3828" s="139" t="s">
        <v>123</v>
      </c>
      <c r="D3828" s="139" t="s">
        <v>9063</v>
      </c>
    </row>
    <row r="3829" spans="1:4" x14ac:dyDescent="0.25">
      <c r="A3829" s="139" t="s">
        <v>9064</v>
      </c>
      <c r="B3829" s="139" t="s">
        <v>4437</v>
      </c>
      <c r="C3829" s="139" t="s">
        <v>123</v>
      </c>
      <c r="D3829" s="139" t="s">
        <v>9065</v>
      </c>
    </row>
    <row r="3830" spans="1:4" x14ac:dyDescent="0.25">
      <c r="A3830" s="139" t="s">
        <v>9066</v>
      </c>
      <c r="B3830" s="139" t="s">
        <v>9067</v>
      </c>
      <c r="C3830" s="139" t="s">
        <v>44</v>
      </c>
      <c r="D3830" s="139" t="s">
        <v>9068</v>
      </c>
    </row>
    <row r="3831" spans="1:4" x14ac:dyDescent="0.25">
      <c r="A3831" s="139" t="s">
        <v>9069</v>
      </c>
      <c r="B3831" s="139" t="s">
        <v>9067</v>
      </c>
      <c r="C3831" s="139" t="s">
        <v>44</v>
      </c>
      <c r="D3831" s="139" t="s">
        <v>9070</v>
      </c>
    </row>
    <row r="3832" spans="1:4" x14ac:dyDescent="0.25">
      <c r="A3832" s="139" t="s">
        <v>9071</v>
      </c>
      <c r="B3832" s="139" t="s">
        <v>4542</v>
      </c>
      <c r="C3832" s="139" t="s">
        <v>123</v>
      </c>
      <c r="D3832" s="139" t="s">
        <v>9072</v>
      </c>
    </row>
    <row r="3833" spans="1:4" x14ac:dyDescent="0.25">
      <c r="A3833" s="139" t="s">
        <v>9073</v>
      </c>
      <c r="B3833" s="139" t="s">
        <v>4542</v>
      </c>
      <c r="C3833" s="139" t="s">
        <v>123</v>
      </c>
      <c r="D3833" s="139" t="s">
        <v>9074</v>
      </c>
    </row>
    <row r="3834" spans="1:4" x14ac:dyDescent="0.25">
      <c r="A3834" s="139" t="s">
        <v>9075</v>
      </c>
      <c r="B3834" s="139" t="s">
        <v>4401</v>
      </c>
      <c r="C3834" s="139" t="s">
        <v>123</v>
      </c>
      <c r="D3834" s="139" t="s">
        <v>9076</v>
      </c>
    </row>
    <row r="3835" spans="1:4" x14ac:dyDescent="0.25">
      <c r="A3835" s="139" t="s">
        <v>9077</v>
      </c>
      <c r="B3835" s="139" t="s">
        <v>4401</v>
      </c>
      <c r="C3835" s="139" t="s">
        <v>123</v>
      </c>
      <c r="D3835" s="139" t="s">
        <v>9078</v>
      </c>
    </row>
    <row r="3836" spans="1:4" x14ac:dyDescent="0.25">
      <c r="A3836" s="139" t="s">
        <v>9079</v>
      </c>
      <c r="B3836" s="139" t="s">
        <v>9080</v>
      </c>
      <c r="C3836" s="139" t="s">
        <v>33</v>
      </c>
      <c r="D3836" s="139" t="s">
        <v>9081</v>
      </c>
    </row>
    <row r="3837" spans="1:4" x14ac:dyDescent="0.25">
      <c r="A3837" s="139" t="s">
        <v>9082</v>
      </c>
      <c r="B3837" s="139" t="s">
        <v>9080</v>
      </c>
      <c r="C3837" s="139" t="s">
        <v>33</v>
      </c>
      <c r="D3837" s="139" t="s">
        <v>9083</v>
      </c>
    </row>
    <row r="3838" spans="1:4" x14ac:dyDescent="0.25">
      <c r="A3838" s="139" t="s">
        <v>9084</v>
      </c>
      <c r="B3838" s="139" t="s">
        <v>9085</v>
      </c>
      <c r="C3838" s="139" t="s">
        <v>33</v>
      </c>
      <c r="D3838" s="139" t="s">
        <v>9086</v>
      </c>
    </row>
    <row r="3839" spans="1:4" x14ac:dyDescent="0.25">
      <c r="A3839" s="139" t="s">
        <v>9087</v>
      </c>
      <c r="B3839" s="139" t="s">
        <v>9085</v>
      </c>
      <c r="C3839" s="139" t="s">
        <v>33</v>
      </c>
      <c r="D3839" s="139" t="s">
        <v>9088</v>
      </c>
    </row>
    <row r="3840" spans="1:4" x14ac:dyDescent="0.25">
      <c r="A3840" s="139" t="s">
        <v>9089</v>
      </c>
      <c r="B3840" s="139" t="s">
        <v>9090</v>
      </c>
      <c r="C3840" s="139" t="s">
        <v>33</v>
      </c>
      <c r="D3840" s="139" t="s">
        <v>9091</v>
      </c>
    </row>
    <row r="3841" spans="1:4" x14ac:dyDescent="0.25">
      <c r="A3841" s="139" t="s">
        <v>9092</v>
      </c>
      <c r="B3841" s="139" t="s">
        <v>9090</v>
      </c>
      <c r="C3841" s="139" t="s">
        <v>33</v>
      </c>
      <c r="D3841" s="139" t="s">
        <v>9093</v>
      </c>
    </row>
    <row r="3842" spans="1:4" x14ac:dyDescent="0.25">
      <c r="A3842" s="139" t="s">
        <v>9094</v>
      </c>
      <c r="B3842" s="139" t="s">
        <v>2513</v>
      </c>
      <c r="C3842" s="139" t="s">
        <v>33</v>
      </c>
      <c r="D3842" s="139" t="s">
        <v>9095</v>
      </c>
    </row>
    <row r="3843" spans="1:4" x14ac:dyDescent="0.25">
      <c r="A3843" s="139" t="s">
        <v>9096</v>
      </c>
      <c r="B3843" s="139" t="s">
        <v>2513</v>
      </c>
      <c r="C3843" s="139" t="s">
        <v>33</v>
      </c>
      <c r="D3843" s="139" t="s">
        <v>9097</v>
      </c>
    </row>
    <row r="3844" spans="1:4" x14ac:dyDescent="0.25">
      <c r="A3844" s="139" t="s">
        <v>9098</v>
      </c>
      <c r="B3844" s="139" t="s">
        <v>343</v>
      </c>
      <c r="C3844" s="139" t="s">
        <v>33</v>
      </c>
      <c r="D3844" s="139" t="s">
        <v>9099</v>
      </c>
    </row>
    <row r="3845" spans="1:4" x14ac:dyDescent="0.25">
      <c r="A3845" s="139" t="s">
        <v>9100</v>
      </c>
      <c r="B3845" s="139" t="s">
        <v>343</v>
      </c>
      <c r="C3845" s="139" t="s">
        <v>33</v>
      </c>
      <c r="D3845" s="139" t="s">
        <v>9101</v>
      </c>
    </row>
    <row r="3846" spans="1:4" x14ac:dyDescent="0.25">
      <c r="A3846" s="139" t="s">
        <v>9102</v>
      </c>
      <c r="B3846" s="139" t="s">
        <v>5392</v>
      </c>
      <c r="C3846" s="139" t="s">
        <v>33</v>
      </c>
      <c r="D3846" s="139" t="s">
        <v>9103</v>
      </c>
    </row>
    <row r="3847" spans="1:4" x14ac:dyDescent="0.25">
      <c r="A3847" s="139" t="s">
        <v>9104</v>
      </c>
      <c r="B3847" s="139" t="s">
        <v>5392</v>
      </c>
      <c r="C3847" s="139" t="s">
        <v>33</v>
      </c>
      <c r="D3847" s="139" t="s">
        <v>9105</v>
      </c>
    </row>
    <row r="3848" spans="1:4" x14ac:dyDescent="0.25">
      <c r="A3848" s="139" t="s">
        <v>9106</v>
      </c>
      <c r="B3848" s="139" t="s">
        <v>3941</v>
      </c>
      <c r="C3848" s="139" t="s">
        <v>33</v>
      </c>
      <c r="D3848" s="139" t="s">
        <v>9107</v>
      </c>
    </row>
    <row r="3849" spans="1:4" x14ac:dyDescent="0.25">
      <c r="A3849" s="139" t="s">
        <v>9108</v>
      </c>
      <c r="B3849" s="139" t="s">
        <v>3941</v>
      </c>
      <c r="C3849" s="139" t="s">
        <v>33</v>
      </c>
      <c r="D3849" s="139" t="s">
        <v>9109</v>
      </c>
    </row>
    <row r="3850" spans="1:4" x14ac:dyDescent="0.25">
      <c r="A3850" s="139" t="s">
        <v>9110</v>
      </c>
      <c r="B3850" s="139" t="s">
        <v>4953</v>
      </c>
      <c r="C3850" s="139" t="s">
        <v>33</v>
      </c>
      <c r="D3850" s="139" t="s">
        <v>9111</v>
      </c>
    </row>
    <row r="3851" spans="1:4" x14ac:dyDescent="0.25">
      <c r="A3851" s="139" t="s">
        <v>9112</v>
      </c>
      <c r="B3851" s="139" t="s">
        <v>4953</v>
      </c>
      <c r="C3851" s="139" t="s">
        <v>33</v>
      </c>
      <c r="D3851" s="139" t="s">
        <v>9113</v>
      </c>
    </row>
    <row r="3852" spans="1:4" x14ac:dyDescent="0.25">
      <c r="A3852" s="139" t="s">
        <v>9114</v>
      </c>
      <c r="B3852" s="139" t="s">
        <v>329</v>
      </c>
      <c r="C3852" s="139" t="s">
        <v>33</v>
      </c>
      <c r="D3852" s="139" t="s">
        <v>9115</v>
      </c>
    </row>
    <row r="3853" spans="1:4" x14ac:dyDescent="0.25">
      <c r="A3853" s="139" t="s">
        <v>9116</v>
      </c>
      <c r="B3853" s="139" t="s">
        <v>329</v>
      </c>
      <c r="C3853" s="139" t="s">
        <v>33</v>
      </c>
      <c r="D3853" s="139" t="s">
        <v>9117</v>
      </c>
    </row>
    <row r="3854" spans="1:4" x14ac:dyDescent="0.25">
      <c r="A3854" s="139" t="s">
        <v>9118</v>
      </c>
      <c r="B3854" s="139" t="s">
        <v>3602</v>
      </c>
      <c r="C3854" s="139" t="s">
        <v>33</v>
      </c>
      <c r="D3854" s="139" t="s">
        <v>9119</v>
      </c>
    </row>
    <row r="3855" spans="1:4" x14ac:dyDescent="0.25">
      <c r="A3855" s="139" t="s">
        <v>9120</v>
      </c>
      <c r="B3855" s="139" t="s">
        <v>3602</v>
      </c>
      <c r="C3855" s="139" t="s">
        <v>33</v>
      </c>
      <c r="D3855" s="139" t="s">
        <v>9121</v>
      </c>
    </row>
    <row r="3856" spans="1:4" x14ac:dyDescent="0.25">
      <c r="A3856" s="139" t="s">
        <v>9122</v>
      </c>
      <c r="B3856" s="139" t="s">
        <v>4537</v>
      </c>
      <c r="C3856" s="139" t="s">
        <v>33</v>
      </c>
      <c r="D3856" s="139" t="s">
        <v>9123</v>
      </c>
    </row>
    <row r="3857" spans="1:4" x14ac:dyDescent="0.25">
      <c r="A3857" s="139" t="s">
        <v>9124</v>
      </c>
      <c r="B3857" s="139" t="s">
        <v>4537</v>
      </c>
      <c r="C3857" s="139" t="s">
        <v>33</v>
      </c>
      <c r="D3857" s="139" t="s">
        <v>9125</v>
      </c>
    </row>
    <row r="3858" spans="1:4" x14ac:dyDescent="0.25">
      <c r="A3858" s="139" t="s">
        <v>9126</v>
      </c>
      <c r="B3858" s="139" t="s">
        <v>9127</v>
      </c>
      <c r="C3858" s="139" t="s">
        <v>1683</v>
      </c>
      <c r="D3858" s="139" t="s">
        <v>9128</v>
      </c>
    </row>
    <row r="3859" spans="1:4" x14ac:dyDescent="0.25">
      <c r="A3859" s="139" t="s">
        <v>9129</v>
      </c>
      <c r="B3859" s="139" t="s">
        <v>9127</v>
      </c>
      <c r="C3859" s="139" t="s">
        <v>1683</v>
      </c>
      <c r="D3859" s="139" t="s">
        <v>9130</v>
      </c>
    </row>
    <row r="3860" spans="1:4" x14ac:dyDescent="0.25">
      <c r="A3860" s="139" t="s">
        <v>9131</v>
      </c>
      <c r="B3860" s="139" t="s">
        <v>8220</v>
      </c>
      <c r="C3860" s="139" t="s">
        <v>1683</v>
      </c>
      <c r="D3860" s="139" t="s">
        <v>9132</v>
      </c>
    </row>
    <row r="3861" spans="1:4" x14ac:dyDescent="0.25">
      <c r="A3861" s="139" t="s">
        <v>9133</v>
      </c>
      <c r="B3861" s="139" t="s">
        <v>8220</v>
      </c>
      <c r="C3861" s="139" t="s">
        <v>1683</v>
      </c>
      <c r="D3861" s="139" t="s">
        <v>9134</v>
      </c>
    </row>
    <row r="3862" spans="1:4" x14ac:dyDescent="0.25">
      <c r="A3862" s="139" t="s">
        <v>9135</v>
      </c>
      <c r="B3862" s="139" t="s">
        <v>9136</v>
      </c>
      <c r="C3862" s="139" t="s">
        <v>1683</v>
      </c>
      <c r="D3862" s="139" t="s">
        <v>9137</v>
      </c>
    </row>
    <row r="3863" spans="1:4" x14ac:dyDescent="0.25">
      <c r="A3863" s="139" t="s">
        <v>9138</v>
      </c>
      <c r="B3863" s="139" t="s">
        <v>9136</v>
      </c>
      <c r="C3863" s="139" t="s">
        <v>1683</v>
      </c>
      <c r="D3863" s="139" t="s">
        <v>9139</v>
      </c>
    </row>
    <row r="3864" spans="1:4" x14ac:dyDescent="0.25">
      <c r="A3864" s="139" t="s">
        <v>9140</v>
      </c>
      <c r="B3864" s="139" t="s">
        <v>5631</v>
      </c>
      <c r="C3864" s="139" t="s">
        <v>1683</v>
      </c>
      <c r="D3864" s="139" t="s">
        <v>9141</v>
      </c>
    </row>
    <row r="3865" spans="1:4" x14ac:dyDescent="0.25">
      <c r="A3865" s="139" t="s">
        <v>9142</v>
      </c>
      <c r="B3865" s="139" t="s">
        <v>5631</v>
      </c>
      <c r="C3865" s="139" t="s">
        <v>1683</v>
      </c>
      <c r="D3865" s="139" t="s">
        <v>9143</v>
      </c>
    </row>
    <row r="3866" spans="1:4" x14ac:dyDescent="0.25">
      <c r="A3866" s="139" t="s">
        <v>9144</v>
      </c>
      <c r="B3866" s="139" t="s">
        <v>9145</v>
      </c>
      <c r="C3866" s="139" t="s">
        <v>1683</v>
      </c>
      <c r="D3866" s="139" t="s">
        <v>9146</v>
      </c>
    </row>
    <row r="3867" spans="1:4" x14ac:dyDescent="0.25">
      <c r="A3867" s="139" t="s">
        <v>9147</v>
      </c>
      <c r="B3867" s="139" t="s">
        <v>9145</v>
      </c>
      <c r="C3867" s="139" t="s">
        <v>1683</v>
      </c>
      <c r="D3867" s="139" t="s">
        <v>9148</v>
      </c>
    </row>
    <row r="3868" spans="1:4" x14ac:dyDescent="0.25">
      <c r="A3868" s="139" t="s">
        <v>9149</v>
      </c>
      <c r="B3868" s="139" t="s">
        <v>9150</v>
      </c>
      <c r="C3868" s="139" t="s">
        <v>1683</v>
      </c>
      <c r="D3868" s="139" t="s">
        <v>9151</v>
      </c>
    </row>
    <row r="3869" spans="1:4" x14ac:dyDescent="0.25">
      <c r="A3869" s="139" t="s">
        <v>9152</v>
      </c>
      <c r="B3869" s="139" t="s">
        <v>9150</v>
      </c>
      <c r="C3869" s="139" t="s">
        <v>1683</v>
      </c>
      <c r="D3869" s="139" t="s">
        <v>9153</v>
      </c>
    </row>
    <row r="3870" spans="1:4" x14ac:dyDescent="0.25">
      <c r="A3870" s="139" t="s">
        <v>9154</v>
      </c>
      <c r="B3870" s="139" t="s">
        <v>9155</v>
      </c>
      <c r="C3870" s="139" t="s">
        <v>65</v>
      </c>
      <c r="D3870" s="139" t="s">
        <v>9156</v>
      </c>
    </row>
    <row r="3871" spans="1:4" x14ac:dyDescent="0.25">
      <c r="A3871" s="139" t="s">
        <v>9157</v>
      </c>
      <c r="B3871" s="139" t="s">
        <v>9155</v>
      </c>
      <c r="C3871" s="139" t="s">
        <v>65</v>
      </c>
      <c r="D3871" s="139" t="s">
        <v>9158</v>
      </c>
    </row>
    <row r="3872" spans="1:4" x14ac:dyDescent="0.25">
      <c r="A3872" s="139" t="s">
        <v>9159</v>
      </c>
      <c r="B3872" s="139" t="s">
        <v>4207</v>
      </c>
      <c r="C3872" s="139" t="s">
        <v>65</v>
      </c>
      <c r="D3872" s="139" t="s">
        <v>9160</v>
      </c>
    </row>
    <row r="3873" spans="1:4" x14ac:dyDescent="0.25">
      <c r="A3873" s="139" t="s">
        <v>9161</v>
      </c>
      <c r="B3873" s="139" t="s">
        <v>4207</v>
      </c>
      <c r="C3873" s="139" t="s">
        <v>65</v>
      </c>
      <c r="D3873" s="139" t="s">
        <v>9162</v>
      </c>
    </row>
    <row r="3874" spans="1:4" x14ac:dyDescent="0.25">
      <c r="A3874" s="139" t="s">
        <v>9163</v>
      </c>
      <c r="B3874" s="139" t="s">
        <v>2325</v>
      </c>
      <c r="C3874" s="139" t="s">
        <v>65</v>
      </c>
      <c r="D3874" s="139" t="s">
        <v>9164</v>
      </c>
    </row>
    <row r="3875" spans="1:4" x14ac:dyDescent="0.25">
      <c r="A3875" s="139" t="s">
        <v>9165</v>
      </c>
      <c r="B3875" s="139" t="s">
        <v>2325</v>
      </c>
      <c r="C3875" s="139" t="s">
        <v>65</v>
      </c>
      <c r="D3875" s="139" t="s">
        <v>9166</v>
      </c>
    </row>
    <row r="3876" spans="1:4" x14ac:dyDescent="0.25">
      <c r="A3876" s="139" t="s">
        <v>9167</v>
      </c>
      <c r="B3876" s="139" t="s">
        <v>126</v>
      </c>
      <c r="C3876" s="139" t="s">
        <v>65</v>
      </c>
      <c r="D3876" s="139" t="s">
        <v>9168</v>
      </c>
    </row>
    <row r="3877" spans="1:4" x14ac:dyDescent="0.25">
      <c r="A3877" s="139" t="s">
        <v>9169</v>
      </c>
      <c r="B3877" s="139" t="s">
        <v>126</v>
      </c>
      <c r="C3877" s="139" t="s">
        <v>65</v>
      </c>
      <c r="D3877" s="139" t="s">
        <v>9170</v>
      </c>
    </row>
    <row r="3878" spans="1:4" x14ac:dyDescent="0.25">
      <c r="A3878" s="139" t="s">
        <v>9171</v>
      </c>
      <c r="B3878" s="139" t="s">
        <v>9172</v>
      </c>
      <c r="C3878" s="139" t="s">
        <v>65</v>
      </c>
      <c r="D3878" s="139" t="s">
        <v>9173</v>
      </c>
    </row>
    <row r="3879" spans="1:4" x14ac:dyDescent="0.25">
      <c r="A3879" s="139" t="s">
        <v>9174</v>
      </c>
      <c r="B3879" s="139" t="s">
        <v>9172</v>
      </c>
      <c r="C3879" s="139" t="s">
        <v>65</v>
      </c>
      <c r="D3879" s="139" t="s">
        <v>9175</v>
      </c>
    </row>
    <row r="3880" spans="1:4" x14ac:dyDescent="0.25">
      <c r="A3880" s="139" t="s">
        <v>9176</v>
      </c>
      <c r="B3880" s="139" t="s">
        <v>2475</v>
      </c>
      <c r="C3880" s="139" t="s">
        <v>112</v>
      </c>
      <c r="D3880" s="139" t="s">
        <v>9177</v>
      </c>
    </row>
    <row r="3881" spans="1:4" x14ac:dyDescent="0.25">
      <c r="A3881" s="139" t="s">
        <v>9178</v>
      </c>
      <c r="B3881" s="139" t="s">
        <v>2475</v>
      </c>
      <c r="C3881" s="139" t="s">
        <v>112</v>
      </c>
      <c r="D3881" s="139" t="s">
        <v>9179</v>
      </c>
    </row>
    <row r="3882" spans="1:4" x14ac:dyDescent="0.25">
      <c r="A3882" s="139" t="s">
        <v>9180</v>
      </c>
      <c r="B3882" s="139" t="s">
        <v>9181</v>
      </c>
      <c r="C3882" s="139" t="s">
        <v>112</v>
      </c>
      <c r="D3882" s="139" t="s">
        <v>9182</v>
      </c>
    </row>
    <row r="3883" spans="1:4" x14ac:dyDescent="0.25">
      <c r="A3883" s="139" t="s">
        <v>9183</v>
      </c>
      <c r="B3883" s="139" t="s">
        <v>9181</v>
      </c>
      <c r="C3883" s="139" t="s">
        <v>112</v>
      </c>
      <c r="D3883" s="139" t="s">
        <v>9184</v>
      </c>
    </row>
    <row r="3884" spans="1:4" x14ac:dyDescent="0.25">
      <c r="A3884" s="139" t="s">
        <v>9185</v>
      </c>
      <c r="B3884" s="139" t="s">
        <v>9186</v>
      </c>
      <c r="C3884" s="139" t="s">
        <v>112</v>
      </c>
      <c r="D3884" s="139" t="s">
        <v>9187</v>
      </c>
    </row>
    <row r="3885" spans="1:4" x14ac:dyDescent="0.25">
      <c r="A3885" s="139" t="s">
        <v>9188</v>
      </c>
      <c r="B3885" s="139" t="s">
        <v>9186</v>
      </c>
      <c r="C3885" s="139" t="s">
        <v>112</v>
      </c>
      <c r="D3885" s="139" t="s">
        <v>9189</v>
      </c>
    </row>
    <row r="3886" spans="1:4" x14ac:dyDescent="0.25">
      <c r="A3886" s="139" t="s">
        <v>9190</v>
      </c>
      <c r="B3886" s="139" t="s">
        <v>9191</v>
      </c>
      <c r="C3886" s="139" t="s">
        <v>112</v>
      </c>
      <c r="D3886" s="139" t="s">
        <v>9192</v>
      </c>
    </row>
    <row r="3887" spans="1:4" x14ac:dyDescent="0.25">
      <c r="A3887" s="139" t="s">
        <v>9193</v>
      </c>
      <c r="B3887" s="139" t="s">
        <v>9191</v>
      </c>
      <c r="C3887" s="139" t="s">
        <v>112</v>
      </c>
      <c r="D3887" s="139" t="s">
        <v>9194</v>
      </c>
    </row>
    <row r="3888" spans="1:4" x14ac:dyDescent="0.25">
      <c r="A3888" s="139" t="s">
        <v>9195</v>
      </c>
      <c r="B3888" s="139" t="s">
        <v>9196</v>
      </c>
      <c r="C3888" s="139" t="s">
        <v>112</v>
      </c>
      <c r="D3888" s="139" t="s">
        <v>9197</v>
      </c>
    </row>
    <row r="3889" spans="1:4" x14ac:dyDescent="0.25">
      <c r="A3889" s="139" t="s">
        <v>9198</v>
      </c>
      <c r="B3889" s="139" t="s">
        <v>9196</v>
      </c>
      <c r="C3889" s="139" t="s">
        <v>112</v>
      </c>
      <c r="D3889" s="139" t="s">
        <v>9199</v>
      </c>
    </row>
    <row r="3890" spans="1:4" x14ac:dyDescent="0.25">
      <c r="A3890" s="139" t="s">
        <v>9200</v>
      </c>
      <c r="B3890" s="139" t="s">
        <v>9201</v>
      </c>
      <c r="C3890" s="139" t="s">
        <v>112</v>
      </c>
      <c r="D3890" s="139" t="s">
        <v>9202</v>
      </c>
    </row>
    <row r="3891" spans="1:4" x14ac:dyDescent="0.25">
      <c r="A3891" s="139" t="s">
        <v>9203</v>
      </c>
      <c r="B3891" s="139" t="s">
        <v>9201</v>
      </c>
      <c r="C3891" s="139" t="s">
        <v>112</v>
      </c>
      <c r="D3891" s="139" t="s">
        <v>9204</v>
      </c>
    </row>
    <row r="3892" spans="1:4" x14ac:dyDescent="0.25">
      <c r="A3892" s="139" t="s">
        <v>9205</v>
      </c>
      <c r="B3892" s="139" t="s">
        <v>9206</v>
      </c>
      <c r="C3892" s="139" t="s">
        <v>112</v>
      </c>
      <c r="D3892" s="139" t="s">
        <v>9207</v>
      </c>
    </row>
    <row r="3893" spans="1:4" x14ac:dyDescent="0.25">
      <c r="A3893" s="139" t="s">
        <v>9208</v>
      </c>
      <c r="B3893" s="139" t="s">
        <v>9206</v>
      </c>
      <c r="C3893" s="139" t="s">
        <v>112</v>
      </c>
      <c r="D3893" s="139" t="s">
        <v>9209</v>
      </c>
    </row>
    <row r="3894" spans="1:4" x14ac:dyDescent="0.25">
      <c r="A3894" s="139" t="s">
        <v>9210</v>
      </c>
      <c r="B3894" s="139" t="s">
        <v>9211</v>
      </c>
      <c r="C3894" s="139" t="s">
        <v>112</v>
      </c>
      <c r="D3894" s="139" t="s">
        <v>9212</v>
      </c>
    </row>
    <row r="3895" spans="1:4" x14ac:dyDescent="0.25">
      <c r="A3895" s="139" t="s">
        <v>9213</v>
      </c>
      <c r="B3895" s="139" t="s">
        <v>9211</v>
      </c>
      <c r="C3895" s="139" t="s">
        <v>112</v>
      </c>
      <c r="D3895" s="139" t="s">
        <v>9214</v>
      </c>
    </row>
    <row r="3896" spans="1:4" x14ac:dyDescent="0.25">
      <c r="A3896" s="139" t="s">
        <v>9215</v>
      </c>
      <c r="B3896" s="139" t="s">
        <v>9216</v>
      </c>
      <c r="C3896" s="139" t="s">
        <v>112</v>
      </c>
      <c r="D3896" s="139" t="s">
        <v>9217</v>
      </c>
    </row>
    <row r="3897" spans="1:4" x14ac:dyDescent="0.25">
      <c r="A3897" s="139" t="s">
        <v>9218</v>
      </c>
      <c r="B3897" s="139" t="s">
        <v>9216</v>
      </c>
      <c r="C3897" s="139" t="s">
        <v>112</v>
      </c>
      <c r="D3897" s="139" t="s">
        <v>9219</v>
      </c>
    </row>
    <row r="3898" spans="1:4" x14ac:dyDescent="0.25">
      <c r="A3898" s="139" t="s">
        <v>9220</v>
      </c>
      <c r="B3898" s="139" t="s">
        <v>9221</v>
      </c>
      <c r="C3898" s="139" t="s">
        <v>112</v>
      </c>
      <c r="D3898" s="139" t="s">
        <v>9222</v>
      </c>
    </row>
    <row r="3899" spans="1:4" x14ac:dyDescent="0.25">
      <c r="A3899" s="139" t="s">
        <v>9223</v>
      </c>
      <c r="B3899" s="139" t="s">
        <v>9221</v>
      </c>
      <c r="C3899" s="139" t="s">
        <v>112</v>
      </c>
      <c r="D3899" s="139" t="s">
        <v>9224</v>
      </c>
    </row>
    <row r="3900" spans="1:4" x14ac:dyDescent="0.25">
      <c r="A3900" s="139" t="s">
        <v>9225</v>
      </c>
      <c r="B3900" s="139" t="s">
        <v>9226</v>
      </c>
      <c r="C3900" s="139" t="s">
        <v>112</v>
      </c>
      <c r="D3900" s="139" t="s">
        <v>9227</v>
      </c>
    </row>
    <row r="3901" spans="1:4" x14ac:dyDescent="0.25">
      <c r="A3901" s="139" t="s">
        <v>9228</v>
      </c>
      <c r="B3901" s="139" t="s">
        <v>9226</v>
      </c>
      <c r="C3901" s="139" t="s">
        <v>112</v>
      </c>
      <c r="D3901" s="139" t="s">
        <v>9229</v>
      </c>
    </row>
    <row r="3902" spans="1:4" x14ac:dyDescent="0.25">
      <c r="A3902" s="139" t="s">
        <v>9230</v>
      </c>
      <c r="B3902" s="139" t="s">
        <v>9231</v>
      </c>
      <c r="C3902" s="139" t="s">
        <v>112</v>
      </c>
      <c r="D3902" s="139" t="s">
        <v>9232</v>
      </c>
    </row>
    <row r="3903" spans="1:4" x14ac:dyDescent="0.25">
      <c r="A3903" s="139" t="s">
        <v>9233</v>
      </c>
      <c r="B3903" s="139" t="s">
        <v>9231</v>
      </c>
      <c r="C3903" s="139" t="s">
        <v>112</v>
      </c>
      <c r="D3903" s="139" t="s">
        <v>9234</v>
      </c>
    </row>
    <row r="3904" spans="1:4" x14ac:dyDescent="0.25">
      <c r="A3904" s="139" t="s">
        <v>9235</v>
      </c>
      <c r="B3904" s="139" t="s">
        <v>1305</v>
      </c>
      <c r="C3904" s="139" t="s">
        <v>112</v>
      </c>
      <c r="D3904" s="139" t="s">
        <v>9236</v>
      </c>
    </row>
    <row r="3905" spans="1:4" x14ac:dyDescent="0.25">
      <c r="A3905" s="139" t="s">
        <v>9237</v>
      </c>
      <c r="B3905" s="139" t="s">
        <v>1305</v>
      </c>
      <c r="C3905" s="139" t="s">
        <v>112</v>
      </c>
      <c r="D3905" s="139" t="s">
        <v>9238</v>
      </c>
    </row>
    <row r="3906" spans="1:4" x14ac:dyDescent="0.25">
      <c r="A3906" s="139" t="s">
        <v>9239</v>
      </c>
      <c r="B3906" s="139" t="s">
        <v>9240</v>
      </c>
      <c r="C3906" s="139" t="s">
        <v>1683</v>
      </c>
      <c r="D3906" s="139" t="s">
        <v>9241</v>
      </c>
    </row>
    <row r="3907" spans="1:4" x14ac:dyDescent="0.25">
      <c r="A3907" s="139" t="s">
        <v>9242</v>
      </c>
      <c r="B3907" s="139" t="s">
        <v>9240</v>
      </c>
      <c r="C3907" s="139" t="s">
        <v>1683</v>
      </c>
      <c r="D3907" s="139" t="s">
        <v>9243</v>
      </c>
    </row>
    <row r="3908" spans="1:4" x14ac:dyDescent="0.25">
      <c r="A3908" s="139" t="s">
        <v>9244</v>
      </c>
      <c r="B3908" s="139" t="s">
        <v>9245</v>
      </c>
      <c r="C3908" s="139" t="s">
        <v>1683</v>
      </c>
      <c r="D3908" s="139" t="s">
        <v>9246</v>
      </c>
    </row>
    <row r="3909" spans="1:4" x14ac:dyDescent="0.25">
      <c r="A3909" s="139" t="s">
        <v>9247</v>
      </c>
      <c r="B3909" s="139" t="s">
        <v>9245</v>
      </c>
      <c r="C3909" s="139" t="s">
        <v>1683</v>
      </c>
      <c r="D3909" s="139" t="s">
        <v>9248</v>
      </c>
    </row>
    <row r="3910" spans="1:4" x14ac:dyDescent="0.25">
      <c r="A3910" s="139" t="s">
        <v>9249</v>
      </c>
      <c r="B3910" s="139" t="s">
        <v>5425</v>
      </c>
      <c r="C3910" s="139" t="s">
        <v>1683</v>
      </c>
      <c r="D3910" s="139" t="s">
        <v>9250</v>
      </c>
    </row>
    <row r="3911" spans="1:4" x14ac:dyDescent="0.25">
      <c r="A3911" s="139" t="s">
        <v>9251</v>
      </c>
      <c r="B3911" s="139" t="s">
        <v>5425</v>
      </c>
      <c r="C3911" s="139" t="s">
        <v>1683</v>
      </c>
      <c r="D3911" s="139" t="s">
        <v>9252</v>
      </c>
    </row>
    <row r="3912" spans="1:4" x14ac:dyDescent="0.25">
      <c r="A3912" s="139" t="s">
        <v>9253</v>
      </c>
      <c r="B3912" s="139" t="s">
        <v>9254</v>
      </c>
      <c r="C3912" s="139" t="s">
        <v>1683</v>
      </c>
      <c r="D3912" s="139" t="s">
        <v>9255</v>
      </c>
    </row>
    <row r="3913" spans="1:4" x14ac:dyDescent="0.25">
      <c r="A3913" s="139" t="s">
        <v>9256</v>
      </c>
      <c r="B3913" s="139" t="s">
        <v>9254</v>
      </c>
      <c r="C3913" s="139" t="s">
        <v>1683</v>
      </c>
      <c r="D3913" s="139" t="s">
        <v>9257</v>
      </c>
    </row>
    <row r="3914" spans="1:4" x14ac:dyDescent="0.25">
      <c r="A3914" s="139" t="s">
        <v>9258</v>
      </c>
      <c r="B3914" s="139" t="s">
        <v>9259</v>
      </c>
      <c r="C3914" s="139" t="s">
        <v>1683</v>
      </c>
      <c r="D3914" s="139" t="s">
        <v>9260</v>
      </c>
    </row>
    <row r="3915" spans="1:4" x14ac:dyDescent="0.25">
      <c r="A3915" s="139" t="s">
        <v>9261</v>
      </c>
      <c r="B3915" s="139" t="s">
        <v>9259</v>
      </c>
      <c r="C3915" s="139" t="s">
        <v>1683</v>
      </c>
      <c r="D3915" s="139" t="s">
        <v>9262</v>
      </c>
    </row>
    <row r="3916" spans="1:4" x14ac:dyDescent="0.25">
      <c r="A3916" s="139" t="s">
        <v>9263</v>
      </c>
      <c r="B3916" s="139" t="s">
        <v>9264</v>
      </c>
      <c r="C3916" s="139" t="s">
        <v>1683</v>
      </c>
      <c r="D3916" s="139" t="s">
        <v>9265</v>
      </c>
    </row>
    <row r="3917" spans="1:4" x14ac:dyDescent="0.25">
      <c r="A3917" s="139" t="s">
        <v>9266</v>
      </c>
      <c r="B3917" s="139" t="s">
        <v>9264</v>
      </c>
      <c r="C3917" s="139" t="s">
        <v>1683</v>
      </c>
      <c r="D3917" s="139" t="s">
        <v>9267</v>
      </c>
    </row>
    <row r="3918" spans="1:4" x14ac:dyDescent="0.25">
      <c r="A3918" s="139" t="s">
        <v>9268</v>
      </c>
      <c r="B3918" s="139" t="s">
        <v>2493</v>
      </c>
      <c r="C3918" s="139" t="s">
        <v>1683</v>
      </c>
      <c r="D3918" s="139" t="s">
        <v>9269</v>
      </c>
    </row>
    <row r="3919" spans="1:4" x14ac:dyDescent="0.25">
      <c r="A3919" s="139" t="s">
        <v>9270</v>
      </c>
      <c r="B3919" s="139" t="s">
        <v>2493</v>
      </c>
      <c r="C3919" s="139" t="s">
        <v>1683</v>
      </c>
      <c r="D3919" s="139" t="s">
        <v>9271</v>
      </c>
    </row>
    <row r="3920" spans="1:4" x14ac:dyDescent="0.25">
      <c r="A3920" s="139" t="s">
        <v>9272</v>
      </c>
      <c r="B3920" s="139" t="s">
        <v>9273</v>
      </c>
      <c r="C3920" s="139" t="s">
        <v>1683</v>
      </c>
      <c r="D3920" s="139" t="s">
        <v>9274</v>
      </c>
    </row>
    <row r="3921" spans="1:4" x14ac:dyDescent="0.25">
      <c r="A3921" s="139" t="s">
        <v>9275</v>
      </c>
      <c r="B3921" s="139" t="s">
        <v>9273</v>
      </c>
      <c r="C3921" s="139" t="s">
        <v>1683</v>
      </c>
      <c r="D3921" s="139" t="s">
        <v>9276</v>
      </c>
    </row>
    <row r="3922" spans="1:4" x14ac:dyDescent="0.25">
      <c r="A3922" s="139" t="s">
        <v>9277</v>
      </c>
      <c r="B3922" s="139" t="s">
        <v>9278</v>
      </c>
      <c r="C3922" s="139" t="s">
        <v>1683</v>
      </c>
      <c r="D3922" s="139" t="s">
        <v>9279</v>
      </c>
    </row>
    <row r="3923" spans="1:4" x14ac:dyDescent="0.25">
      <c r="A3923" s="139" t="s">
        <v>9280</v>
      </c>
      <c r="B3923" s="139" t="s">
        <v>9278</v>
      </c>
      <c r="C3923" s="139" t="s">
        <v>1683</v>
      </c>
      <c r="D3923" s="139" t="s">
        <v>9281</v>
      </c>
    </row>
    <row r="3924" spans="1:4" x14ac:dyDescent="0.25">
      <c r="A3924" s="139" t="s">
        <v>9282</v>
      </c>
      <c r="B3924" s="139" t="s">
        <v>142</v>
      </c>
      <c r="C3924" s="139" t="s">
        <v>1683</v>
      </c>
      <c r="D3924" s="139" t="s">
        <v>9283</v>
      </c>
    </row>
    <row r="3925" spans="1:4" x14ac:dyDescent="0.25">
      <c r="A3925" s="139" t="s">
        <v>9284</v>
      </c>
      <c r="B3925" s="139" t="s">
        <v>142</v>
      </c>
      <c r="C3925" s="139" t="s">
        <v>1683</v>
      </c>
      <c r="D3925" s="139" t="s">
        <v>9285</v>
      </c>
    </row>
    <row r="3926" spans="1:4" x14ac:dyDescent="0.25">
      <c r="A3926" s="139" t="s">
        <v>9286</v>
      </c>
      <c r="B3926" s="139" t="s">
        <v>4665</v>
      </c>
      <c r="C3926" s="139" t="s">
        <v>1683</v>
      </c>
      <c r="D3926" s="139" t="s">
        <v>9287</v>
      </c>
    </row>
    <row r="3927" spans="1:4" x14ac:dyDescent="0.25">
      <c r="A3927" s="139" t="s">
        <v>9288</v>
      </c>
      <c r="B3927" s="139" t="s">
        <v>4665</v>
      </c>
      <c r="C3927" s="139" t="s">
        <v>1683</v>
      </c>
      <c r="D3927" s="139" t="s">
        <v>9289</v>
      </c>
    </row>
    <row r="3928" spans="1:4" x14ac:dyDescent="0.25">
      <c r="A3928" s="139" t="s">
        <v>9290</v>
      </c>
      <c r="B3928" s="139" t="s">
        <v>7384</v>
      </c>
      <c r="C3928" s="139" t="s">
        <v>1683</v>
      </c>
      <c r="D3928" s="139" t="s">
        <v>9291</v>
      </c>
    </row>
    <row r="3929" spans="1:4" x14ac:dyDescent="0.25">
      <c r="A3929" s="139" t="s">
        <v>9292</v>
      </c>
      <c r="B3929" s="139" t="s">
        <v>7384</v>
      </c>
      <c r="C3929" s="139" t="s">
        <v>1683</v>
      </c>
      <c r="D3929" s="139" t="s">
        <v>9293</v>
      </c>
    </row>
    <row r="3930" spans="1:4" x14ac:dyDescent="0.25">
      <c r="A3930" s="139" t="s">
        <v>9294</v>
      </c>
      <c r="B3930" s="139" t="s">
        <v>229</v>
      </c>
      <c r="C3930" s="139" t="s">
        <v>1683</v>
      </c>
      <c r="D3930" s="139" t="s">
        <v>9295</v>
      </c>
    </row>
    <row r="3931" spans="1:4" x14ac:dyDescent="0.25">
      <c r="A3931" s="139" t="s">
        <v>9296</v>
      </c>
      <c r="B3931" s="139" t="s">
        <v>229</v>
      </c>
      <c r="C3931" s="139" t="s">
        <v>1683</v>
      </c>
      <c r="D3931" s="139" t="s">
        <v>9297</v>
      </c>
    </row>
    <row r="3932" spans="1:4" x14ac:dyDescent="0.25">
      <c r="A3932" s="139" t="s">
        <v>9298</v>
      </c>
      <c r="B3932" s="139" t="s">
        <v>904</v>
      </c>
      <c r="C3932" s="139" t="s">
        <v>1683</v>
      </c>
      <c r="D3932" s="139" t="s">
        <v>9299</v>
      </c>
    </row>
    <row r="3933" spans="1:4" x14ac:dyDescent="0.25">
      <c r="A3933" s="139" t="s">
        <v>9300</v>
      </c>
      <c r="B3933" s="139" t="s">
        <v>904</v>
      </c>
      <c r="C3933" s="139" t="s">
        <v>1683</v>
      </c>
      <c r="D3933" s="139" t="s">
        <v>9301</v>
      </c>
    </row>
    <row r="3934" spans="1:4" x14ac:dyDescent="0.25">
      <c r="A3934" s="139" t="s">
        <v>9302</v>
      </c>
      <c r="B3934" s="139" t="s">
        <v>4196</v>
      </c>
      <c r="C3934" s="139" t="s">
        <v>1683</v>
      </c>
      <c r="D3934" s="139" t="s">
        <v>9303</v>
      </c>
    </row>
    <row r="3935" spans="1:4" x14ac:dyDescent="0.25">
      <c r="A3935" s="139" t="s">
        <v>9304</v>
      </c>
      <c r="B3935" s="139" t="s">
        <v>4196</v>
      </c>
      <c r="C3935" s="139" t="s">
        <v>1683</v>
      </c>
      <c r="D3935" s="139" t="s">
        <v>9305</v>
      </c>
    </row>
    <row r="3936" spans="1:4" x14ac:dyDescent="0.25">
      <c r="A3936" s="139" t="s">
        <v>9306</v>
      </c>
      <c r="B3936" s="139" t="s">
        <v>4199</v>
      </c>
      <c r="C3936" s="139" t="s">
        <v>1683</v>
      </c>
      <c r="D3936" s="139" t="s">
        <v>9307</v>
      </c>
    </row>
    <row r="3937" spans="1:4" x14ac:dyDescent="0.25">
      <c r="A3937" s="139" t="s">
        <v>9308</v>
      </c>
      <c r="B3937" s="139" t="s">
        <v>4199</v>
      </c>
      <c r="C3937" s="139" t="s">
        <v>1683</v>
      </c>
      <c r="D3937" s="139" t="s">
        <v>9309</v>
      </c>
    </row>
    <row r="3938" spans="1:4" x14ac:dyDescent="0.25">
      <c r="A3938" s="139" t="s">
        <v>9310</v>
      </c>
      <c r="B3938" s="139" t="s">
        <v>2328</v>
      </c>
      <c r="C3938" s="139" t="s">
        <v>1683</v>
      </c>
      <c r="D3938" s="139" t="s">
        <v>9311</v>
      </c>
    </row>
    <row r="3939" spans="1:4" x14ac:dyDescent="0.25">
      <c r="A3939" s="139" t="s">
        <v>9312</v>
      </c>
      <c r="B3939" s="139" t="s">
        <v>2328</v>
      </c>
      <c r="C3939" s="139" t="s">
        <v>1683</v>
      </c>
      <c r="D3939" s="139" t="s">
        <v>9313</v>
      </c>
    </row>
    <row r="3940" spans="1:4" x14ac:dyDescent="0.25">
      <c r="A3940" s="139" t="s">
        <v>9314</v>
      </c>
      <c r="B3940" s="139" t="s">
        <v>9315</v>
      </c>
      <c r="C3940" s="139" t="s">
        <v>1683</v>
      </c>
      <c r="D3940" s="139" t="s">
        <v>9316</v>
      </c>
    </row>
    <row r="3941" spans="1:4" x14ac:dyDescent="0.25">
      <c r="A3941" s="139" t="s">
        <v>9317</v>
      </c>
      <c r="B3941" s="139" t="s">
        <v>9315</v>
      </c>
      <c r="C3941" s="139" t="s">
        <v>1683</v>
      </c>
      <c r="D3941" s="139" t="s">
        <v>9318</v>
      </c>
    </row>
    <row r="3942" spans="1:4" x14ac:dyDescent="0.25">
      <c r="A3942" s="139" t="s">
        <v>9319</v>
      </c>
      <c r="B3942" s="139" t="s">
        <v>2325</v>
      </c>
      <c r="C3942" s="139" t="s">
        <v>1683</v>
      </c>
      <c r="D3942" s="139" t="s">
        <v>9320</v>
      </c>
    </row>
    <row r="3943" spans="1:4" x14ac:dyDescent="0.25">
      <c r="A3943" s="139" t="s">
        <v>9321</v>
      </c>
      <c r="B3943" s="139" t="s">
        <v>2325</v>
      </c>
      <c r="C3943" s="139" t="s">
        <v>1683</v>
      </c>
      <c r="D3943" s="139" t="s">
        <v>9322</v>
      </c>
    </row>
    <row r="3944" spans="1:4" x14ac:dyDescent="0.25">
      <c r="A3944" s="139" t="s">
        <v>9323</v>
      </c>
      <c r="B3944" s="139" t="s">
        <v>9324</v>
      </c>
      <c r="C3944" s="139" t="s">
        <v>1683</v>
      </c>
      <c r="D3944" s="139" t="s">
        <v>9325</v>
      </c>
    </row>
    <row r="3945" spans="1:4" x14ac:dyDescent="0.25">
      <c r="A3945" s="139" t="s">
        <v>9326</v>
      </c>
      <c r="B3945" s="139" t="s">
        <v>9324</v>
      </c>
      <c r="C3945" s="139" t="s">
        <v>1683</v>
      </c>
      <c r="D3945" s="139" t="s">
        <v>9327</v>
      </c>
    </row>
    <row r="3946" spans="1:4" x14ac:dyDescent="0.25">
      <c r="A3946" s="139" t="s">
        <v>9328</v>
      </c>
      <c r="B3946" s="139" t="s">
        <v>4214</v>
      </c>
      <c r="C3946" s="139" t="s">
        <v>1683</v>
      </c>
      <c r="D3946" s="139" t="s">
        <v>9329</v>
      </c>
    </row>
    <row r="3947" spans="1:4" x14ac:dyDescent="0.25">
      <c r="A3947" s="139" t="s">
        <v>9330</v>
      </c>
      <c r="B3947" s="139" t="s">
        <v>4214</v>
      </c>
      <c r="C3947" s="139" t="s">
        <v>1683</v>
      </c>
      <c r="D3947" s="139" t="s">
        <v>9331</v>
      </c>
    </row>
    <row r="3948" spans="1:4" x14ac:dyDescent="0.25">
      <c r="A3948" s="139" t="s">
        <v>9332</v>
      </c>
      <c r="B3948" s="139" t="s">
        <v>9333</v>
      </c>
      <c r="C3948" s="139" t="s">
        <v>1683</v>
      </c>
      <c r="D3948" s="139" t="s">
        <v>9334</v>
      </c>
    </row>
    <row r="3949" spans="1:4" x14ac:dyDescent="0.25">
      <c r="A3949" s="139" t="s">
        <v>9335</v>
      </c>
      <c r="B3949" s="139" t="s">
        <v>9333</v>
      </c>
      <c r="C3949" s="139" t="s">
        <v>1683</v>
      </c>
      <c r="D3949" s="139" t="s">
        <v>9336</v>
      </c>
    </row>
    <row r="3950" spans="1:4" x14ac:dyDescent="0.25">
      <c r="A3950" s="139" t="s">
        <v>9337</v>
      </c>
      <c r="B3950" s="139" t="s">
        <v>5622</v>
      </c>
      <c r="C3950" s="139" t="s">
        <v>1683</v>
      </c>
      <c r="D3950" s="139" t="s">
        <v>9338</v>
      </c>
    </row>
    <row r="3951" spans="1:4" x14ac:dyDescent="0.25">
      <c r="A3951" s="139" t="s">
        <v>9339</v>
      </c>
      <c r="B3951" s="139" t="s">
        <v>5622</v>
      </c>
      <c r="C3951" s="139" t="s">
        <v>1683</v>
      </c>
      <c r="D3951" s="139" t="s">
        <v>9340</v>
      </c>
    </row>
    <row r="3952" spans="1:4" x14ac:dyDescent="0.25">
      <c r="A3952" s="139" t="s">
        <v>9341</v>
      </c>
      <c r="B3952" s="139" t="s">
        <v>4866</v>
      </c>
      <c r="C3952" s="139" t="s">
        <v>123</v>
      </c>
      <c r="D3952" s="139" t="s">
        <v>9342</v>
      </c>
    </row>
    <row r="3953" spans="1:4" x14ac:dyDescent="0.25">
      <c r="A3953" s="139" t="s">
        <v>9343</v>
      </c>
      <c r="B3953" s="139" t="s">
        <v>4866</v>
      </c>
      <c r="C3953" s="139" t="s">
        <v>123</v>
      </c>
      <c r="D3953" s="139" t="s">
        <v>9344</v>
      </c>
    </row>
    <row r="3954" spans="1:4" x14ac:dyDescent="0.25">
      <c r="A3954" s="139" t="s">
        <v>9345</v>
      </c>
      <c r="B3954" s="139" t="s">
        <v>9346</v>
      </c>
      <c r="C3954" s="139" t="s">
        <v>123</v>
      </c>
      <c r="D3954" s="139" t="s">
        <v>9347</v>
      </c>
    </row>
    <row r="3955" spans="1:4" x14ac:dyDescent="0.25">
      <c r="A3955" s="139" t="s">
        <v>9348</v>
      </c>
      <c r="B3955" s="139" t="s">
        <v>9346</v>
      </c>
      <c r="C3955" s="139" t="s">
        <v>123</v>
      </c>
      <c r="D3955" s="139" t="s">
        <v>9349</v>
      </c>
    </row>
    <row r="3956" spans="1:4" x14ac:dyDescent="0.25">
      <c r="A3956" s="139" t="s">
        <v>9350</v>
      </c>
      <c r="B3956" s="139" t="s">
        <v>9351</v>
      </c>
      <c r="C3956" s="139" t="s">
        <v>123</v>
      </c>
      <c r="D3956" s="139" t="s">
        <v>9352</v>
      </c>
    </row>
    <row r="3957" spans="1:4" x14ac:dyDescent="0.25">
      <c r="A3957" s="139" t="s">
        <v>9353</v>
      </c>
      <c r="B3957" s="139" t="s">
        <v>9351</v>
      </c>
      <c r="C3957" s="139" t="s">
        <v>123</v>
      </c>
      <c r="D3957" s="139" t="s">
        <v>9354</v>
      </c>
    </row>
    <row r="3958" spans="1:4" x14ac:dyDescent="0.25">
      <c r="A3958" s="139" t="s">
        <v>9355</v>
      </c>
      <c r="B3958" s="139" t="s">
        <v>9356</v>
      </c>
      <c r="C3958" s="139" t="s">
        <v>123</v>
      </c>
      <c r="D3958" s="139" t="s">
        <v>9357</v>
      </c>
    </row>
    <row r="3959" spans="1:4" x14ac:dyDescent="0.25">
      <c r="A3959" s="139" t="s">
        <v>9358</v>
      </c>
      <c r="B3959" s="139" t="s">
        <v>9356</v>
      </c>
      <c r="C3959" s="139" t="s">
        <v>123</v>
      </c>
      <c r="D3959" s="139" t="s">
        <v>9359</v>
      </c>
    </row>
    <row r="3960" spans="1:4" x14ac:dyDescent="0.25">
      <c r="A3960" s="139" t="s">
        <v>9360</v>
      </c>
      <c r="B3960" s="139" t="s">
        <v>7668</v>
      </c>
      <c r="C3960" s="139" t="s">
        <v>123</v>
      </c>
      <c r="D3960" s="139" t="s">
        <v>9361</v>
      </c>
    </row>
    <row r="3961" spans="1:4" x14ac:dyDescent="0.25">
      <c r="A3961" s="139" t="s">
        <v>9362</v>
      </c>
      <c r="B3961" s="139" t="s">
        <v>7668</v>
      </c>
      <c r="C3961" s="139" t="s">
        <v>123</v>
      </c>
      <c r="D3961" s="139" t="s">
        <v>9363</v>
      </c>
    </row>
    <row r="3962" spans="1:4" x14ac:dyDescent="0.25">
      <c r="A3962" s="139" t="s">
        <v>9364</v>
      </c>
      <c r="B3962" s="139" t="s">
        <v>9365</v>
      </c>
      <c r="C3962" s="139" t="s">
        <v>123</v>
      </c>
      <c r="D3962" s="139" t="s">
        <v>9366</v>
      </c>
    </row>
    <row r="3963" spans="1:4" x14ac:dyDescent="0.25">
      <c r="A3963" s="139" t="s">
        <v>9367</v>
      </c>
      <c r="B3963" s="139" t="s">
        <v>9365</v>
      </c>
      <c r="C3963" s="139" t="s">
        <v>123</v>
      </c>
      <c r="D3963" s="139" t="s">
        <v>9368</v>
      </c>
    </row>
    <row r="3964" spans="1:4" x14ac:dyDescent="0.25">
      <c r="A3964" s="139" t="s">
        <v>9369</v>
      </c>
      <c r="B3964" s="139" t="s">
        <v>9370</v>
      </c>
      <c r="C3964" s="139" t="s">
        <v>123</v>
      </c>
      <c r="D3964" s="139" t="s">
        <v>9371</v>
      </c>
    </row>
    <row r="3965" spans="1:4" x14ac:dyDescent="0.25">
      <c r="A3965" s="139" t="s">
        <v>9372</v>
      </c>
      <c r="B3965" s="139" t="s">
        <v>9370</v>
      </c>
      <c r="C3965" s="139" t="s">
        <v>123</v>
      </c>
      <c r="D3965" s="139" t="s">
        <v>9373</v>
      </c>
    </row>
    <row r="3966" spans="1:4" x14ac:dyDescent="0.25">
      <c r="A3966" s="139" t="s">
        <v>9374</v>
      </c>
      <c r="B3966" s="139" t="s">
        <v>9375</v>
      </c>
      <c r="C3966" s="139" t="s">
        <v>123</v>
      </c>
      <c r="D3966" s="139" t="s">
        <v>9376</v>
      </c>
    </row>
    <row r="3967" spans="1:4" x14ac:dyDescent="0.25">
      <c r="A3967" s="139" t="s">
        <v>9377</v>
      </c>
      <c r="B3967" s="139" t="s">
        <v>9375</v>
      </c>
      <c r="C3967" s="139" t="s">
        <v>123</v>
      </c>
      <c r="D3967" s="139" t="s">
        <v>9378</v>
      </c>
    </row>
    <row r="3968" spans="1:4" x14ac:dyDescent="0.25">
      <c r="A3968" s="139" t="s">
        <v>9379</v>
      </c>
      <c r="B3968" s="139" t="s">
        <v>9380</v>
      </c>
      <c r="C3968" s="139" t="s">
        <v>123</v>
      </c>
      <c r="D3968" s="139" t="s">
        <v>9381</v>
      </c>
    </row>
    <row r="3969" spans="1:4" x14ac:dyDescent="0.25">
      <c r="A3969" s="139" t="s">
        <v>9382</v>
      </c>
      <c r="B3969" s="139" t="s">
        <v>9380</v>
      </c>
      <c r="C3969" s="139" t="s">
        <v>123</v>
      </c>
      <c r="D3969" s="139" t="s">
        <v>9383</v>
      </c>
    </row>
    <row r="3970" spans="1:4" x14ac:dyDescent="0.25">
      <c r="A3970" s="139" t="s">
        <v>9384</v>
      </c>
      <c r="B3970" s="139" t="s">
        <v>9385</v>
      </c>
      <c r="C3970" s="139" t="s">
        <v>123</v>
      </c>
      <c r="D3970" s="139" t="s">
        <v>9386</v>
      </c>
    </row>
    <row r="3971" spans="1:4" x14ac:dyDescent="0.25">
      <c r="A3971" s="139" t="s">
        <v>9387</v>
      </c>
      <c r="B3971" s="139" t="s">
        <v>9385</v>
      </c>
      <c r="C3971" s="139" t="s">
        <v>123</v>
      </c>
      <c r="D3971" s="139" t="s">
        <v>9388</v>
      </c>
    </row>
    <row r="3972" spans="1:4" x14ac:dyDescent="0.25">
      <c r="A3972" s="139" t="s">
        <v>9389</v>
      </c>
      <c r="B3972" s="139" t="s">
        <v>9390</v>
      </c>
      <c r="C3972" s="139" t="s">
        <v>123</v>
      </c>
      <c r="D3972" s="139" t="s">
        <v>9391</v>
      </c>
    </row>
    <row r="3973" spans="1:4" x14ac:dyDescent="0.25">
      <c r="A3973" s="139" t="s">
        <v>9392</v>
      </c>
      <c r="B3973" s="139" t="s">
        <v>9390</v>
      </c>
      <c r="C3973" s="139" t="s">
        <v>123</v>
      </c>
      <c r="D3973" s="139" t="s">
        <v>9393</v>
      </c>
    </row>
    <row r="3974" spans="1:4" x14ac:dyDescent="0.25">
      <c r="A3974" s="139" t="s">
        <v>9394</v>
      </c>
      <c r="B3974" s="139" t="s">
        <v>9395</v>
      </c>
      <c r="C3974" s="139" t="s">
        <v>123</v>
      </c>
      <c r="D3974" s="139" t="s">
        <v>9396</v>
      </c>
    </row>
    <row r="3975" spans="1:4" x14ac:dyDescent="0.25">
      <c r="A3975" s="139" t="s">
        <v>9397</v>
      </c>
      <c r="B3975" s="139" t="s">
        <v>9395</v>
      </c>
      <c r="C3975" s="139" t="s">
        <v>123</v>
      </c>
      <c r="D3975" s="139" t="s">
        <v>9398</v>
      </c>
    </row>
    <row r="3976" spans="1:4" x14ac:dyDescent="0.25">
      <c r="A3976" s="139" t="s">
        <v>9399</v>
      </c>
      <c r="B3976" s="139" t="s">
        <v>2790</v>
      </c>
      <c r="C3976" s="139" t="s">
        <v>123</v>
      </c>
      <c r="D3976" s="139" t="s">
        <v>9400</v>
      </c>
    </row>
    <row r="3977" spans="1:4" x14ac:dyDescent="0.25">
      <c r="A3977" s="139" t="s">
        <v>9401</v>
      </c>
      <c r="B3977" s="139" t="s">
        <v>2790</v>
      </c>
      <c r="C3977" s="139" t="s">
        <v>123</v>
      </c>
      <c r="D3977" s="139" t="s">
        <v>9402</v>
      </c>
    </row>
    <row r="3978" spans="1:4" x14ac:dyDescent="0.25">
      <c r="A3978" s="139" t="s">
        <v>9403</v>
      </c>
      <c r="B3978" s="139" t="s">
        <v>7177</v>
      </c>
      <c r="C3978" s="139" t="s">
        <v>123</v>
      </c>
      <c r="D3978" s="139" t="s">
        <v>9404</v>
      </c>
    </row>
    <row r="3979" spans="1:4" x14ac:dyDescent="0.25">
      <c r="A3979" s="139" t="s">
        <v>9405</v>
      </c>
      <c r="B3979" s="139" t="s">
        <v>7177</v>
      </c>
      <c r="C3979" s="139" t="s">
        <v>123</v>
      </c>
      <c r="D3979" s="139" t="s">
        <v>9406</v>
      </c>
    </row>
    <row r="3980" spans="1:4" x14ac:dyDescent="0.25">
      <c r="A3980" s="139" t="s">
        <v>9407</v>
      </c>
      <c r="B3980" s="139" t="s">
        <v>9408</v>
      </c>
      <c r="C3980" s="139" t="s">
        <v>123</v>
      </c>
      <c r="D3980" s="139" t="s">
        <v>9409</v>
      </c>
    </row>
    <row r="3981" spans="1:4" x14ac:dyDescent="0.25">
      <c r="A3981" s="139" t="s">
        <v>9410</v>
      </c>
      <c r="B3981" s="139" t="s">
        <v>9408</v>
      </c>
      <c r="C3981" s="139" t="s">
        <v>123</v>
      </c>
      <c r="D3981" s="139" t="s">
        <v>9411</v>
      </c>
    </row>
    <row r="3982" spans="1:4" x14ac:dyDescent="0.25">
      <c r="A3982" s="139" t="s">
        <v>9412</v>
      </c>
      <c r="B3982" s="139" t="s">
        <v>9413</v>
      </c>
      <c r="C3982" s="139" t="s">
        <v>123</v>
      </c>
      <c r="D3982" s="139" t="s">
        <v>9414</v>
      </c>
    </row>
    <row r="3983" spans="1:4" x14ac:dyDescent="0.25">
      <c r="A3983" s="139" t="s">
        <v>9415</v>
      </c>
      <c r="B3983" s="139" t="s">
        <v>9413</v>
      </c>
      <c r="C3983" s="139" t="s">
        <v>123</v>
      </c>
      <c r="D3983" s="139" t="s">
        <v>9416</v>
      </c>
    </row>
    <row r="3984" spans="1:4" x14ac:dyDescent="0.25">
      <c r="A3984" s="139" t="s">
        <v>9417</v>
      </c>
      <c r="B3984" s="139" t="s">
        <v>3319</v>
      </c>
      <c r="C3984" s="139" t="s">
        <v>123</v>
      </c>
      <c r="D3984" s="139" t="s">
        <v>9418</v>
      </c>
    </row>
    <row r="3985" spans="1:4" x14ac:dyDescent="0.25">
      <c r="A3985" s="139" t="s">
        <v>9419</v>
      </c>
      <c r="B3985" s="139" t="s">
        <v>3319</v>
      </c>
      <c r="C3985" s="139" t="s">
        <v>123</v>
      </c>
      <c r="D3985" s="139" t="s">
        <v>9420</v>
      </c>
    </row>
    <row r="3986" spans="1:4" x14ac:dyDescent="0.25">
      <c r="A3986" s="139" t="s">
        <v>9421</v>
      </c>
      <c r="B3986" s="139" t="s">
        <v>740</v>
      </c>
      <c r="C3986" s="139" t="s">
        <v>123</v>
      </c>
      <c r="D3986" s="139" t="s">
        <v>9422</v>
      </c>
    </row>
    <row r="3987" spans="1:4" x14ac:dyDescent="0.25">
      <c r="A3987" s="139" t="s">
        <v>9423</v>
      </c>
      <c r="B3987" s="139" t="s">
        <v>740</v>
      </c>
      <c r="C3987" s="139" t="s">
        <v>123</v>
      </c>
      <c r="D3987" s="139" t="s">
        <v>9424</v>
      </c>
    </row>
    <row r="3988" spans="1:4" x14ac:dyDescent="0.25">
      <c r="A3988" s="139" t="s">
        <v>9425</v>
      </c>
      <c r="B3988" s="139" t="s">
        <v>248</v>
      </c>
      <c r="C3988" s="139" t="s">
        <v>123</v>
      </c>
      <c r="D3988" s="139" t="s">
        <v>9426</v>
      </c>
    </row>
    <row r="3989" spans="1:4" x14ac:dyDescent="0.25">
      <c r="A3989" s="139" t="s">
        <v>9427</v>
      </c>
      <c r="B3989" s="139" t="s">
        <v>248</v>
      </c>
      <c r="C3989" s="139" t="s">
        <v>123</v>
      </c>
      <c r="D3989" s="139" t="s">
        <v>9428</v>
      </c>
    </row>
    <row r="3990" spans="1:4" x14ac:dyDescent="0.25">
      <c r="A3990" s="139" t="s">
        <v>9429</v>
      </c>
      <c r="B3990" s="139" t="s">
        <v>374</v>
      </c>
      <c r="C3990" s="139" t="s">
        <v>123</v>
      </c>
      <c r="D3990" s="139" t="s">
        <v>9430</v>
      </c>
    </row>
    <row r="3991" spans="1:4" x14ac:dyDescent="0.25">
      <c r="A3991" s="139" t="s">
        <v>9431</v>
      </c>
      <c r="B3991" s="139" t="s">
        <v>374</v>
      </c>
      <c r="C3991" s="139" t="s">
        <v>123</v>
      </c>
      <c r="D3991" s="139" t="s">
        <v>9432</v>
      </c>
    </row>
    <row r="3992" spans="1:4" x14ac:dyDescent="0.25">
      <c r="A3992" s="139" t="s">
        <v>9433</v>
      </c>
      <c r="B3992" s="139" t="s">
        <v>422</v>
      </c>
      <c r="C3992" s="139" t="s">
        <v>123</v>
      </c>
      <c r="D3992" s="139" t="s">
        <v>9434</v>
      </c>
    </row>
    <row r="3993" spans="1:4" x14ac:dyDescent="0.25">
      <c r="A3993" s="139" t="s">
        <v>9435</v>
      </c>
      <c r="B3993" s="139" t="s">
        <v>422</v>
      </c>
      <c r="C3993" s="139" t="s">
        <v>123</v>
      </c>
      <c r="D3993" s="139" t="s">
        <v>9436</v>
      </c>
    </row>
    <row r="3994" spans="1:4" x14ac:dyDescent="0.25">
      <c r="A3994" s="139" t="s">
        <v>9437</v>
      </c>
      <c r="B3994" s="139" t="s">
        <v>9438</v>
      </c>
      <c r="C3994" s="139" t="s">
        <v>123</v>
      </c>
      <c r="D3994" s="139" t="s">
        <v>9439</v>
      </c>
    </row>
    <row r="3995" spans="1:4" x14ac:dyDescent="0.25">
      <c r="A3995" s="139" t="s">
        <v>9440</v>
      </c>
      <c r="B3995" s="139" t="s">
        <v>9438</v>
      </c>
      <c r="C3995" s="139" t="s">
        <v>123</v>
      </c>
      <c r="D3995" s="139" t="s">
        <v>9441</v>
      </c>
    </row>
    <row r="3996" spans="1:4" x14ac:dyDescent="0.25">
      <c r="A3996" s="139" t="s">
        <v>9442</v>
      </c>
      <c r="B3996" s="139" t="s">
        <v>9443</v>
      </c>
      <c r="C3996" s="139" t="s">
        <v>123</v>
      </c>
      <c r="D3996" s="139" t="s">
        <v>9444</v>
      </c>
    </row>
    <row r="3997" spans="1:4" x14ac:dyDescent="0.25">
      <c r="A3997" s="139" t="s">
        <v>9445</v>
      </c>
      <c r="B3997" s="139" t="s">
        <v>9443</v>
      </c>
      <c r="C3997" s="139" t="s">
        <v>123</v>
      </c>
      <c r="D3997" s="139" t="s">
        <v>9446</v>
      </c>
    </row>
    <row r="3998" spans="1:4" x14ac:dyDescent="0.25">
      <c r="A3998" s="139" t="s">
        <v>9447</v>
      </c>
      <c r="B3998" s="139" t="s">
        <v>9448</v>
      </c>
      <c r="C3998" s="139" t="s">
        <v>123</v>
      </c>
      <c r="D3998" s="139" t="s">
        <v>9449</v>
      </c>
    </row>
    <row r="3999" spans="1:4" x14ac:dyDescent="0.25">
      <c r="A3999" s="139" t="s">
        <v>9450</v>
      </c>
      <c r="B3999" s="139" t="s">
        <v>9448</v>
      </c>
      <c r="C3999" s="139" t="s">
        <v>123</v>
      </c>
      <c r="D3999" s="139" t="s">
        <v>9451</v>
      </c>
    </row>
    <row r="4000" spans="1:4" x14ac:dyDescent="0.25">
      <c r="A4000" s="139" t="s">
        <v>9452</v>
      </c>
      <c r="B4000" s="139" t="s">
        <v>9453</v>
      </c>
      <c r="C4000" s="139" t="s">
        <v>123</v>
      </c>
      <c r="D4000" s="139" t="s">
        <v>9454</v>
      </c>
    </row>
    <row r="4001" spans="1:4" x14ac:dyDescent="0.25">
      <c r="A4001" s="139" t="s">
        <v>9455</v>
      </c>
      <c r="B4001" s="139" t="s">
        <v>9453</v>
      </c>
      <c r="C4001" s="139" t="s">
        <v>123</v>
      </c>
      <c r="D4001" s="139" t="s">
        <v>9456</v>
      </c>
    </row>
    <row r="4002" spans="1:4" x14ac:dyDescent="0.25">
      <c r="A4002" s="139" t="s">
        <v>9457</v>
      </c>
      <c r="B4002" s="139" t="s">
        <v>9458</v>
      </c>
      <c r="C4002" s="139" t="s">
        <v>123</v>
      </c>
      <c r="D4002" s="139" t="s">
        <v>9459</v>
      </c>
    </row>
    <row r="4003" spans="1:4" x14ac:dyDescent="0.25">
      <c r="A4003" s="139" t="s">
        <v>9460</v>
      </c>
      <c r="B4003" s="139" t="s">
        <v>9458</v>
      </c>
      <c r="C4003" s="139" t="s">
        <v>123</v>
      </c>
      <c r="D4003" s="139" t="s">
        <v>9461</v>
      </c>
    </row>
    <row r="4004" spans="1:4" x14ac:dyDescent="0.25">
      <c r="A4004" s="139" t="s">
        <v>9462</v>
      </c>
      <c r="B4004" s="139" t="s">
        <v>9463</v>
      </c>
      <c r="C4004" s="139" t="s">
        <v>123</v>
      </c>
      <c r="D4004" s="139" t="s">
        <v>9464</v>
      </c>
    </row>
    <row r="4005" spans="1:4" x14ac:dyDescent="0.25">
      <c r="A4005" s="139" t="s">
        <v>9465</v>
      </c>
      <c r="B4005" s="139" t="s">
        <v>9463</v>
      </c>
      <c r="C4005" s="139" t="s">
        <v>123</v>
      </c>
      <c r="D4005" s="139" t="s">
        <v>9466</v>
      </c>
    </row>
    <row r="4006" spans="1:4" x14ac:dyDescent="0.25">
      <c r="A4006" s="139" t="s">
        <v>9467</v>
      </c>
      <c r="B4006" s="139" t="s">
        <v>9468</v>
      </c>
      <c r="C4006" s="139" t="s">
        <v>123</v>
      </c>
      <c r="D4006" s="139" t="s">
        <v>9469</v>
      </c>
    </row>
    <row r="4007" spans="1:4" x14ac:dyDescent="0.25">
      <c r="A4007" s="139" t="s">
        <v>9470</v>
      </c>
      <c r="B4007" s="139" t="s">
        <v>9468</v>
      </c>
      <c r="C4007" s="139" t="s">
        <v>123</v>
      </c>
      <c r="D4007" s="139" t="s">
        <v>9471</v>
      </c>
    </row>
    <row r="4008" spans="1:4" x14ac:dyDescent="0.25">
      <c r="A4008" s="139" t="s">
        <v>9472</v>
      </c>
      <c r="B4008" s="139" t="s">
        <v>9473</v>
      </c>
      <c r="C4008" s="139" t="s">
        <v>123</v>
      </c>
      <c r="D4008" s="139" t="s">
        <v>9474</v>
      </c>
    </row>
    <row r="4009" spans="1:4" x14ac:dyDescent="0.25">
      <c r="A4009" s="139" t="s">
        <v>9475</v>
      </c>
      <c r="B4009" s="139" t="s">
        <v>9473</v>
      </c>
      <c r="C4009" s="139" t="s">
        <v>123</v>
      </c>
      <c r="D4009" s="139" t="s">
        <v>9476</v>
      </c>
    </row>
    <row r="4010" spans="1:4" x14ac:dyDescent="0.25">
      <c r="A4010" s="139" t="s">
        <v>9477</v>
      </c>
      <c r="B4010" s="139" t="s">
        <v>9478</v>
      </c>
      <c r="C4010" s="139" t="s">
        <v>123</v>
      </c>
      <c r="D4010" s="139" t="s">
        <v>9479</v>
      </c>
    </row>
    <row r="4011" spans="1:4" x14ac:dyDescent="0.25">
      <c r="A4011" s="139" t="s">
        <v>9480</v>
      </c>
      <c r="B4011" s="139" t="s">
        <v>9478</v>
      </c>
      <c r="C4011" s="139" t="s">
        <v>123</v>
      </c>
      <c r="D4011" s="139" t="s">
        <v>9481</v>
      </c>
    </row>
    <row r="4012" spans="1:4" x14ac:dyDescent="0.25">
      <c r="A4012" s="139" t="s">
        <v>9482</v>
      </c>
      <c r="B4012" s="139" t="s">
        <v>9483</v>
      </c>
      <c r="C4012" s="139" t="s">
        <v>123</v>
      </c>
      <c r="D4012" s="139" t="s">
        <v>9484</v>
      </c>
    </row>
    <row r="4013" spans="1:4" x14ac:dyDescent="0.25">
      <c r="A4013" s="139" t="s">
        <v>9485</v>
      </c>
      <c r="B4013" s="139" t="s">
        <v>9483</v>
      </c>
      <c r="C4013" s="139" t="s">
        <v>123</v>
      </c>
      <c r="D4013" s="139" t="s">
        <v>9486</v>
      </c>
    </row>
    <row r="4014" spans="1:4" x14ac:dyDescent="0.25">
      <c r="A4014" s="139" t="s">
        <v>9487</v>
      </c>
      <c r="B4014" s="139" t="s">
        <v>101</v>
      </c>
      <c r="C4014" s="139" t="s">
        <v>123</v>
      </c>
      <c r="D4014" s="139" t="s">
        <v>9488</v>
      </c>
    </row>
    <row r="4015" spans="1:4" x14ac:dyDescent="0.25">
      <c r="A4015" s="139" t="s">
        <v>9489</v>
      </c>
      <c r="B4015" s="139" t="s">
        <v>101</v>
      </c>
      <c r="C4015" s="139" t="s">
        <v>123</v>
      </c>
      <c r="D4015" s="139" t="s">
        <v>9490</v>
      </c>
    </row>
    <row r="4016" spans="1:4" x14ac:dyDescent="0.25">
      <c r="A4016" s="139" t="s">
        <v>9491</v>
      </c>
      <c r="B4016" s="139" t="s">
        <v>9492</v>
      </c>
      <c r="C4016" s="139" t="s">
        <v>123</v>
      </c>
      <c r="D4016" s="139" t="s">
        <v>9493</v>
      </c>
    </row>
    <row r="4017" spans="1:4" x14ac:dyDescent="0.25">
      <c r="A4017" s="139" t="s">
        <v>9494</v>
      </c>
      <c r="B4017" s="139" t="s">
        <v>9492</v>
      </c>
      <c r="C4017" s="139" t="s">
        <v>123</v>
      </c>
      <c r="D4017" s="139" t="s">
        <v>9495</v>
      </c>
    </row>
    <row r="4018" spans="1:4" x14ac:dyDescent="0.25">
      <c r="A4018" s="139" t="s">
        <v>9496</v>
      </c>
      <c r="B4018" s="139" t="s">
        <v>9497</v>
      </c>
      <c r="C4018" s="139" t="s">
        <v>123</v>
      </c>
      <c r="D4018" s="139" t="s">
        <v>9498</v>
      </c>
    </row>
    <row r="4019" spans="1:4" x14ac:dyDescent="0.25">
      <c r="A4019" s="139" t="s">
        <v>9499</v>
      </c>
      <c r="B4019" s="139" t="s">
        <v>9497</v>
      </c>
      <c r="C4019" s="139" t="s">
        <v>123</v>
      </c>
      <c r="D4019" s="139" t="s">
        <v>9500</v>
      </c>
    </row>
    <row r="4020" spans="1:4" x14ac:dyDescent="0.25">
      <c r="A4020" s="139" t="s">
        <v>9501</v>
      </c>
      <c r="B4020" s="139" t="s">
        <v>9502</v>
      </c>
      <c r="C4020" s="139" t="s">
        <v>123</v>
      </c>
      <c r="D4020" s="139" t="s">
        <v>9503</v>
      </c>
    </row>
    <row r="4021" spans="1:4" x14ac:dyDescent="0.25">
      <c r="A4021" s="139" t="s">
        <v>9504</v>
      </c>
      <c r="B4021" s="139" t="s">
        <v>9502</v>
      </c>
      <c r="C4021" s="139" t="s">
        <v>123</v>
      </c>
      <c r="D4021" s="139" t="s">
        <v>9505</v>
      </c>
    </row>
    <row r="4022" spans="1:4" x14ac:dyDescent="0.25">
      <c r="A4022" s="139" t="s">
        <v>9506</v>
      </c>
      <c r="B4022" s="139" t="s">
        <v>9507</v>
      </c>
      <c r="C4022" s="139" t="s">
        <v>123</v>
      </c>
      <c r="D4022" s="139" t="s">
        <v>9508</v>
      </c>
    </row>
    <row r="4023" spans="1:4" x14ac:dyDescent="0.25">
      <c r="A4023" s="139" t="s">
        <v>9509</v>
      </c>
      <c r="B4023" s="139" t="s">
        <v>9507</v>
      </c>
      <c r="C4023" s="139" t="s">
        <v>123</v>
      </c>
      <c r="D4023" s="139" t="s">
        <v>9510</v>
      </c>
    </row>
    <row r="4024" spans="1:4" x14ac:dyDescent="0.25">
      <c r="A4024" s="139" t="s">
        <v>9511</v>
      </c>
      <c r="B4024" s="139" t="s">
        <v>9512</v>
      </c>
      <c r="C4024" s="139" t="s">
        <v>123</v>
      </c>
      <c r="D4024" s="139" t="s">
        <v>9513</v>
      </c>
    </row>
    <row r="4025" spans="1:4" x14ac:dyDescent="0.25">
      <c r="A4025" s="139" t="s">
        <v>9514</v>
      </c>
      <c r="B4025" s="139" t="s">
        <v>9512</v>
      </c>
      <c r="C4025" s="139" t="s">
        <v>123</v>
      </c>
      <c r="D4025" s="139" t="s">
        <v>9515</v>
      </c>
    </row>
    <row r="4026" spans="1:4" x14ac:dyDescent="0.25">
      <c r="A4026" s="139" t="s">
        <v>9516</v>
      </c>
      <c r="B4026" s="139" t="s">
        <v>4987</v>
      </c>
      <c r="C4026" s="139" t="s">
        <v>123</v>
      </c>
      <c r="D4026" s="139" t="s">
        <v>9517</v>
      </c>
    </row>
    <row r="4027" spans="1:4" x14ac:dyDescent="0.25">
      <c r="A4027" s="139" t="s">
        <v>9518</v>
      </c>
      <c r="B4027" s="139" t="s">
        <v>4987</v>
      </c>
      <c r="C4027" s="139" t="s">
        <v>123</v>
      </c>
      <c r="D4027" s="139" t="s">
        <v>9519</v>
      </c>
    </row>
    <row r="4028" spans="1:4" x14ac:dyDescent="0.25">
      <c r="A4028" s="139" t="s">
        <v>9520</v>
      </c>
      <c r="B4028" s="139" t="s">
        <v>4522</v>
      </c>
      <c r="C4028" s="139" t="s">
        <v>123</v>
      </c>
      <c r="D4028" s="139" t="s">
        <v>9521</v>
      </c>
    </row>
    <row r="4029" spans="1:4" x14ac:dyDescent="0.25">
      <c r="A4029" s="139" t="s">
        <v>9522</v>
      </c>
      <c r="B4029" s="139" t="s">
        <v>4522</v>
      </c>
      <c r="C4029" s="139" t="s">
        <v>123</v>
      </c>
      <c r="D4029" s="139" t="s">
        <v>9523</v>
      </c>
    </row>
    <row r="4030" spans="1:4" x14ac:dyDescent="0.25">
      <c r="A4030" s="139" t="s">
        <v>9524</v>
      </c>
      <c r="B4030" s="139" t="s">
        <v>211</v>
      </c>
      <c r="C4030" s="139" t="s">
        <v>65</v>
      </c>
      <c r="D4030" s="139" t="s">
        <v>9525</v>
      </c>
    </row>
    <row r="4031" spans="1:4" x14ac:dyDescent="0.25">
      <c r="A4031" s="139" t="s">
        <v>9526</v>
      </c>
      <c r="B4031" s="139" t="s">
        <v>211</v>
      </c>
      <c r="C4031" s="139" t="s">
        <v>65</v>
      </c>
      <c r="D4031" s="139" t="s">
        <v>9527</v>
      </c>
    </row>
    <row r="4032" spans="1:4" x14ac:dyDescent="0.25">
      <c r="A4032" s="139" t="s">
        <v>9528</v>
      </c>
      <c r="B4032" s="139" t="s">
        <v>9529</v>
      </c>
      <c r="C4032" s="139" t="s">
        <v>65</v>
      </c>
      <c r="D4032" s="139" t="s">
        <v>9530</v>
      </c>
    </row>
    <row r="4033" spans="1:4" x14ac:dyDescent="0.25">
      <c r="A4033" s="139" t="s">
        <v>9531</v>
      </c>
      <c r="B4033" s="139" t="s">
        <v>9529</v>
      </c>
      <c r="C4033" s="139" t="s">
        <v>65</v>
      </c>
      <c r="D4033" s="139" t="s">
        <v>9532</v>
      </c>
    </row>
    <row r="4034" spans="1:4" x14ac:dyDescent="0.25">
      <c r="A4034" s="139" t="s">
        <v>9533</v>
      </c>
      <c r="B4034" s="139" t="s">
        <v>3301</v>
      </c>
      <c r="C4034" s="139" t="s">
        <v>65</v>
      </c>
      <c r="D4034" s="139" t="s">
        <v>9534</v>
      </c>
    </row>
    <row r="4035" spans="1:4" x14ac:dyDescent="0.25">
      <c r="A4035" s="139" t="s">
        <v>9535</v>
      </c>
      <c r="B4035" s="139" t="s">
        <v>3301</v>
      </c>
      <c r="C4035" s="139" t="s">
        <v>65</v>
      </c>
      <c r="D4035" s="139" t="s">
        <v>9536</v>
      </c>
    </row>
    <row r="4036" spans="1:4" x14ac:dyDescent="0.25">
      <c r="A4036" s="139" t="s">
        <v>9537</v>
      </c>
      <c r="B4036" s="139" t="s">
        <v>3304</v>
      </c>
      <c r="C4036" s="139" t="s">
        <v>65</v>
      </c>
      <c r="D4036" s="139" t="s">
        <v>9538</v>
      </c>
    </row>
    <row r="4037" spans="1:4" x14ac:dyDescent="0.25">
      <c r="A4037" s="139" t="s">
        <v>9539</v>
      </c>
      <c r="B4037" s="139" t="s">
        <v>3304</v>
      </c>
      <c r="C4037" s="139" t="s">
        <v>65</v>
      </c>
      <c r="D4037" s="139" t="s">
        <v>9540</v>
      </c>
    </row>
    <row r="4038" spans="1:4" x14ac:dyDescent="0.25">
      <c r="A4038" s="139" t="s">
        <v>9541</v>
      </c>
      <c r="B4038" s="139" t="s">
        <v>9542</v>
      </c>
      <c r="C4038" s="139" t="s">
        <v>65</v>
      </c>
      <c r="D4038" s="139" t="s">
        <v>9543</v>
      </c>
    </row>
    <row r="4039" spans="1:4" x14ac:dyDescent="0.25">
      <c r="A4039" s="139" t="s">
        <v>9544</v>
      </c>
      <c r="B4039" s="139" t="s">
        <v>9542</v>
      </c>
      <c r="C4039" s="139" t="s">
        <v>65</v>
      </c>
      <c r="D4039" s="139" t="s">
        <v>9545</v>
      </c>
    </row>
    <row r="4040" spans="1:4" x14ac:dyDescent="0.25">
      <c r="A4040" s="139" t="s">
        <v>9546</v>
      </c>
      <c r="B4040" s="139" t="s">
        <v>9547</v>
      </c>
      <c r="C4040" s="139" t="s">
        <v>65</v>
      </c>
      <c r="D4040" s="139" t="s">
        <v>9548</v>
      </c>
    </row>
    <row r="4041" spans="1:4" x14ac:dyDescent="0.25">
      <c r="A4041" s="139" t="s">
        <v>9549</v>
      </c>
      <c r="B4041" s="139" t="s">
        <v>9547</v>
      </c>
      <c r="C4041" s="139" t="s">
        <v>65</v>
      </c>
      <c r="D4041" s="139" t="s">
        <v>9550</v>
      </c>
    </row>
    <row r="4042" spans="1:4" x14ac:dyDescent="0.25">
      <c r="A4042" s="139" t="s">
        <v>9551</v>
      </c>
      <c r="B4042" s="139" t="s">
        <v>9552</v>
      </c>
      <c r="C4042" s="139" t="s">
        <v>65</v>
      </c>
      <c r="D4042" s="139" t="s">
        <v>9553</v>
      </c>
    </row>
    <row r="4043" spans="1:4" x14ac:dyDescent="0.25">
      <c r="A4043" s="139" t="s">
        <v>9554</v>
      </c>
      <c r="B4043" s="139" t="s">
        <v>9552</v>
      </c>
      <c r="C4043" s="139" t="s">
        <v>65</v>
      </c>
      <c r="D4043" s="139" t="s">
        <v>9555</v>
      </c>
    </row>
    <row r="4044" spans="1:4" x14ac:dyDescent="0.25">
      <c r="A4044" s="139" t="s">
        <v>9556</v>
      </c>
      <c r="B4044" s="139" t="s">
        <v>9557</v>
      </c>
      <c r="C4044" s="139" t="s">
        <v>65</v>
      </c>
      <c r="D4044" s="139" t="s">
        <v>9558</v>
      </c>
    </row>
    <row r="4045" spans="1:4" x14ac:dyDescent="0.25">
      <c r="A4045" s="139" t="s">
        <v>9559</v>
      </c>
      <c r="B4045" s="139" t="s">
        <v>9557</v>
      </c>
      <c r="C4045" s="139" t="s">
        <v>65</v>
      </c>
      <c r="D4045" s="139" t="s">
        <v>9560</v>
      </c>
    </row>
    <row r="4046" spans="1:4" x14ac:dyDescent="0.25">
      <c r="A4046" s="139" t="s">
        <v>9561</v>
      </c>
      <c r="B4046" s="139" t="s">
        <v>9245</v>
      </c>
      <c r="C4046" s="139" t="s">
        <v>65</v>
      </c>
      <c r="D4046" s="139" t="s">
        <v>9562</v>
      </c>
    </row>
    <row r="4047" spans="1:4" x14ac:dyDescent="0.25">
      <c r="A4047" s="139" t="s">
        <v>9563</v>
      </c>
      <c r="B4047" s="139" t="s">
        <v>9245</v>
      </c>
      <c r="C4047" s="139" t="s">
        <v>65</v>
      </c>
      <c r="D4047" s="139" t="s">
        <v>9564</v>
      </c>
    </row>
    <row r="4048" spans="1:4" x14ac:dyDescent="0.25">
      <c r="A4048" s="139" t="s">
        <v>9565</v>
      </c>
      <c r="B4048" s="139" t="s">
        <v>9566</v>
      </c>
      <c r="C4048" s="139" t="s">
        <v>65</v>
      </c>
      <c r="D4048" s="139" t="s">
        <v>9567</v>
      </c>
    </row>
    <row r="4049" spans="1:4" x14ac:dyDescent="0.25">
      <c r="A4049" s="139" t="s">
        <v>9568</v>
      </c>
      <c r="B4049" s="139" t="s">
        <v>9566</v>
      </c>
      <c r="C4049" s="139" t="s">
        <v>65</v>
      </c>
      <c r="D4049" s="139" t="s">
        <v>9569</v>
      </c>
    </row>
    <row r="4050" spans="1:4" x14ac:dyDescent="0.25">
      <c r="A4050" s="139" t="s">
        <v>9570</v>
      </c>
      <c r="B4050" s="139" t="s">
        <v>9571</v>
      </c>
      <c r="C4050" s="139" t="s">
        <v>65</v>
      </c>
      <c r="D4050" s="139" t="s">
        <v>9572</v>
      </c>
    </row>
    <row r="4051" spans="1:4" x14ac:dyDescent="0.25">
      <c r="A4051" s="139" t="s">
        <v>9573</v>
      </c>
      <c r="B4051" s="139" t="s">
        <v>9571</v>
      </c>
      <c r="C4051" s="139" t="s">
        <v>65</v>
      </c>
      <c r="D4051" s="139" t="s">
        <v>9574</v>
      </c>
    </row>
    <row r="4052" spans="1:4" x14ac:dyDescent="0.25">
      <c r="A4052" s="139" t="s">
        <v>9575</v>
      </c>
      <c r="B4052" s="139" t="s">
        <v>9259</v>
      </c>
      <c r="C4052" s="139" t="s">
        <v>65</v>
      </c>
      <c r="D4052" s="139" t="s">
        <v>9576</v>
      </c>
    </row>
    <row r="4053" spans="1:4" x14ac:dyDescent="0.25">
      <c r="A4053" s="139" t="s">
        <v>9577</v>
      </c>
      <c r="B4053" s="139" t="s">
        <v>9259</v>
      </c>
      <c r="C4053" s="139" t="s">
        <v>65</v>
      </c>
      <c r="D4053" s="139" t="s">
        <v>9578</v>
      </c>
    </row>
    <row r="4054" spans="1:4" x14ac:dyDescent="0.25">
      <c r="A4054" s="139" t="s">
        <v>9579</v>
      </c>
      <c r="B4054" s="139" t="s">
        <v>9580</v>
      </c>
      <c r="C4054" s="139" t="s">
        <v>65</v>
      </c>
      <c r="D4054" s="139" t="s">
        <v>9581</v>
      </c>
    </row>
    <row r="4055" spans="1:4" x14ac:dyDescent="0.25">
      <c r="A4055" s="139" t="s">
        <v>9582</v>
      </c>
      <c r="B4055" s="139" t="s">
        <v>9580</v>
      </c>
      <c r="C4055" s="139" t="s">
        <v>65</v>
      </c>
      <c r="D4055" s="139" t="s">
        <v>9583</v>
      </c>
    </row>
    <row r="4056" spans="1:4" x14ac:dyDescent="0.25">
      <c r="A4056" s="139" t="s">
        <v>9584</v>
      </c>
      <c r="B4056" s="139" t="s">
        <v>9585</v>
      </c>
      <c r="C4056" s="139" t="s">
        <v>65</v>
      </c>
      <c r="D4056" s="139" t="s">
        <v>9586</v>
      </c>
    </row>
    <row r="4057" spans="1:4" x14ac:dyDescent="0.25">
      <c r="A4057" s="139" t="s">
        <v>9587</v>
      </c>
      <c r="B4057" s="139" t="s">
        <v>9585</v>
      </c>
      <c r="C4057" s="139" t="s">
        <v>65</v>
      </c>
      <c r="D4057" s="139" t="s">
        <v>9588</v>
      </c>
    </row>
    <row r="4058" spans="1:4" x14ac:dyDescent="0.25">
      <c r="A4058" s="139" t="s">
        <v>9589</v>
      </c>
      <c r="B4058" s="139" t="s">
        <v>9590</v>
      </c>
      <c r="C4058" s="139" t="s">
        <v>65</v>
      </c>
      <c r="D4058" s="139" t="s">
        <v>9591</v>
      </c>
    </row>
    <row r="4059" spans="1:4" x14ac:dyDescent="0.25">
      <c r="A4059" s="139" t="s">
        <v>9592</v>
      </c>
      <c r="B4059" s="139" t="s">
        <v>9590</v>
      </c>
      <c r="C4059" s="139" t="s">
        <v>65</v>
      </c>
      <c r="D4059" s="139" t="s">
        <v>9593</v>
      </c>
    </row>
    <row r="4060" spans="1:4" x14ac:dyDescent="0.25">
      <c r="A4060" s="139" t="s">
        <v>9594</v>
      </c>
      <c r="B4060" s="139" t="s">
        <v>904</v>
      </c>
      <c r="C4060" s="139" t="s">
        <v>65</v>
      </c>
      <c r="D4060" s="139" t="s">
        <v>9595</v>
      </c>
    </row>
    <row r="4061" spans="1:4" x14ac:dyDescent="0.25">
      <c r="A4061" s="139" t="s">
        <v>9596</v>
      </c>
      <c r="B4061" s="139" t="s">
        <v>904</v>
      </c>
      <c r="C4061" s="139" t="s">
        <v>65</v>
      </c>
      <c r="D4061" s="139" t="s">
        <v>9597</v>
      </c>
    </row>
    <row r="4062" spans="1:4" x14ac:dyDescent="0.25">
      <c r="A4062" s="139" t="s">
        <v>9598</v>
      </c>
      <c r="B4062" s="139" t="s">
        <v>5845</v>
      </c>
      <c r="C4062" s="139" t="s">
        <v>65</v>
      </c>
      <c r="D4062" s="139" t="s">
        <v>9599</v>
      </c>
    </row>
    <row r="4063" spans="1:4" x14ac:dyDescent="0.25">
      <c r="A4063" s="139" t="s">
        <v>9600</v>
      </c>
      <c r="B4063" s="139" t="s">
        <v>5845</v>
      </c>
      <c r="C4063" s="139" t="s">
        <v>65</v>
      </c>
      <c r="D4063" s="139" t="s">
        <v>9601</v>
      </c>
    </row>
    <row r="4064" spans="1:4" x14ac:dyDescent="0.25">
      <c r="A4064" s="139" t="s">
        <v>9602</v>
      </c>
      <c r="B4064" s="139" t="s">
        <v>9603</v>
      </c>
      <c r="C4064" s="139" t="s">
        <v>65</v>
      </c>
      <c r="D4064" s="139" t="s">
        <v>9604</v>
      </c>
    </row>
    <row r="4065" spans="1:4" x14ac:dyDescent="0.25">
      <c r="A4065" s="139" t="s">
        <v>9605</v>
      </c>
      <c r="B4065" s="139" t="s">
        <v>9603</v>
      </c>
      <c r="C4065" s="139" t="s">
        <v>65</v>
      </c>
      <c r="D4065" s="139" t="s">
        <v>9606</v>
      </c>
    </row>
    <row r="4066" spans="1:4" x14ac:dyDescent="0.25">
      <c r="A4066" s="139" t="s">
        <v>9607</v>
      </c>
      <c r="B4066" s="139" t="s">
        <v>9608</v>
      </c>
      <c r="C4066" s="139" t="s">
        <v>65</v>
      </c>
      <c r="D4066" s="139" t="s">
        <v>9609</v>
      </c>
    </row>
    <row r="4067" spans="1:4" x14ac:dyDescent="0.25">
      <c r="A4067" s="139" t="s">
        <v>9610</v>
      </c>
      <c r="B4067" s="139" t="s">
        <v>9608</v>
      </c>
      <c r="C4067" s="139" t="s">
        <v>65</v>
      </c>
      <c r="D4067" s="139" t="s">
        <v>9611</v>
      </c>
    </row>
    <row r="4068" spans="1:4" x14ac:dyDescent="0.25">
      <c r="A4068" s="139" t="s">
        <v>9612</v>
      </c>
      <c r="B4068" s="139" t="s">
        <v>9613</v>
      </c>
      <c r="C4068" s="139" t="s">
        <v>65</v>
      </c>
      <c r="D4068" s="139" t="s">
        <v>9614</v>
      </c>
    </row>
    <row r="4069" spans="1:4" x14ac:dyDescent="0.25">
      <c r="A4069" s="139" t="s">
        <v>9615</v>
      </c>
      <c r="B4069" s="139" t="s">
        <v>9613</v>
      </c>
      <c r="C4069" s="139" t="s">
        <v>65</v>
      </c>
      <c r="D4069" s="139" t="s">
        <v>9616</v>
      </c>
    </row>
    <row r="4070" spans="1:4" x14ac:dyDescent="0.25">
      <c r="A4070" s="139" t="s">
        <v>9617</v>
      </c>
      <c r="B4070" s="139" t="s">
        <v>9618</v>
      </c>
      <c r="C4070" s="139" t="s">
        <v>65</v>
      </c>
      <c r="D4070" s="139" t="s">
        <v>9619</v>
      </c>
    </row>
    <row r="4071" spans="1:4" x14ac:dyDescent="0.25">
      <c r="A4071" s="139" t="s">
        <v>9620</v>
      </c>
      <c r="B4071" s="139" t="s">
        <v>9618</v>
      </c>
      <c r="C4071" s="139" t="s">
        <v>65</v>
      </c>
      <c r="D4071" s="139" t="s">
        <v>9621</v>
      </c>
    </row>
    <row r="4072" spans="1:4" x14ac:dyDescent="0.25">
      <c r="A4072" s="139" t="s">
        <v>9622</v>
      </c>
      <c r="B4072" s="139" t="s">
        <v>9623</v>
      </c>
      <c r="C4072" s="139" t="s">
        <v>65</v>
      </c>
      <c r="D4072" s="139" t="s">
        <v>9624</v>
      </c>
    </row>
    <row r="4073" spans="1:4" x14ac:dyDescent="0.25">
      <c r="A4073" s="139" t="s">
        <v>9625</v>
      </c>
      <c r="B4073" s="139" t="s">
        <v>9623</v>
      </c>
      <c r="C4073" s="139" t="s">
        <v>65</v>
      </c>
      <c r="D4073" s="139" t="s">
        <v>9626</v>
      </c>
    </row>
    <row r="4074" spans="1:4" x14ac:dyDescent="0.25">
      <c r="A4074" s="139" t="s">
        <v>9627</v>
      </c>
      <c r="B4074" s="139" t="s">
        <v>9628</v>
      </c>
      <c r="C4074" s="139" t="s">
        <v>65</v>
      </c>
      <c r="D4074" s="139" t="s">
        <v>9629</v>
      </c>
    </row>
    <row r="4075" spans="1:4" x14ac:dyDescent="0.25">
      <c r="A4075" s="139" t="s">
        <v>9630</v>
      </c>
      <c r="B4075" s="139" t="s">
        <v>9628</v>
      </c>
      <c r="C4075" s="139" t="s">
        <v>65</v>
      </c>
      <c r="D4075" s="139" t="s">
        <v>9631</v>
      </c>
    </row>
    <row r="4076" spans="1:4" x14ac:dyDescent="0.25">
      <c r="A4076" s="139" t="s">
        <v>9632</v>
      </c>
      <c r="B4076" s="139" t="s">
        <v>9633</v>
      </c>
      <c r="C4076" s="139" t="s">
        <v>65</v>
      </c>
      <c r="D4076" s="139" t="s">
        <v>9634</v>
      </c>
    </row>
    <row r="4077" spans="1:4" x14ac:dyDescent="0.25">
      <c r="A4077" s="139" t="s">
        <v>9635</v>
      </c>
      <c r="B4077" s="139" t="s">
        <v>9633</v>
      </c>
      <c r="C4077" s="139" t="s">
        <v>65</v>
      </c>
      <c r="D4077" s="139" t="s">
        <v>9636</v>
      </c>
    </row>
    <row r="4078" spans="1:4" x14ac:dyDescent="0.25">
      <c r="A4078" s="139" t="s">
        <v>9637</v>
      </c>
      <c r="B4078" s="139" t="s">
        <v>428</v>
      </c>
      <c r="C4078" s="139" t="s">
        <v>65</v>
      </c>
      <c r="D4078" s="139" t="s">
        <v>9638</v>
      </c>
    </row>
    <row r="4079" spans="1:4" x14ac:dyDescent="0.25">
      <c r="A4079" s="139" t="s">
        <v>9639</v>
      </c>
      <c r="B4079" s="139" t="s">
        <v>428</v>
      </c>
      <c r="C4079" s="139" t="s">
        <v>65</v>
      </c>
      <c r="D4079" s="139" t="s">
        <v>9640</v>
      </c>
    </row>
    <row r="4080" spans="1:4" x14ac:dyDescent="0.25">
      <c r="A4080" s="139" t="s">
        <v>9641</v>
      </c>
      <c r="B4080" s="139" t="s">
        <v>326</v>
      </c>
      <c r="C4080" s="139" t="s">
        <v>65</v>
      </c>
      <c r="D4080" s="139" t="s">
        <v>9642</v>
      </c>
    </row>
    <row r="4081" spans="1:4" x14ac:dyDescent="0.25">
      <c r="A4081" s="139" t="s">
        <v>9643</v>
      </c>
      <c r="B4081" s="139" t="s">
        <v>326</v>
      </c>
      <c r="C4081" s="139" t="s">
        <v>65</v>
      </c>
      <c r="D4081" s="139" t="s">
        <v>9644</v>
      </c>
    </row>
    <row r="4082" spans="1:4" x14ac:dyDescent="0.25">
      <c r="A4082" s="139" t="s">
        <v>9645</v>
      </c>
      <c r="B4082" s="139" t="s">
        <v>6575</v>
      </c>
      <c r="C4082" s="139" t="s">
        <v>658</v>
      </c>
      <c r="D4082" s="139" t="s">
        <v>9646</v>
      </c>
    </row>
    <row r="4083" spans="1:4" x14ac:dyDescent="0.25">
      <c r="A4083" s="139" t="s">
        <v>9647</v>
      </c>
      <c r="B4083" s="139" t="s">
        <v>6575</v>
      </c>
      <c r="C4083" s="139" t="s">
        <v>658</v>
      </c>
      <c r="D4083" s="139" t="s">
        <v>9648</v>
      </c>
    </row>
    <row r="4084" spans="1:4" x14ac:dyDescent="0.25">
      <c r="A4084" s="139" t="s">
        <v>9649</v>
      </c>
      <c r="B4084" s="139" t="s">
        <v>895</v>
      </c>
      <c r="C4084" s="139" t="s">
        <v>127</v>
      </c>
      <c r="D4084" s="139" t="s">
        <v>9650</v>
      </c>
    </row>
    <row r="4085" spans="1:4" x14ac:dyDescent="0.25">
      <c r="A4085" s="139" t="s">
        <v>9651</v>
      </c>
      <c r="B4085" s="139" t="s">
        <v>895</v>
      </c>
      <c r="C4085" s="139" t="s">
        <v>127</v>
      </c>
      <c r="D4085" s="139" t="s">
        <v>9652</v>
      </c>
    </row>
    <row r="4086" spans="1:4" x14ac:dyDescent="0.25">
      <c r="A4086" s="139" t="s">
        <v>9653</v>
      </c>
      <c r="B4086" s="139" t="s">
        <v>4512</v>
      </c>
      <c r="C4086" s="139" t="s">
        <v>127</v>
      </c>
      <c r="D4086" s="139" t="s">
        <v>9654</v>
      </c>
    </row>
    <row r="4087" spans="1:4" x14ac:dyDescent="0.25">
      <c r="A4087" s="139" t="s">
        <v>9655</v>
      </c>
      <c r="B4087" s="139" t="s">
        <v>4512</v>
      </c>
      <c r="C4087" s="139" t="s">
        <v>127</v>
      </c>
      <c r="D4087" s="139" t="s">
        <v>9656</v>
      </c>
    </row>
    <row r="4088" spans="1:4" x14ac:dyDescent="0.25">
      <c r="A4088" s="139" t="s">
        <v>9657</v>
      </c>
      <c r="B4088" s="139" t="s">
        <v>1238</v>
      </c>
      <c r="C4088" s="139" t="s">
        <v>33</v>
      </c>
      <c r="D4088" s="139" t="s">
        <v>9658</v>
      </c>
    </row>
    <row r="4089" spans="1:4" x14ac:dyDescent="0.25">
      <c r="A4089" s="139" t="s">
        <v>9659</v>
      </c>
      <c r="B4089" s="139" t="s">
        <v>1238</v>
      </c>
      <c r="C4089" s="139" t="s">
        <v>33</v>
      </c>
      <c r="D4089" s="139" t="s">
        <v>9660</v>
      </c>
    </row>
    <row r="4090" spans="1:4" x14ac:dyDescent="0.25">
      <c r="A4090" s="139" t="s">
        <v>9661</v>
      </c>
      <c r="B4090" s="139" t="s">
        <v>9662</v>
      </c>
      <c r="C4090" s="139" t="s">
        <v>33</v>
      </c>
      <c r="D4090" s="139" t="s">
        <v>9663</v>
      </c>
    </row>
    <row r="4091" spans="1:4" x14ac:dyDescent="0.25">
      <c r="A4091" s="139" t="s">
        <v>9664</v>
      </c>
      <c r="B4091" s="139" t="s">
        <v>9662</v>
      </c>
      <c r="C4091" s="139" t="s">
        <v>33</v>
      </c>
      <c r="D4091" s="139" t="s">
        <v>9665</v>
      </c>
    </row>
    <row r="4092" spans="1:4" x14ac:dyDescent="0.25">
      <c r="A4092" s="139" t="s">
        <v>9666</v>
      </c>
      <c r="B4092" s="139" t="s">
        <v>5830</v>
      </c>
      <c r="C4092" s="139" t="s">
        <v>44</v>
      </c>
      <c r="D4092" s="139" t="s">
        <v>9667</v>
      </c>
    </row>
    <row r="4093" spans="1:4" x14ac:dyDescent="0.25">
      <c r="A4093" s="139" t="s">
        <v>9668</v>
      </c>
      <c r="B4093" s="139" t="s">
        <v>5830</v>
      </c>
      <c r="C4093" s="139" t="s">
        <v>44</v>
      </c>
      <c r="D4093" s="139" t="s">
        <v>9669</v>
      </c>
    </row>
    <row r="4094" spans="1:4" x14ac:dyDescent="0.25">
      <c r="A4094" s="139" t="s">
        <v>9670</v>
      </c>
      <c r="B4094" s="139" t="s">
        <v>9671</v>
      </c>
      <c r="C4094" s="139" t="s">
        <v>44</v>
      </c>
      <c r="D4094" s="139" t="s">
        <v>9672</v>
      </c>
    </row>
    <row r="4095" spans="1:4" x14ac:dyDescent="0.25">
      <c r="A4095" s="139" t="s">
        <v>9673</v>
      </c>
      <c r="B4095" s="139" t="s">
        <v>9671</v>
      </c>
      <c r="C4095" s="139" t="s">
        <v>44</v>
      </c>
      <c r="D4095" s="139" t="s">
        <v>9674</v>
      </c>
    </row>
    <row r="4096" spans="1:4" x14ac:dyDescent="0.25">
      <c r="A4096" s="139" t="s">
        <v>9675</v>
      </c>
      <c r="B4096" s="139" t="s">
        <v>9676</v>
      </c>
      <c r="C4096" s="139" t="s">
        <v>44</v>
      </c>
      <c r="D4096" s="139" t="s">
        <v>9677</v>
      </c>
    </row>
    <row r="4097" spans="1:4" x14ac:dyDescent="0.25">
      <c r="A4097" s="139" t="s">
        <v>9678</v>
      </c>
      <c r="B4097" s="139" t="s">
        <v>9676</v>
      </c>
      <c r="C4097" s="139" t="s">
        <v>44</v>
      </c>
      <c r="D4097" s="139" t="s">
        <v>9679</v>
      </c>
    </row>
    <row r="4098" spans="1:4" x14ac:dyDescent="0.25">
      <c r="A4098" s="139" t="s">
        <v>9680</v>
      </c>
      <c r="B4098" s="139" t="s">
        <v>9681</v>
      </c>
      <c r="C4098" s="139" t="s">
        <v>44</v>
      </c>
      <c r="D4098" s="139" t="s">
        <v>9682</v>
      </c>
    </row>
    <row r="4099" spans="1:4" x14ac:dyDescent="0.25">
      <c r="A4099" s="139" t="s">
        <v>9683</v>
      </c>
      <c r="B4099" s="139" t="s">
        <v>9681</v>
      </c>
      <c r="C4099" s="139" t="s">
        <v>44</v>
      </c>
      <c r="D4099" s="139" t="s">
        <v>9684</v>
      </c>
    </row>
    <row r="4100" spans="1:4" x14ac:dyDescent="0.25">
      <c r="A4100" s="139" t="s">
        <v>9685</v>
      </c>
      <c r="B4100" s="139" t="s">
        <v>9686</v>
      </c>
      <c r="C4100" s="139" t="s">
        <v>44</v>
      </c>
      <c r="D4100" s="139" t="s">
        <v>9687</v>
      </c>
    </row>
    <row r="4101" spans="1:4" x14ac:dyDescent="0.25">
      <c r="A4101" s="139" t="s">
        <v>9688</v>
      </c>
      <c r="B4101" s="139" t="s">
        <v>9686</v>
      </c>
      <c r="C4101" s="139" t="s">
        <v>44</v>
      </c>
      <c r="D4101" s="139" t="s">
        <v>9689</v>
      </c>
    </row>
    <row r="4102" spans="1:4" x14ac:dyDescent="0.25">
      <c r="A4102" s="139" t="s">
        <v>9690</v>
      </c>
      <c r="B4102" s="139" t="s">
        <v>9691</v>
      </c>
      <c r="C4102" s="139" t="s">
        <v>44</v>
      </c>
      <c r="D4102" s="139" t="s">
        <v>9692</v>
      </c>
    </row>
    <row r="4103" spans="1:4" x14ac:dyDescent="0.25">
      <c r="A4103" s="139" t="s">
        <v>9693</v>
      </c>
      <c r="B4103" s="139" t="s">
        <v>9691</v>
      </c>
      <c r="C4103" s="139" t="s">
        <v>44</v>
      </c>
      <c r="D4103" s="139" t="s">
        <v>9694</v>
      </c>
    </row>
    <row r="4104" spans="1:4" x14ac:dyDescent="0.25">
      <c r="A4104" s="139" t="s">
        <v>9695</v>
      </c>
      <c r="B4104" s="139" t="s">
        <v>9696</v>
      </c>
      <c r="C4104" s="139" t="s">
        <v>44</v>
      </c>
      <c r="D4104" s="139" t="s">
        <v>9697</v>
      </c>
    </row>
    <row r="4105" spans="1:4" x14ac:dyDescent="0.25">
      <c r="A4105" s="139" t="s">
        <v>9698</v>
      </c>
      <c r="B4105" s="139" t="s">
        <v>9696</v>
      </c>
      <c r="C4105" s="139" t="s">
        <v>44</v>
      </c>
      <c r="D4105" s="139" t="s">
        <v>9699</v>
      </c>
    </row>
    <row r="4106" spans="1:4" x14ac:dyDescent="0.25">
      <c r="A4106" s="139" t="s">
        <v>9700</v>
      </c>
      <c r="B4106" s="139" t="s">
        <v>9701</v>
      </c>
      <c r="C4106" s="139" t="s">
        <v>44</v>
      </c>
      <c r="D4106" s="139" t="s">
        <v>9702</v>
      </c>
    </row>
    <row r="4107" spans="1:4" x14ac:dyDescent="0.25">
      <c r="A4107" s="139" t="s">
        <v>9703</v>
      </c>
      <c r="B4107" s="139" t="s">
        <v>9701</v>
      </c>
      <c r="C4107" s="139" t="s">
        <v>44</v>
      </c>
      <c r="D4107" s="139" t="s">
        <v>9704</v>
      </c>
    </row>
    <row r="4108" spans="1:4" x14ac:dyDescent="0.25">
      <c r="A4108" s="139" t="s">
        <v>9705</v>
      </c>
      <c r="B4108" s="139" t="s">
        <v>4193</v>
      </c>
      <c r="C4108" s="139" t="s">
        <v>44</v>
      </c>
      <c r="D4108" s="139" t="s">
        <v>9706</v>
      </c>
    </row>
    <row r="4109" spans="1:4" x14ac:dyDescent="0.25">
      <c r="A4109" s="139" t="s">
        <v>9707</v>
      </c>
      <c r="B4109" s="139" t="s">
        <v>4193</v>
      </c>
      <c r="C4109" s="139" t="s">
        <v>44</v>
      </c>
      <c r="D4109" s="139" t="s">
        <v>9708</v>
      </c>
    </row>
    <row r="4110" spans="1:4" x14ac:dyDescent="0.25">
      <c r="A4110" s="139" t="s">
        <v>9709</v>
      </c>
      <c r="B4110" s="139" t="s">
        <v>4199</v>
      </c>
      <c r="C4110" s="139" t="s">
        <v>44</v>
      </c>
      <c r="D4110" s="139" t="s">
        <v>9710</v>
      </c>
    </row>
    <row r="4111" spans="1:4" x14ac:dyDescent="0.25">
      <c r="A4111" s="139" t="s">
        <v>9711</v>
      </c>
      <c r="B4111" s="139" t="s">
        <v>4199</v>
      </c>
      <c r="C4111" s="139" t="s">
        <v>44</v>
      </c>
      <c r="D4111" s="139" t="s">
        <v>9712</v>
      </c>
    </row>
    <row r="4112" spans="1:4" x14ac:dyDescent="0.25">
      <c r="A4112" s="139" t="s">
        <v>9713</v>
      </c>
      <c r="B4112" s="139" t="s">
        <v>9714</v>
      </c>
      <c r="C4112" s="139" t="s">
        <v>44</v>
      </c>
      <c r="D4112" s="139" t="s">
        <v>9715</v>
      </c>
    </row>
    <row r="4113" spans="1:4" x14ac:dyDescent="0.25">
      <c r="A4113" s="139" t="s">
        <v>9716</v>
      </c>
      <c r="B4113" s="139" t="s">
        <v>9714</v>
      </c>
      <c r="C4113" s="139" t="s">
        <v>44</v>
      </c>
      <c r="D4113" s="139" t="s">
        <v>9717</v>
      </c>
    </row>
    <row r="4114" spans="1:4" x14ac:dyDescent="0.25">
      <c r="A4114" s="139" t="s">
        <v>9718</v>
      </c>
      <c r="B4114" s="139" t="s">
        <v>5360</v>
      </c>
      <c r="C4114" s="139" t="s">
        <v>44</v>
      </c>
      <c r="D4114" s="139" t="s">
        <v>9719</v>
      </c>
    </row>
    <row r="4115" spans="1:4" x14ac:dyDescent="0.25">
      <c r="A4115" s="139" t="s">
        <v>9720</v>
      </c>
      <c r="B4115" s="139" t="s">
        <v>5360</v>
      </c>
      <c r="C4115" s="139" t="s">
        <v>44</v>
      </c>
      <c r="D4115" s="139" t="s">
        <v>9721</v>
      </c>
    </row>
    <row r="4116" spans="1:4" x14ac:dyDescent="0.25">
      <c r="A4116" s="139" t="s">
        <v>9722</v>
      </c>
      <c r="B4116" s="139" t="s">
        <v>2328</v>
      </c>
      <c r="C4116" s="139" t="s">
        <v>44</v>
      </c>
      <c r="D4116" s="139" t="s">
        <v>9723</v>
      </c>
    </row>
    <row r="4117" spans="1:4" x14ac:dyDescent="0.25">
      <c r="A4117" s="139" t="s">
        <v>9724</v>
      </c>
      <c r="B4117" s="139" t="s">
        <v>2328</v>
      </c>
      <c r="C4117" s="139" t="s">
        <v>44</v>
      </c>
      <c r="D4117" s="139" t="s">
        <v>9725</v>
      </c>
    </row>
    <row r="4118" spans="1:4" x14ac:dyDescent="0.25">
      <c r="A4118" s="139" t="s">
        <v>9726</v>
      </c>
      <c r="B4118" s="139" t="s">
        <v>2325</v>
      </c>
      <c r="C4118" s="139" t="s">
        <v>44</v>
      </c>
      <c r="D4118" s="139" t="s">
        <v>9727</v>
      </c>
    </row>
    <row r="4119" spans="1:4" x14ac:dyDescent="0.25">
      <c r="A4119" s="139" t="s">
        <v>9728</v>
      </c>
      <c r="B4119" s="139" t="s">
        <v>2325</v>
      </c>
      <c r="C4119" s="139" t="s">
        <v>44</v>
      </c>
      <c r="D4119" s="139" t="s">
        <v>9729</v>
      </c>
    </row>
    <row r="4120" spans="1:4" x14ac:dyDescent="0.25">
      <c r="A4120" s="139" t="s">
        <v>9730</v>
      </c>
      <c r="B4120" s="139" t="s">
        <v>8220</v>
      </c>
      <c r="C4120" s="139" t="s">
        <v>44</v>
      </c>
      <c r="D4120" s="139" t="s">
        <v>9731</v>
      </c>
    </row>
    <row r="4121" spans="1:4" x14ac:dyDescent="0.25">
      <c r="A4121" s="139" t="s">
        <v>9732</v>
      </c>
      <c r="B4121" s="139" t="s">
        <v>8220</v>
      </c>
      <c r="C4121" s="139" t="s">
        <v>44</v>
      </c>
      <c r="D4121" s="139" t="s">
        <v>9733</v>
      </c>
    </row>
    <row r="4122" spans="1:4" x14ac:dyDescent="0.25">
      <c r="A4122" s="139" t="s">
        <v>9734</v>
      </c>
      <c r="B4122" s="139" t="s">
        <v>9735</v>
      </c>
      <c r="C4122" s="139" t="s">
        <v>44</v>
      </c>
      <c r="D4122" s="139" t="s">
        <v>9736</v>
      </c>
    </row>
    <row r="4123" spans="1:4" x14ac:dyDescent="0.25">
      <c r="A4123" s="139" t="s">
        <v>9737</v>
      </c>
      <c r="B4123" s="139" t="s">
        <v>9735</v>
      </c>
      <c r="C4123" s="139" t="s">
        <v>44</v>
      </c>
      <c r="D4123" s="139" t="s">
        <v>9738</v>
      </c>
    </row>
    <row r="4124" spans="1:4" x14ac:dyDescent="0.25">
      <c r="A4124" s="139" t="s">
        <v>9739</v>
      </c>
      <c r="B4124" s="139" t="s">
        <v>9740</v>
      </c>
      <c r="C4124" s="139" t="s">
        <v>44</v>
      </c>
      <c r="D4124" s="139" t="s">
        <v>9741</v>
      </c>
    </row>
    <row r="4125" spans="1:4" x14ac:dyDescent="0.25">
      <c r="A4125" s="139" t="s">
        <v>9742</v>
      </c>
      <c r="B4125" s="139" t="s">
        <v>9740</v>
      </c>
      <c r="C4125" s="139" t="s">
        <v>44</v>
      </c>
      <c r="D4125" s="139" t="s">
        <v>9743</v>
      </c>
    </row>
    <row r="4126" spans="1:4" x14ac:dyDescent="0.25">
      <c r="A4126" s="139" t="s">
        <v>9744</v>
      </c>
      <c r="B4126" s="139" t="s">
        <v>9315</v>
      </c>
      <c r="C4126" s="139" t="s">
        <v>44</v>
      </c>
      <c r="D4126" s="139" t="s">
        <v>9745</v>
      </c>
    </row>
    <row r="4127" spans="1:4" x14ac:dyDescent="0.25">
      <c r="A4127" s="139" t="s">
        <v>9746</v>
      </c>
      <c r="B4127" s="139" t="s">
        <v>9315</v>
      </c>
      <c r="C4127" s="139" t="s">
        <v>44</v>
      </c>
      <c r="D4127" s="139" t="s">
        <v>9747</v>
      </c>
    </row>
    <row r="4128" spans="1:4" x14ac:dyDescent="0.25">
      <c r="A4128" s="139" t="s">
        <v>9748</v>
      </c>
      <c r="B4128" s="139" t="s">
        <v>9749</v>
      </c>
      <c r="C4128" s="139" t="s">
        <v>44</v>
      </c>
      <c r="D4128" s="139" t="s">
        <v>9750</v>
      </c>
    </row>
    <row r="4129" spans="1:4" x14ac:dyDescent="0.25">
      <c r="A4129" s="139" t="s">
        <v>9751</v>
      </c>
      <c r="B4129" s="139" t="s">
        <v>9749</v>
      </c>
      <c r="C4129" s="139" t="s">
        <v>44</v>
      </c>
      <c r="D4129" s="139" t="s">
        <v>9752</v>
      </c>
    </row>
    <row r="4130" spans="1:4" x14ac:dyDescent="0.25">
      <c r="A4130" s="139" t="s">
        <v>9753</v>
      </c>
      <c r="B4130" s="139" t="s">
        <v>9754</v>
      </c>
      <c r="C4130" s="139" t="s">
        <v>65</v>
      </c>
      <c r="D4130" s="139" t="s">
        <v>9755</v>
      </c>
    </row>
    <row r="4131" spans="1:4" x14ac:dyDescent="0.25">
      <c r="A4131" s="139" t="s">
        <v>9756</v>
      </c>
      <c r="B4131" s="139" t="s">
        <v>9754</v>
      </c>
      <c r="C4131" s="139" t="s">
        <v>65</v>
      </c>
      <c r="D4131" s="139" t="s">
        <v>9757</v>
      </c>
    </row>
    <row r="4132" spans="1:4" x14ac:dyDescent="0.25">
      <c r="A4132" s="139" t="s">
        <v>9758</v>
      </c>
      <c r="B4132" s="139" t="s">
        <v>2414</v>
      </c>
      <c r="C4132" s="139" t="s">
        <v>65</v>
      </c>
      <c r="D4132" s="139" t="s">
        <v>9759</v>
      </c>
    </row>
    <row r="4133" spans="1:4" x14ac:dyDescent="0.25">
      <c r="A4133" s="139" t="s">
        <v>9760</v>
      </c>
      <c r="B4133" s="139" t="s">
        <v>2414</v>
      </c>
      <c r="C4133" s="139" t="s">
        <v>65</v>
      </c>
      <c r="D4133" s="139" t="s">
        <v>9761</v>
      </c>
    </row>
    <row r="4134" spans="1:4" x14ac:dyDescent="0.25">
      <c r="A4134" s="139" t="s">
        <v>9762</v>
      </c>
      <c r="B4134" s="139" t="s">
        <v>5259</v>
      </c>
      <c r="C4134" s="139" t="s">
        <v>65</v>
      </c>
      <c r="D4134" s="139" t="s">
        <v>9763</v>
      </c>
    </row>
    <row r="4135" spans="1:4" x14ac:dyDescent="0.25">
      <c r="A4135" s="139" t="s">
        <v>9764</v>
      </c>
      <c r="B4135" s="139" t="s">
        <v>5259</v>
      </c>
      <c r="C4135" s="139" t="s">
        <v>65</v>
      </c>
      <c r="D4135" s="139" t="s">
        <v>9765</v>
      </c>
    </row>
    <row r="4136" spans="1:4" x14ac:dyDescent="0.25">
      <c r="A4136" s="139" t="s">
        <v>9766</v>
      </c>
      <c r="B4136" s="139" t="s">
        <v>9767</v>
      </c>
      <c r="C4136" s="139" t="s">
        <v>65</v>
      </c>
      <c r="D4136" s="139" t="s">
        <v>9768</v>
      </c>
    </row>
    <row r="4137" spans="1:4" x14ac:dyDescent="0.25">
      <c r="A4137" s="139" t="s">
        <v>9769</v>
      </c>
      <c r="B4137" s="139" t="s">
        <v>9767</v>
      </c>
      <c r="C4137" s="139" t="s">
        <v>65</v>
      </c>
      <c r="D4137" s="139" t="s">
        <v>9770</v>
      </c>
    </row>
    <row r="4138" spans="1:4" x14ac:dyDescent="0.25">
      <c r="A4138" s="139" t="s">
        <v>9771</v>
      </c>
      <c r="B4138" s="139" t="s">
        <v>9772</v>
      </c>
      <c r="C4138" s="139" t="s">
        <v>65</v>
      </c>
      <c r="D4138" s="139" t="s">
        <v>9773</v>
      </c>
    </row>
    <row r="4139" spans="1:4" x14ac:dyDescent="0.25">
      <c r="A4139" s="139" t="s">
        <v>9774</v>
      </c>
      <c r="B4139" s="139" t="s">
        <v>9772</v>
      </c>
      <c r="C4139" s="139" t="s">
        <v>65</v>
      </c>
      <c r="D4139" s="139" t="s">
        <v>9775</v>
      </c>
    </row>
    <row r="4140" spans="1:4" x14ac:dyDescent="0.25">
      <c r="A4140" s="139" t="s">
        <v>9776</v>
      </c>
      <c r="B4140" s="139" t="s">
        <v>9777</v>
      </c>
      <c r="C4140" s="139" t="s">
        <v>33</v>
      </c>
      <c r="D4140" s="139" t="s">
        <v>9778</v>
      </c>
    </row>
    <row r="4141" spans="1:4" x14ac:dyDescent="0.25">
      <c r="A4141" s="139" t="s">
        <v>9779</v>
      </c>
      <c r="B4141" s="139" t="s">
        <v>9777</v>
      </c>
      <c r="C4141" s="139" t="s">
        <v>33</v>
      </c>
      <c r="D4141" s="139" t="s">
        <v>9780</v>
      </c>
    </row>
    <row r="4142" spans="1:4" x14ac:dyDescent="0.25">
      <c r="A4142" s="139" t="s">
        <v>9781</v>
      </c>
      <c r="B4142" s="139" t="s">
        <v>3221</v>
      </c>
      <c r="C4142" s="139" t="s">
        <v>2895</v>
      </c>
      <c r="D4142" s="139" t="s">
        <v>9782</v>
      </c>
    </row>
    <row r="4143" spans="1:4" x14ac:dyDescent="0.25">
      <c r="A4143" s="139" t="s">
        <v>9783</v>
      </c>
      <c r="B4143" s="139" t="s">
        <v>3221</v>
      </c>
      <c r="C4143" s="139" t="s">
        <v>2895</v>
      </c>
      <c r="D4143" s="139" t="s">
        <v>9784</v>
      </c>
    </row>
    <row r="4144" spans="1:4" x14ac:dyDescent="0.25">
      <c r="A4144" s="139" t="s">
        <v>9785</v>
      </c>
      <c r="B4144" s="139" t="s">
        <v>9786</v>
      </c>
      <c r="C4144" s="139" t="s">
        <v>33</v>
      </c>
      <c r="D4144" s="139" t="s">
        <v>9787</v>
      </c>
    </row>
    <row r="4145" spans="1:4" x14ac:dyDescent="0.25">
      <c r="A4145" s="139" t="s">
        <v>9788</v>
      </c>
      <c r="B4145" s="139" t="s">
        <v>9786</v>
      </c>
      <c r="C4145" s="139" t="s">
        <v>33</v>
      </c>
      <c r="D4145" s="139" t="s">
        <v>9789</v>
      </c>
    </row>
    <row r="4146" spans="1:4" x14ac:dyDescent="0.25">
      <c r="A4146" s="139" t="s">
        <v>9790</v>
      </c>
      <c r="B4146" s="139" t="s">
        <v>4547</v>
      </c>
      <c r="C4146" s="139" t="s">
        <v>33</v>
      </c>
      <c r="D4146" s="139" t="s">
        <v>9791</v>
      </c>
    </row>
    <row r="4147" spans="1:4" x14ac:dyDescent="0.25">
      <c r="A4147" s="139" t="s">
        <v>9792</v>
      </c>
      <c r="B4147" s="139" t="s">
        <v>4547</v>
      </c>
      <c r="C4147" s="139" t="s">
        <v>33</v>
      </c>
      <c r="D4147" s="139" t="s">
        <v>9793</v>
      </c>
    </row>
    <row r="4148" spans="1:4" x14ac:dyDescent="0.25">
      <c r="A4148" s="139" t="s">
        <v>9794</v>
      </c>
      <c r="B4148" s="139" t="s">
        <v>9795</v>
      </c>
      <c r="C4148" s="139" t="s">
        <v>33</v>
      </c>
      <c r="D4148" s="139" t="s">
        <v>9796</v>
      </c>
    </row>
    <row r="4149" spans="1:4" x14ac:dyDescent="0.25">
      <c r="A4149" s="139" t="s">
        <v>9797</v>
      </c>
      <c r="B4149" s="139" t="s">
        <v>9795</v>
      </c>
      <c r="C4149" s="139" t="s">
        <v>33</v>
      </c>
      <c r="D4149" s="139" t="s">
        <v>9798</v>
      </c>
    </row>
    <row r="4150" spans="1:4" x14ac:dyDescent="0.25">
      <c r="A4150" s="139" t="s">
        <v>9799</v>
      </c>
      <c r="B4150" s="139" t="s">
        <v>9800</v>
      </c>
      <c r="C4150" s="139" t="s">
        <v>33</v>
      </c>
      <c r="D4150" s="139" t="s">
        <v>9801</v>
      </c>
    </row>
    <row r="4151" spans="1:4" x14ac:dyDescent="0.25">
      <c r="A4151" s="139" t="s">
        <v>9802</v>
      </c>
      <c r="B4151" s="139" t="s">
        <v>9800</v>
      </c>
      <c r="C4151" s="139" t="s">
        <v>33</v>
      </c>
      <c r="D4151" s="139" t="s">
        <v>9803</v>
      </c>
    </row>
    <row r="4152" spans="1:4" x14ac:dyDescent="0.25">
      <c r="A4152" s="139" t="s">
        <v>9804</v>
      </c>
      <c r="B4152" s="139" t="s">
        <v>9805</v>
      </c>
      <c r="C4152" s="139" t="s">
        <v>33</v>
      </c>
      <c r="D4152" s="139" t="s">
        <v>9806</v>
      </c>
    </row>
    <row r="4153" spans="1:4" x14ac:dyDescent="0.25">
      <c r="A4153" s="139" t="s">
        <v>9807</v>
      </c>
      <c r="B4153" s="139" t="s">
        <v>9805</v>
      </c>
      <c r="C4153" s="139" t="s">
        <v>33</v>
      </c>
      <c r="D4153" s="139" t="s">
        <v>9808</v>
      </c>
    </row>
    <row r="4154" spans="1:4" x14ac:dyDescent="0.25">
      <c r="A4154" s="139" t="s">
        <v>9809</v>
      </c>
      <c r="B4154" s="139" t="s">
        <v>9810</v>
      </c>
      <c r="C4154" s="139" t="s">
        <v>33</v>
      </c>
      <c r="D4154" s="139" t="s">
        <v>9811</v>
      </c>
    </row>
    <row r="4155" spans="1:4" x14ac:dyDescent="0.25">
      <c r="A4155" s="139" t="s">
        <v>9812</v>
      </c>
      <c r="B4155" s="139" t="s">
        <v>9810</v>
      </c>
      <c r="C4155" s="139" t="s">
        <v>33</v>
      </c>
      <c r="D4155" s="139" t="s">
        <v>9813</v>
      </c>
    </row>
    <row r="4156" spans="1:4" x14ac:dyDescent="0.25">
      <c r="A4156" s="139" t="s">
        <v>9814</v>
      </c>
      <c r="B4156" s="139" t="s">
        <v>6469</v>
      </c>
      <c r="C4156" s="139" t="s">
        <v>33</v>
      </c>
      <c r="D4156" s="139" t="s">
        <v>9815</v>
      </c>
    </row>
    <row r="4157" spans="1:4" x14ac:dyDescent="0.25">
      <c r="A4157" s="139" t="s">
        <v>9816</v>
      </c>
      <c r="B4157" s="139" t="s">
        <v>6469</v>
      </c>
      <c r="C4157" s="139" t="s">
        <v>33</v>
      </c>
      <c r="D4157" s="139" t="s">
        <v>9817</v>
      </c>
    </row>
    <row r="4158" spans="1:4" x14ac:dyDescent="0.25">
      <c r="A4158" s="139" t="s">
        <v>9818</v>
      </c>
      <c r="B4158" s="139" t="s">
        <v>9819</v>
      </c>
      <c r="C4158" s="139" t="s">
        <v>33</v>
      </c>
      <c r="D4158" s="139" t="s">
        <v>9820</v>
      </c>
    </row>
    <row r="4159" spans="1:4" x14ac:dyDescent="0.25">
      <c r="A4159" s="139" t="s">
        <v>9821</v>
      </c>
      <c r="B4159" s="139" t="s">
        <v>9819</v>
      </c>
      <c r="C4159" s="139" t="s">
        <v>33</v>
      </c>
      <c r="D4159" s="139" t="s">
        <v>9822</v>
      </c>
    </row>
    <row r="4160" spans="1:4" x14ac:dyDescent="0.25">
      <c r="A4160" s="139" t="s">
        <v>9823</v>
      </c>
      <c r="B4160" s="139" t="s">
        <v>9824</v>
      </c>
      <c r="C4160" s="139" t="s">
        <v>33</v>
      </c>
      <c r="D4160" s="139" t="s">
        <v>9825</v>
      </c>
    </row>
    <row r="4161" spans="1:4" x14ac:dyDescent="0.25">
      <c r="A4161" s="139" t="s">
        <v>9826</v>
      </c>
      <c r="B4161" s="139" t="s">
        <v>9824</v>
      </c>
      <c r="C4161" s="139" t="s">
        <v>33</v>
      </c>
      <c r="D4161" s="139" t="s">
        <v>9827</v>
      </c>
    </row>
    <row r="4162" spans="1:4" x14ac:dyDescent="0.25">
      <c r="A4162" s="139" t="s">
        <v>9828</v>
      </c>
      <c r="B4162" s="139" t="s">
        <v>9829</v>
      </c>
      <c r="C4162" s="139" t="s">
        <v>33</v>
      </c>
      <c r="D4162" s="139" t="s">
        <v>9830</v>
      </c>
    </row>
    <row r="4163" spans="1:4" x14ac:dyDescent="0.25">
      <c r="A4163" s="139" t="s">
        <v>9831</v>
      </c>
      <c r="B4163" s="139" t="s">
        <v>9829</v>
      </c>
      <c r="C4163" s="139" t="s">
        <v>33</v>
      </c>
      <c r="D4163" s="139" t="s">
        <v>9832</v>
      </c>
    </row>
    <row r="4164" spans="1:4" x14ac:dyDescent="0.25">
      <c r="A4164" s="139" t="s">
        <v>9833</v>
      </c>
      <c r="B4164" s="139" t="s">
        <v>9834</v>
      </c>
      <c r="C4164" s="139" t="s">
        <v>33</v>
      </c>
      <c r="D4164" s="139" t="s">
        <v>9835</v>
      </c>
    </row>
    <row r="4165" spans="1:4" x14ac:dyDescent="0.25">
      <c r="A4165" s="139" t="s">
        <v>9836</v>
      </c>
      <c r="B4165" s="139" t="s">
        <v>9834</v>
      </c>
      <c r="C4165" s="139" t="s">
        <v>33</v>
      </c>
      <c r="D4165" s="139" t="s">
        <v>9837</v>
      </c>
    </row>
    <row r="4166" spans="1:4" x14ac:dyDescent="0.25">
      <c r="A4166" s="139" t="s">
        <v>9838</v>
      </c>
      <c r="B4166" s="139" t="s">
        <v>3356</v>
      </c>
      <c r="C4166" s="139" t="s">
        <v>33</v>
      </c>
      <c r="D4166" s="139" t="s">
        <v>9839</v>
      </c>
    </row>
    <row r="4167" spans="1:4" x14ac:dyDescent="0.25">
      <c r="A4167" s="139" t="s">
        <v>9840</v>
      </c>
      <c r="B4167" s="139" t="s">
        <v>3356</v>
      </c>
      <c r="C4167" s="139" t="s">
        <v>33</v>
      </c>
      <c r="D4167" s="139" t="s">
        <v>9841</v>
      </c>
    </row>
    <row r="4168" spans="1:4" x14ac:dyDescent="0.25">
      <c r="A4168" s="139" t="s">
        <v>9842</v>
      </c>
      <c r="B4168" s="139" t="s">
        <v>3862</v>
      </c>
      <c r="C4168" s="139" t="s">
        <v>33</v>
      </c>
      <c r="D4168" s="139" t="s">
        <v>9843</v>
      </c>
    </row>
    <row r="4169" spans="1:4" x14ac:dyDescent="0.25">
      <c r="A4169" s="139" t="s">
        <v>9844</v>
      </c>
      <c r="B4169" s="139" t="s">
        <v>3862</v>
      </c>
      <c r="C4169" s="139" t="s">
        <v>33</v>
      </c>
      <c r="D4169" s="139" t="s">
        <v>9845</v>
      </c>
    </row>
    <row r="4170" spans="1:4" x14ac:dyDescent="0.25">
      <c r="A4170" s="139" t="s">
        <v>9846</v>
      </c>
      <c r="B4170" s="139" t="s">
        <v>9847</v>
      </c>
      <c r="C4170" s="139" t="s">
        <v>33</v>
      </c>
      <c r="D4170" s="139" t="s">
        <v>9848</v>
      </c>
    </row>
    <row r="4171" spans="1:4" x14ac:dyDescent="0.25">
      <c r="A4171" s="139" t="s">
        <v>9849</v>
      </c>
      <c r="B4171" s="139" t="s">
        <v>9847</v>
      </c>
      <c r="C4171" s="139" t="s">
        <v>33</v>
      </c>
      <c r="D4171" s="139" t="s">
        <v>9850</v>
      </c>
    </row>
    <row r="4172" spans="1:4" x14ac:dyDescent="0.25">
      <c r="A4172" s="139" t="s">
        <v>9851</v>
      </c>
      <c r="B4172" s="139" t="s">
        <v>9852</v>
      </c>
      <c r="C4172" s="139" t="s">
        <v>33</v>
      </c>
      <c r="D4172" s="139" t="s">
        <v>9853</v>
      </c>
    </row>
    <row r="4173" spans="1:4" x14ac:dyDescent="0.25">
      <c r="A4173" s="139" t="s">
        <v>9854</v>
      </c>
      <c r="B4173" s="139" t="s">
        <v>9852</v>
      </c>
      <c r="C4173" s="139" t="s">
        <v>33</v>
      </c>
      <c r="D4173" s="139" t="s">
        <v>9855</v>
      </c>
    </row>
    <row r="4174" spans="1:4" x14ac:dyDescent="0.25">
      <c r="A4174" s="139" t="s">
        <v>9856</v>
      </c>
      <c r="B4174" s="139" t="s">
        <v>9857</v>
      </c>
      <c r="C4174" s="139" t="s">
        <v>33</v>
      </c>
      <c r="D4174" s="139" t="s">
        <v>9858</v>
      </c>
    </row>
    <row r="4175" spans="1:4" x14ac:dyDescent="0.25">
      <c r="A4175" s="139" t="s">
        <v>9859</v>
      </c>
      <c r="B4175" s="139" t="s">
        <v>9857</v>
      </c>
      <c r="C4175" s="139" t="s">
        <v>33</v>
      </c>
      <c r="D4175" s="139" t="s">
        <v>9860</v>
      </c>
    </row>
    <row r="4176" spans="1:4" x14ac:dyDescent="0.25">
      <c r="A4176" s="139" t="s">
        <v>9861</v>
      </c>
      <c r="B4176" s="139" t="s">
        <v>9862</v>
      </c>
      <c r="C4176" s="139" t="s">
        <v>33</v>
      </c>
      <c r="D4176" s="139" t="s">
        <v>9863</v>
      </c>
    </row>
    <row r="4177" spans="1:4" x14ac:dyDescent="0.25">
      <c r="A4177" s="139" t="s">
        <v>9864</v>
      </c>
      <c r="B4177" s="139" t="s">
        <v>9862</v>
      </c>
      <c r="C4177" s="139" t="s">
        <v>33</v>
      </c>
      <c r="D4177" s="139" t="s">
        <v>9865</v>
      </c>
    </row>
    <row r="4178" spans="1:4" x14ac:dyDescent="0.25">
      <c r="A4178" s="139" t="s">
        <v>9866</v>
      </c>
      <c r="B4178" s="139" t="s">
        <v>1474</v>
      </c>
      <c r="C4178" s="139" t="s">
        <v>33</v>
      </c>
      <c r="D4178" s="139" t="s">
        <v>9867</v>
      </c>
    </row>
    <row r="4179" spans="1:4" x14ac:dyDescent="0.25">
      <c r="A4179" s="139" t="s">
        <v>9868</v>
      </c>
      <c r="B4179" s="139" t="s">
        <v>1474</v>
      </c>
      <c r="C4179" s="139" t="s">
        <v>33</v>
      </c>
      <c r="D4179" s="139" t="s">
        <v>9869</v>
      </c>
    </row>
    <row r="4180" spans="1:4" x14ac:dyDescent="0.25">
      <c r="A4180" s="139" t="s">
        <v>9870</v>
      </c>
      <c r="B4180" s="139" t="s">
        <v>9871</v>
      </c>
      <c r="C4180" s="139" t="s">
        <v>33</v>
      </c>
      <c r="D4180" s="139" t="s">
        <v>9872</v>
      </c>
    </row>
    <row r="4181" spans="1:4" x14ac:dyDescent="0.25">
      <c r="A4181" s="139" t="s">
        <v>9873</v>
      </c>
      <c r="B4181" s="139" t="s">
        <v>9871</v>
      </c>
      <c r="C4181" s="139" t="s">
        <v>33</v>
      </c>
      <c r="D4181" s="139" t="s">
        <v>9874</v>
      </c>
    </row>
    <row r="4182" spans="1:4" x14ac:dyDescent="0.25">
      <c r="A4182" s="139" t="s">
        <v>9875</v>
      </c>
      <c r="B4182" s="139" t="s">
        <v>9876</v>
      </c>
      <c r="C4182" s="139" t="s">
        <v>33</v>
      </c>
      <c r="D4182" s="139" t="s">
        <v>9877</v>
      </c>
    </row>
    <row r="4183" spans="1:4" x14ac:dyDescent="0.25">
      <c r="A4183" s="139" t="s">
        <v>9878</v>
      </c>
      <c r="B4183" s="139" t="s">
        <v>9876</v>
      </c>
      <c r="C4183" s="139" t="s">
        <v>33</v>
      </c>
      <c r="D4183" s="139" t="s">
        <v>9879</v>
      </c>
    </row>
    <row r="4184" spans="1:4" x14ac:dyDescent="0.25">
      <c r="A4184" s="139" t="s">
        <v>9880</v>
      </c>
      <c r="B4184" s="139" t="s">
        <v>1549</v>
      </c>
      <c r="C4184" s="139" t="s">
        <v>65</v>
      </c>
      <c r="D4184" s="139" t="s">
        <v>9881</v>
      </c>
    </row>
    <row r="4185" spans="1:4" x14ac:dyDescent="0.25">
      <c r="A4185" s="139" t="s">
        <v>9882</v>
      </c>
      <c r="B4185" s="139" t="s">
        <v>1549</v>
      </c>
      <c r="C4185" s="139" t="s">
        <v>65</v>
      </c>
      <c r="D4185" s="139" t="s">
        <v>9883</v>
      </c>
    </row>
    <row r="4186" spans="1:4" x14ac:dyDescent="0.25">
      <c r="A4186" s="139" t="s">
        <v>9884</v>
      </c>
      <c r="B4186" s="139" t="s">
        <v>9885</v>
      </c>
      <c r="C4186" s="139" t="s">
        <v>65</v>
      </c>
      <c r="D4186" s="139" t="s">
        <v>9886</v>
      </c>
    </row>
    <row r="4187" spans="1:4" x14ac:dyDescent="0.25">
      <c r="A4187" s="139" t="s">
        <v>9887</v>
      </c>
      <c r="B4187" s="139" t="s">
        <v>9885</v>
      </c>
      <c r="C4187" s="139" t="s">
        <v>65</v>
      </c>
      <c r="D4187" s="139" t="s">
        <v>9888</v>
      </c>
    </row>
    <row r="4188" spans="1:4" x14ac:dyDescent="0.25">
      <c r="A4188" s="139" t="s">
        <v>9889</v>
      </c>
      <c r="B4188" s="139" t="s">
        <v>9890</v>
      </c>
      <c r="C4188" s="139" t="s">
        <v>65</v>
      </c>
      <c r="D4188" s="139" t="s">
        <v>9891</v>
      </c>
    </row>
    <row r="4189" spans="1:4" x14ac:dyDescent="0.25">
      <c r="A4189" s="139" t="s">
        <v>9892</v>
      </c>
      <c r="B4189" s="139" t="s">
        <v>9890</v>
      </c>
      <c r="C4189" s="139" t="s">
        <v>65</v>
      </c>
      <c r="D4189" s="139" t="s">
        <v>9893</v>
      </c>
    </row>
    <row r="4190" spans="1:4" x14ac:dyDescent="0.25">
      <c r="A4190" s="139" t="s">
        <v>9894</v>
      </c>
      <c r="B4190" s="139" t="s">
        <v>310</v>
      </c>
      <c r="C4190" s="139" t="s">
        <v>65</v>
      </c>
      <c r="D4190" s="139" t="s">
        <v>9895</v>
      </c>
    </row>
    <row r="4191" spans="1:4" x14ac:dyDescent="0.25">
      <c r="A4191" s="139" t="s">
        <v>9896</v>
      </c>
      <c r="B4191" s="139" t="s">
        <v>310</v>
      </c>
      <c r="C4191" s="139" t="s">
        <v>65</v>
      </c>
      <c r="D4191" s="139" t="s">
        <v>9897</v>
      </c>
    </row>
    <row r="4192" spans="1:4" x14ac:dyDescent="0.25">
      <c r="A4192" s="139" t="s">
        <v>9898</v>
      </c>
      <c r="B4192" s="139" t="s">
        <v>5192</v>
      </c>
      <c r="C4192" s="139" t="s">
        <v>65</v>
      </c>
      <c r="D4192" s="139" t="s">
        <v>9899</v>
      </c>
    </row>
    <row r="4193" spans="1:4" x14ac:dyDescent="0.25">
      <c r="A4193" s="139" t="s">
        <v>9900</v>
      </c>
      <c r="B4193" s="139" t="s">
        <v>5192</v>
      </c>
      <c r="C4193" s="139" t="s">
        <v>65</v>
      </c>
      <c r="D4193" s="139" t="s">
        <v>9901</v>
      </c>
    </row>
    <row r="4194" spans="1:4" x14ac:dyDescent="0.25">
      <c r="A4194" s="139" t="s">
        <v>9902</v>
      </c>
      <c r="B4194" s="139" t="s">
        <v>9903</v>
      </c>
      <c r="C4194" s="139" t="s">
        <v>65</v>
      </c>
      <c r="D4194" s="139" t="s">
        <v>9904</v>
      </c>
    </row>
    <row r="4195" spans="1:4" x14ac:dyDescent="0.25">
      <c r="A4195" s="139" t="s">
        <v>9905</v>
      </c>
      <c r="B4195" s="139" t="s">
        <v>9903</v>
      </c>
      <c r="C4195" s="139" t="s">
        <v>65</v>
      </c>
      <c r="D4195" s="139" t="s">
        <v>9906</v>
      </c>
    </row>
    <row r="4196" spans="1:4" x14ac:dyDescent="0.25">
      <c r="A4196" s="139" t="s">
        <v>9907</v>
      </c>
      <c r="B4196" s="139" t="s">
        <v>2493</v>
      </c>
      <c r="C4196" s="139" t="s">
        <v>65</v>
      </c>
      <c r="D4196" s="139" t="s">
        <v>9908</v>
      </c>
    </row>
    <row r="4197" spans="1:4" x14ac:dyDescent="0.25">
      <c r="A4197" s="139" t="s">
        <v>9909</v>
      </c>
      <c r="B4197" s="139" t="s">
        <v>2493</v>
      </c>
      <c r="C4197" s="139" t="s">
        <v>65</v>
      </c>
      <c r="D4197" s="139" t="s">
        <v>9910</v>
      </c>
    </row>
    <row r="4198" spans="1:4" x14ac:dyDescent="0.25">
      <c r="A4198" s="139" t="s">
        <v>9911</v>
      </c>
      <c r="B4198" s="139" t="s">
        <v>2485</v>
      </c>
      <c r="C4198" s="139" t="s">
        <v>65</v>
      </c>
      <c r="D4198" s="139" t="s">
        <v>9912</v>
      </c>
    </row>
    <row r="4199" spans="1:4" x14ac:dyDescent="0.25">
      <c r="A4199" s="139" t="s">
        <v>9913</v>
      </c>
      <c r="B4199" s="139" t="s">
        <v>2485</v>
      </c>
      <c r="C4199" s="139" t="s">
        <v>65</v>
      </c>
      <c r="D4199" s="139" t="s">
        <v>9914</v>
      </c>
    </row>
    <row r="4200" spans="1:4" x14ac:dyDescent="0.25">
      <c r="A4200" s="139" t="s">
        <v>9915</v>
      </c>
      <c r="B4200" s="139" t="s">
        <v>9916</v>
      </c>
      <c r="C4200" s="139" t="s">
        <v>65</v>
      </c>
      <c r="D4200" s="139" t="s">
        <v>9917</v>
      </c>
    </row>
    <row r="4201" spans="1:4" x14ac:dyDescent="0.25">
      <c r="A4201" s="139" t="s">
        <v>9918</v>
      </c>
      <c r="B4201" s="139" t="s">
        <v>9916</v>
      </c>
      <c r="C4201" s="139" t="s">
        <v>65</v>
      </c>
      <c r="D4201" s="139" t="s">
        <v>9919</v>
      </c>
    </row>
    <row r="4202" spans="1:4" x14ac:dyDescent="0.25">
      <c r="A4202" s="139" t="s">
        <v>9920</v>
      </c>
      <c r="B4202" s="139" t="s">
        <v>9921</v>
      </c>
      <c r="C4202" s="139" t="s">
        <v>65</v>
      </c>
      <c r="D4202" s="139" t="s">
        <v>9922</v>
      </c>
    </row>
    <row r="4203" spans="1:4" x14ac:dyDescent="0.25">
      <c r="A4203" s="139" t="s">
        <v>9923</v>
      </c>
      <c r="B4203" s="139" t="s">
        <v>9921</v>
      </c>
      <c r="C4203" s="139" t="s">
        <v>65</v>
      </c>
      <c r="D4203" s="139" t="s">
        <v>9924</v>
      </c>
    </row>
    <row r="4204" spans="1:4" x14ac:dyDescent="0.25">
      <c r="A4204" s="139" t="s">
        <v>9925</v>
      </c>
      <c r="B4204" s="139" t="s">
        <v>9926</v>
      </c>
      <c r="C4204" s="139" t="s">
        <v>127</v>
      </c>
      <c r="D4204" s="139" t="s">
        <v>9927</v>
      </c>
    </row>
    <row r="4205" spans="1:4" x14ac:dyDescent="0.25">
      <c r="A4205" s="139" t="s">
        <v>9928</v>
      </c>
      <c r="B4205" s="139" t="s">
        <v>9926</v>
      </c>
      <c r="C4205" s="139" t="s">
        <v>127</v>
      </c>
      <c r="D4205" s="139" t="s">
        <v>9929</v>
      </c>
    </row>
    <row r="4206" spans="1:4" x14ac:dyDescent="0.25">
      <c r="A4206" s="139" t="s">
        <v>9930</v>
      </c>
      <c r="B4206" s="139" t="s">
        <v>9931</v>
      </c>
      <c r="C4206" s="139" t="s">
        <v>127</v>
      </c>
      <c r="D4206" s="139" t="s">
        <v>9932</v>
      </c>
    </row>
    <row r="4207" spans="1:4" x14ac:dyDescent="0.25">
      <c r="A4207" s="139" t="s">
        <v>9933</v>
      </c>
      <c r="B4207" s="139" t="s">
        <v>9931</v>
      </c>
      <c r="C4207" s="139" t="s">
        <v>127</v>
      </c>
      <c r="D4207" s="139" t="s">
        <v>9934</v>
      </c>
    </row>
    <row r="4208" spans="1:4" x14ac:dyDescent="0.25">
      <c r="A4208" s="139" t="s">
        <v>9935</v>
      </c>
      <c r="B4208" s="139" t="s">
        <v>1199</v>
      </c>
      <c r="C4208" s="139" t="s">
        <v>658</v>
      </c>
      <c r="D4208" s="139" t="s">
        <v>9936</v>
      </c>
    </row>
    <row r="4209" spans="1:4" x14ac:dyDescent="0.25">
      <c r="A4209" s="139" t="s">
        <v>9937</v>
      </c>
      <c r="B4209" s="139" t="s">
        <v>1199</v>
      </c>
      <c r="C4209" s="139" t="s">
        <v>658</v>
      </c>
      <c r="D4209" s="139" t="s">
        <v>9938</v>
      </c>
    </row>
    <row r="4210" spans="1:4" x14ac:dyDescent="0.25">
      <c r="A4210" s="139" t="s">
        <v>9939</v>
      </c>
      <c r="B4210" s="139" t="s">
        <v>9940</v>
      </c>
      <c r="C4210" s="139" t="s">
        <v>123</v>
      </c>
      <c r="D4210" s="139" t="s">
        <v>9941</v>
      </c>
    </row>
    <row r="4211" spans="1:4" x14ac:dyDescent="0.25">
      <c r="A4211" s="139" t="s">
        <v>9942</v>
      </c>
      <c r="B4211" s="139" t="s">
        <v>9940</v>
      </c>
      <c r="C4211" s="139" t="s">
        <v>123</v>
      </c>
      <c r="D4211" s="139" t="s">
        <v>9943</v>
      </c>
    </row>
    <row r="4212" spans="1:4" x14ac:dyDescent="0.25">
      <c r="A4212" s="139" t="s">
        <v>9944</v>
      </c>
      <c r="B4212" s="139" t="s">
        <v>4537</v>
      </c>
      <c r="C4212" s="139" t="s">
        <v>123</v>
      </c>
      <c r="D4212" s="139" t="s">
        <v>9945</v>
      </c>
    </row>
    <row r="4213" spans="1:4" x14ac:dyDescent="0.25">
      <c r="A4213" s="139" t="s">
        <v>9946</v>
      </c>
      <c r="B4213" s="139" t="s">
        <v>4537</v>
      </c>
      <c r="C4213" s="139" t="s">
        <v>123</v>
      </c>
      <c r="D4213" s="139" t="s">
        <v>9947</v>
      </c>
    </row>
    <row r="4214" spans="1:4" x14ac:dyDescent="0.25">
      <c r="A4214" s="139" t="s">
        <v>9948</v>
      </c>
      <c r="B4214" s="139" t="s">
        <v>643</v>
      </c>
      <c r="C4214" s="139" t="s">
        <v>2895</v>
      </c>
      <c r="D4214" s="139" t="s">
        <v>9949</v>
      </c>
    </row>
    <row r="4215" spans="1:4" x14ac:dyDescent="0.25">
      <c r="A4215" s="139" t="s">
        <v>9950</v>
      </c>
      <c r="B4215" s="139" t="s">
        <v>643</v>
      </c>
      <c r="C4215" s="139" t="s">
        <v>2895</v>
      </c>
      <c r="D4215" s="139" t="s">
        <v>9951</v>
      </c>
    </row>
    <row r="4216" spans="1:4" x14ac:dyDescent="0.25">
      <c r="A4216" s="139" t="s">
        <v>9952</v>
      </c>
      <c r="B4216" s="139" t="s">
        <v>9953</v>
      </c>
      <c r="C4216" s="139" t="s">
        <v>5475</v>
      </c>
      <c r="D4216" s="139" t="s">
        <v>9954</v>
      </c>
    </row>
    <row r="4217" spans="1:4" x14ac:dyDescent="0.25">
      <c r="A4217" s="139" t="s">
        <v>9955</v>
      </c>
      <c r="B4217" s="139" t="s">
        <v>9953</v>
      </c>
      <c r="C4217" s="139" t="s">
        <v>5475</v>
      </c>
      <c r="D4217" s="139" t="s">
        <v>9956</v>
      </c>
    </row>
    <row r="4218" spans="1:4" x14ac:dyDescent="0.25">
      <c r="A4218" s="139" t="s">
        <v>9957</v>
      </c>
      <c r="B4218" s="139" t="s">
        <v>9958</v>
      </c>
      <c r="C4218" s="139" t="s">
        <v>33</v>
      </c>
      <c r="D4218" s="139" t="s">
        <v>9959</v>
      </c>
    </row>
    <row r="4219" spans="1:4" x14ac:dyDescent="0.25">
      <c r="A4219" s="139" t="s">
        <v>9960</v>
      </c>
      <c r="B4219" s="139" t="s">
        <v>9958</v>
      </c>
      <c r="C4219" s="139" t="s">
        <v>33</v>
      </c>
      <c r="D4219" s="139" t="s">
        <v>9961</v>
      </c>
    </row>
    <row r="4220" spans="1:4" x14ac:dyDescent="0.25">
      <c r="A4220" s="139" t="s">
        <v>9962</v>
      </c>
      <c r="B4220" s="139" t="s">
        <v>9963</v>
      </c>
      <c r="C4220" s="139" t="s">
        <v>65</v>
      </c>
      <c r="D4220" s="139" t="s">
        <v>9964</v>
      </c>
    </row>
    <row r="4221" spans="1:4" x14ac:dyDescent="0.25">
      <c r="A4221" s="139" t="s">
        <v>9965</v>
      </c>
      <c r="B4221" s="139" t="s">
        <v>9963</v>
      </c>
      <c r="C4221" s="139" t="s">
        <v>65</v>
      </c>
      <c r="D4221" s="139" t="s">
        <v>9966</v>
      </c>
    </row>
    <row r="4222" spans="1:4" x14ac:dyDescent="0.25">
      <c r="A4222" s="139" t="s">
        <v>9967</v>
      </c>
      <c r="B4222" s="139" t="s">
        <v>9968</v>
      </c>
      <c r="C4222" s="139" t="s">
        <v>112</v>
      </c>
      <c r="D4222" s="139" t="s">
        <v>9969</v>
      </c>
    </row>
    <row r="4223" spans="1:4" x14ac:dyDescent="0.25">
      <c r="A4223" s="139" t="s">
        <v>9970</v>
      </c>
      <c r="B4223" s="139" t="s">
        <v>9968</v>
      </c>
      <c r="C4223" s="139" t="s">
        <v>112</v>
      </c>
      <c r="D4223" s="139" t="s">
        <v>9971</v>
      </c>
    </row>
    <row r="4224" spans="1:4" x14ac:dyDescent="0.25">
      <c r="A4224" s="139" t="s">
        <v>9972</v>
      </c>
      <c r="B4224" s="139" t="s">
        <v>9973</v>
      </c>
      <c r="C4224" s="139" t="s">
        <v>112</v>
      </c>
      <c r="D4224" s="139" t="s">
        <v>9974</v>
      </c>
    </row>
    <row r="4225" spans="1:4" x14ac:dyDescent="0.25">
      <c r="A4225" s="139" t="s">
        <v>9975</v>
      </c>
      <c r="B4225" s="139" t="s">
        <v>9973</v>
      </c>
      <c r="C4225" s="139" t="s">
        <v>112</v>
      </c>
      <c r="D4225" s="139" t="s">
        <v>9976</v>
      </c>
    </row>
    <row r="4226" spans="1:4" x14ac:dyDescent="0.25">
      <c r="A4226" s="139" t="s">
        <v>9977</v>
      </c>
      <c r="B4226" s="139" t="s">
        <v>9978</v>
      </c>
      <c r="C4226" s="139" t="s">
        <v>112</v>
      </c>
      <c r="D4226" s="139" t="s">
        <v>9979</v>
      </c>
    </row>
    <row r="4227" spans="1:4" x14ac:dyDescent="0.25">
      <c r="A4227" s="139" t="s">
        <v>9980</v>
      </c>
      <c r="B4227" s="139" t="s">
        <v>9978</v>
      </c>
      <c r="C4227" s="139" t="s">
        <v>112</v>
      </c>
      <c r="D4227" s="139" t="s">
        <v>9981</v>
      </c>
    </row>
    <row r="4228" spans="1:4" x14ac:dyDescent="0.25">
      <c r="A4228" s="139" t="s">
        <v>9982</v>
      </c>
      <c r="B4228" s="139" t="s">
        <v>9983</v>
      </c>
      <c r="C4228" s="139" t="s">
        <v>65</v>
      </c>
      <c r="D4228" s="139" t="s">
        <v>9984</v>
      </c>
    </row>
    <row r="4229" spans="1:4" x14ac:dyDescent="0.25">
      <c r="A4229" s="139" t="s">
        <v>9985</v>
      </c>
      <c r="B4229" s="139" t="s">
        <v>9983</v>
      </c>
      <c r="C4229" s="139" t="s">
        <v>65</v>
      </c>
      <c r="D4229" s="139" t="s">
        <v>9986</v>
      </c>
    </row>
    <row r="4230" spans="1:4" x14ac:dyDescent="0.25">
      <c r="A4230" s="139" t="s">
        <v>9987</v>
      </c>
      <c r="B4230" s="139" t="s">
        <v>9988</v>
      </c>
      <c r="C4230" s="139" t="s">
        <v>33</v>
      </c>
      <c r="D4230" s="139" t="s">
        <v>9989</v>
      </c>
    </row>
    <row r="4231" spans="1:4" x14ac:dyDescent="0.25">
      <c r="A4231" s="139" t="s">
        <v>9990</v>
      </c>
      <c r="B4231" s="139" t="s">
        <v>9988</v>
      </c>
      <c r="C4231" s="139" t="s">
        <v>33</v>
      </c>
      <c r="D4231" s="139" t="s">
        <v>9991</v>
      </c>
    </row>
    <row r="4232" spans="1:4" x14ac:dyDescent="0.25">
      <c r="A4232" s="139" t="s">
        <v>9992</v>
      </c>
      <c r="B4232" s="139" t="s">
        <v>9993</v>
      </c>
      <c r="C4232" s="139" t="s">
        <v>33</v>
      </c>
      <c r="D4232" s="139" t="s">
        <v>9994</v>
      </c>
    </row>
    <row r="4233" spans="1:4" x14ac:dyDescent="0.25">
      <c r="A4233" s="139" t="s">
        <v>9995</v>
      </c>
      <c r="B4233" s="139" t="s">
        <v>9993</v>
      </c>
      <c r="C4233" s="139" t="s">
        <v>33</v>
      </c>
      <c r="D4233" s="139" t="s">
        <v>9996</v>
      </c>
    </row>
    <row r="4234" spans="1:4" x14ac:dyDescent="0.25">
      <c r="A4234" s="139" t="s">
        <v>9997</v>
      </c>
      <c r="B4234" s="139" t="s">
        <v>9998</v>
      </c>
      <c r="C4234" s="139" t="s">
        <v>33</v>
      </c>
      <c r="D4234" s="139" t="s">
        <v>9999</v>
      </c>
    </row>
    <row r="4235" spans="1:4" x14ac:dyDescent="0.25">
      <c r="A4235" s="139" t="s">
        <v>10000</v>
      </c>
      <c r="B4235" s="139" t="s">
        <v>9998</v>
      </c>
      <c r="C4235" s="139" t="s">
        <v>33</v>
      </c>
      <c r="D4235" s="139" t="s">
        <v>10001</v>
      </c>
    </row>
    <row r="4236" spans="1:4" x14ac:dyDescent="0.25">
      <c r="A4236" s="139" t="s">
        <v>10002</v>
      </c>
      <c r="B4236" s="139" t="s">
        <v>10003</v>
      </c>
      <c r="C4236" s="139" t="s">
        <v>33</v>
      </c>
      <c r="D4236" s="139" t="s">
        <v>10004</v>
      </c>
    </row>
    <row r="4237" spans="1:4" x14ac:dyDescent="0.25">
      <c r="A4237" s="139" t="s">
        <v>10005</v>
      </c>
      <c r="B4237" s="139" t="s">
        <v>10003</v>
      </c>
      <c r="C4237" s="139" t="s">
        <v>33</v>
      </c>
      <c r="D4237" s="139" t="s">
        <v>10006</v>
      </c>
    </row>
    <row r="4238" spans="1:4" x14ac:dyDescent="0.25">
      <c r="A4238" s="139" t="s">
        <v>10007</v>
      </c>
      <c r="B4238" s="139" t="s">
        <v>10008</v>
      </c>
      <c r="C4238" s="139" t="s">
        <v>33</v>
      </c>
      <c r="D4238" s="139" t="s">
        <v>10009</v>
      </c>
    </row>
    <row r="4239" spans="1:4" x14ac:dyDescent="0.25">
      <c r="A4239" s="139" t="s">
        <v>10010</v>
      </c>
      <c r="B4239" s="139" t="s">
        <v>10008</v>
      </c>
      <c r="C4239" s="139" t="s">
        <v>33</v>
      </c>
      <c r="D4239" s="139" t="s">
        <v>10011</v>
      </c>
    </row>
    <row r="4240" spans="1:4" x14ac:dyDescent="0.25">
      <c r="A4240" s="139" t="s">
        <v>10012</v>
      </c>
      <c r="B4240" s="139" t="s">
        <v>10013</v>
      </c>
      <c r="C4240" s="139" t="s">
        <v>33</v>
      </c>
      <c r="D4240" s="139" t="s">
        <v>10014</v>
      </c>
    </row>
    <row r="4241" spans="1:4" x14ac:dyDescent="0.25">
      <c r="A4241" s="139" t="s">
        <v>10015</v>
      </c>
      <c r="B4241" s="139" t="s">
        <v>10013</v>
      </c>
      <c r="C4241" s="139" t="s">
        <v>33</v>
      </c>
      <c r="D4241" s="139" t="s">
        <v>10016</v>
      </c>
    </row>
    <row r="4242" spans="1:4" x14ac:dyDescent="0.25">
      <c r="A4242" s="139" t="s">
        <v>10017</v>
      </c>
      <c r="B4242" s="139" t="s">
        <v>10018</v>
      </c>
      <c r="C4242" s="139" t="s">
        <v>65</v>
      </c>
      <c r="D4242" s="139" t="s">
        <v>10019</v>
      </c>
    </row>
    <row r="4243" spans="1:4" x14ac:dyDescent="0.25">
      <c r="A4243" s="139" t="s">
        <v>10020</v>
      </c>
      <c r="B4243" s="139" t="s">
        <v>10018</v>
      </c>
      <c r="C4243" s="139" t="s">
        <v>65</v>
      </c>
      <c r="D4243" s="139" t="s">
        <v>10021</v>
      </c>
    </row>
    <row r="4244" spans="1:4" x14ac:dyDescent="0.25">
      <c r="A4244" s="139" t="s">
        <v>10022</v>
      </c>
      <c r="B4244" s="139" t="s">
        <v>10023</v>
      </c>
      <c r="C4244" s="139" t="s">
        <v>65</v>
      </c>
      <c r="D4244" s="139" t="s">
        <v>10024</v>
      </c>
    </row>
    <row r="4245" spans="1:4" x14ac:dyDescent="0.25">
      <c r="A4245" s="139" t="s">
        <v>10025</v>
      </c>
      <c r="B4245" s="139" t="s">
        <v>10023</v>
      </c>
      <c r="C4245" s="139" t="s">
        <v>65</v>
      </c>
      <c r="D4245" s="139" t="s">
        <v>10026</v>
      </c>
    </row>
    <row r="4246" spans="1:4" x14ac:dyDescent="0.25">
      <c r="A4246" s="139" t="s">
        <v>10027</v>
      </c>
      <c r="B4246" s="139" t="s">
        <v>10028</v>
      </c>
      <c r="C4246" s="139" t="s">
        <v>65</v>
      </c>
      <c r="D4246" s="139" t="s">
        <v>10029</v>
      </c>
    </row>
    <row r="4247" spans="1:4" x14ac:dyDescent="0.25">
      <c r="A4247" s="139" t="s">
        <v>10030</v>
      </c>
      <c r="B4247" s="139" t="s">
        <v>10028</v>
      </c>
      <c r="C4247" s="139" t="s">
        <v>65</v>
      </c>
      <c r="D4247" s="139" t="s">
        <v>10031</v>
      </c>
    </row>
    <row r="4248" spans="1:4" x14ac:dyDescent="0.25">
      <c r="A4248" s="139" t="s">
        <v>10032</v>
      </c>
      <c r="B4248" s="139" t="s">
        <v>10033</v>
      </c>
      <c r="C4248" s="139" t="s">
        <v>65</v>
      </c>
      <c r="D4248" s="139" t="s">
        <v>10034</v>
      </c>
    </row>
    <row r="4249" spans="1:4" x14ac:dyDescent="0.25">
      <c r="A4249" s="139" t="s">
        <v>10035</v>
      </c>
      <c r="B4249" s="139" t="s">
        <v>10033</v>
      </c>
      <c r="C4249" s="139" t="s">
        <v>65</v>
      </c>
      <c r="D4249" s="139" t="s">
        <v>10036</v>
      </c>
    </row>
    <row r="4250" spans="1:4" x14ac:dyDescent="0.25">
      <c r="A4250" s="139" t="s">
        <v>10037</v>
      </c>
      <c r="B4250" s="139" t="s">
        <v>10038</v>
      </c>
      <c r="C4250" s="139" t="s">
        <v>65</v>
      </c>
      <c r="D4250" s="139" t="s">
        <v>10039</v>
      </c>
    </row>
    <row r="4251" spans="1:4" x14ac:dyDescent="0.25">
      <c r="A4251" s="139" t="s">
        <v>10040</v>
      </c>
      <c r="B4251" s="139" t="s">
        <v>10038</v>
      </c>
      <c r="C4251" s="139" t="s">
        <v>65</v>
      </c>
      <c r="D4251" s="139" t="s">
        <v>10041</v>
      </c>
    </row>
    <row r="4252" spans="1:4" x14ac:dyDescent="0.25">
      <c r="A4252" s="139" t="s">
        <v>10042</v>
      </c>
      <c r="B4252" s="139" t="s">
        <v>10043</v>
      </c>
      <c r="C4252" s="139" t="s">
        <v>65</v>
      </c>
      <c r="D4252" s="139" t="s">
        <v>10044</v>
      </c>
    </row>
    <row r="4253" spans="1:4" x14ac:dyDescent="0.25">
      <c r="A4253" s="139" t="s">
        <v>10045</v>
      </c>
      <c r="B4253" s="139" t="s">
        <v>10043</v>
      </c>
      <c r="C4253" s="139" t="s">
        <v>65</v>
      </c>
      <c r="D4253" s="139" t="s">
        <v>10046</v>
      </c>
    </row>
    <row r="4254" spans="1:4" x14ac:dyDescent="0.25">
      <c r="A4254" s="139" t="s">
        <v>10047</v>
      </c>
      <c r="B4254" s="139" t="s">
        <v>10048</v>
      </c>
      <c r="C4254" s="139" t="s">
        <v>33</v>
      </c>
      <c r="D4254" s="139" t="s">
        <v>10049</v>
      </c>
    </row>
    <row r="4255" spans="1:4" x14ac:dyDescent="0.25">
      <c r="A4255" s="139" t="s">
        <v>10050</v>
      </c>
      <c r="B4255" s="139" t="s">
        <v>10048</v>
      </c>
      <c r="C4255" s="139" t="s">
        <v>33</v>
      </c>
      <c r="D4255" s="139" t="s">
        <v>10051</v>
      </c>
    </row>
    <row r="4256" spans="1:4" x14ac:dyDescent="0.25">
      <c r="A4256" s="139" t="s">
        <v>10052</v>
      </c>
      <c r="B4256" s="139" t="s">
        <v>10053</v>
      </c>
      <c r="C4256" s="139" t="s">
        <v>33</v>
      </c>
      <c r="D4256" s="139" t="s">
        <v>10054</v>
      </c>
    </row>
    <row r="4257" spans="1:4" x14ac:dyDescent="0.25">
      <c r="A4257" s="139" t="s">
        <v>10055</v>
      </c>
      <c r="B4257" s="139" t="s">
        <v>10053</v>
      </c>
      <c r="C4257" s="139" t="s">
        <v>33</v>
      </c>
      <c r="D4257" s="139" t="s">
        <v>10056</v>
      </c>
    </row>
    <row r="4258" spans="1:4" x14ac:dyDescent="0.25">
      <c r="A4258" s="139" t="s">
        <v>10057</v>
      </c>
      <c r="B4258" s="139" t="s">
        <v>10058</v>
      </c>
      <c r="C4258" s="139" t="s">
        <v>33</v>
      </c>
      <c r="D4258" s="139" t="s">
        <v>10059</v>
      </c>
    </row>
    <row r="4259" spans="1:4" x14ac:dyDescent="0.25">
      <c r="A4259" s="139" t="s">
        <v>10060</v>
      </c>
      <c r="B4259" s="139" t="s">
        <v>10058</v>
      </c>
      <c r="C4259" s="139" t="s">
        <v>33</v>
      </c>
      <c r="D4259" s="139" t="s">
        <v>10061</v>
      </c>
    </row>
    <row r="4260" spans="1:4" x14ac:dyDescent="0.25">
      <c r="A4260" s="139" t="s">
        <v>10062</v>
      </c>
      <c r="B4260" s="139" t="s">
        <v>10063</v>
      </c>
      <c r="C4260" s="139" t="s">
        <v>65</v>
      </c>
      <c r="D4260" s="139" t="s">
        <v>10064</v>
      </c>
    </row>
    <row r="4261" spans="1:4" x14ac:dyDescent="0.25">
      <c r="A4261" s="139" t="s">
        <v>10065</v>
      </c>
      <c r="B4261" s="139" t="s">
        <v>10063</v>
      </c>
      <c r="C4261" s="139" t="s">
        <v>65</v>
      </c>
      <c r="D4261" s="139" t="s">
        <v>10066</v>
      </c>
    </row>
    <row r="4262" spans="1:4" x14ac:dyDescent="0.25">
      <c r="A4262" s="139" t="s">
        <v>10067</v>
      </c>
      <c r="B4262" s="139" t="s">
        <v>10068</v>
      </c>
      <c r="C4262" s="139" t="s">
        <v>65</v>
      </c>
      <c r="D4262" s="139" t="s">
        <v>10069</v>
      </c>
    </row>
    <row r="4263" spans="1:4" x14ac:dyDescent="0.25">
      <c r="A4263" s="139" t="s">
        <v>10070</v>
      </c>
      <c r="B4263" s="139" t="s">
        <v>10068</v>
      </c>
      <c r="C4263" s="139" t="s">
        <v>65</v>
      </c>
      <c r="D4263" s="139" t="s">
        <v>10071</v>
      </c>
    </row>
    <row r="4264" spans="1:4" x14ac:dyDescent="0.25">
      <c r="A4264" s="139" t="s">
        <v>10072</v>
      </c>
      <c r="B4264" s="139" t="s">
        <v>10073</v>
      </c>
      <c r="C4264" s="139" t="s">
        <v>65</v>
      </c>
      <c r="D4264" s="139" t="s">
        <v>10074</v>
      </c>
    </row>
    <row r="4265" spans="1:4" x14ac:dyDescent="0.25">
      <c r="A4265" s="139" t="s">
        <v>10075</v>
      </c>
      <c r="B4265" s="139" t="s">
        <v>10073</v>
      </c>
      <c r="C4265" s="139" t="s">
        <v>65</v>
      </c>
      <c r="D4265" s="139" t="s">
        <v>10076</v>
      </c>
    </row>
    <row r="4266" spans="1:4" x14ac:dyDescent="0.25">
      <c r="A4266" s="139" t="s">
        <v>10077</v>
      </c>
      <c r="B4266" s="139" t="s">
        <v>10078</v>
      </c>
      <c r="C4266" s="139" t="s">
        <v>65</v>
      </c>
      <c r="D4266" s="139" t="s">
        <v>10079</v>
      </c>
    </row>
    <row r="4267" spans="1:4" x14ac:dyDescent="0.25">
      <c r="A4267" s="139" t="s">
        <v>10080</v>
      </c>
      <c r="B4267" s="139" t="s">
        <v>10078</v>
      </c>
      <c r="C4267" s="139" t="s">
        <v>65</v>
      </c>
      <c r="D4267" s="139" t="s">
        <v>10081</v>
      </c>
    </row>
    <row r="4268" spans="1:4" x14ac:dyDescent="0.25">
      <c r="A4268" s="139" t="s">
        <v>10082</v>
      </c>
      <c r="B4268" s="139" t="s">
        <v>10083</v>
      </c>
      <c r="C4268" s="139" t="s">
        <v>65</v>
      </c>
      <c r="D4268" s="139" t="s">
        <v>10084</v>
      </c>
    </row>
    <row r="4269" spans="1:4" x14ac:dyDescent="0.25">
      <c r="A4269" s="139" t="s">
        <v>10085</v>
      </c>
      <c r="B4269" s="139" t="s">
        <v>10083</v>
      </c>
      <c r="C4269" s="139" t="s">
        <v>65</v>
      </c>
      <c r="D4269" s="139" t="s">
        <v>10086</v>
      </c>
    </row>
    <row r="4270" spans="1:4" x14ac:dyDescent="0.25">
      <c r="A4270" s="139" t="s">
        <v>10087</v>
      </c>
      <c r="B4270" s="139" t="s">
        <v>8073</v>
      </c>
      <c r="C4270" s="139" t="s">
        <v>65</v>
      </c>
      <c r="D4270" s="139" t="s">
        <v>10088</v>
      </c>
    </row>
    <row r="4271" spans="1:4" x14ac:dyDescent="0.25">
      <c r="A4271" s="139" t="s">
        <v>10089</v>
      </c>
      <c r="B4271" s="139" t="s">
        <v>8073</v>
      </c>
      <c r="C4271" s="139" t="s">
        <v>65</v>
      </c>
      <c r="D4271" s="139" t="s">
        <v>10090</v>
      </c>
    </row>
    <row r="4272" spans="1:4" x14ac:dyDescent="0.25">
      <c r="A4272" s="139" t="s">
        <v>10091</v>
      </c>
      <c r="B4272" s="139" t="s">
        <v>10092</v>
      </c>
      <c r="C4272" s="139" t="s">
        <v>112</v>
      </c>
      <c r="D4272" s="139" t="s">
        <v>10093</v>
      </c>
    </row>
    <row r="4273" spans="1:4" x14ac:dyDescent="0.25">
      <c r="A4273" s="139" t="s">
        <v>10094</v>
      </c>
      <c r="B4273" s="139" t="s">
        <v>10092</v>
      </c>
      <c r="C4273" s="139" t="s">
        <v>127</v>
      </c>
      <c r="D4273" s="139" t="s">
        <v>10095</v>
      </c>
    </row>
    <row r="4274" spans="1:4" x14ac:dyDescent="0.25">
      <c r="A4274" s="139" t="s">
        <v>10096</v>
      </c>
      <c r="B4274" s="139" t="s">
        <v>6249</v>
      </c>
      <c r="C4274" s="139" t="s">
        <v>1820</v>
      </c>
      <c r="D4274" s="139" t="s">
        <v>10097</v>
      </c>
    </row>
    <row r="4275" spans="1:4" x14ac:dyDescent="0.25">
      <c r="A4275" s="139" t="s">
        <v>10098</v>
      </c>
      <c r="B4275" s="139" t="s">
        <v>6249</v>
      </c>
      <c r="C4275" s="139" t="s">
        <v>1820</v>
      </c>
      <c r="D4275" s="139" t="s">
        <v>10099</v>
      </c>
    </row>
    <row r="4276" spans="1:4" x14ac:dyDescent="0.25">
      <c r="A4276" s="139" t="s">
        <v>10100</v>
      </c>
      <c r="B4276" s="139" t="s">
        <v>10101</v>
      </c>
      <c r="C4276" s="139" t="s">
        <v>1820</v>
      </c>
      <c r="D4276" s="139" t="s">
        <v>10102</v>
      </c>
    </row>
    <row r="4277" spans="1:4" x14ac:dyDescent="0.25">
      <c r="A4277" s="139" t="s">
        <v>10103</v>
      </c>
      <c r="B4277" s="139" t="s">
        <v>10101</v>
      </c>
      <c r="C4277" s="139" t="s">
        <v>1820</v>
      </c>
      <c r="D4277" s="139" t="s">
        <v>10104</v>
      </c>
    </row>
    <row r="4278" spans="1:4" x14ac:dyDescent="0.25">
      <c r="A4278" s="139" t="s">
        <v>10105</v>
      </c>
      <c r="B4278" s="139" t="s">
        <v>10106</v>
      </c>
      <c r="C4278" s="139" t="s">
        <v>65</v>
      </c>
      <c r="D4278" s="139" t="s">
        <v>10107</v>
      </c>
    </row>
    <row r="4279" spans="1:4" x14ac:dyDescent="0.25">
      <c r="A4279" s="139" t="s">
        <v>10108</v>
      </c>
      <c r="B4279" s="139" t="s">
        <v>10106</v>
      </c>
      <c r="C4279" s="139" t="s">
        <v>65</v>
      </c>
      <c r="D4279" s="139" t="s">
        <v>10109</v>
      </c>
    </row>
    <row r="4280" spans="1:4" x14ac:dyDescent="0.25">
      <c r="A4280" s="139" t="s">
        <v>10110</v>
      </c>
      <c r="B4280" s="139" t="s">
        <v>10111</v>
      </c>
      <c r="C4280" s="139" t="s">
        <v>65</v>
      </c>
      <c r="D4280" s="139" t="s">
        <v>10112</v>
      </c>
    </row>
    <row r="4281" spans="1:4" x14ac:dyDescent="0.25">
      <c r="A4281" s="139" t="s">
        <v>10113</v>
      </c>
      <c r="B4281" s="139" t="s">
        <v>10111</v>
      </c>
      <c r="C4281" s="139" t="s">
        <v>65</v>
      </c>
      <c r="D4281" s="139" t="s">
        <v>10114</v>
      </c>
    </row>
    <row r="4282" spans="1:4" x14ac:dyDescent="0.25">
      <c r="A4282" s="139" t="s">
        <v>10115</v>
      </c>
      <c r="B4282" s="139" t="s">
        <v>10116</v>
      </c>
      <c r="C4282" s="139" t="s">
        <v>33</v>
      </c>
      <c r="D4282" s="139" t="s">
        <v>10117</v>
      </c>
    </row>
    <row r="4283" spans="1:4" x14ac:dyDescent="0.25">
      <c r="A4283" s="139" t="s">
        <v>10118</v>
      </c>
      <c r="B4283" s="139" t="s">
        <v>10116</v>
      </c>
      <c r="C4283" s="139" t="s">
        <v>33</v>
      </c>
      <c r="D4283" s="139" t="s">
        <v>10119</v>
      </c>
    </row>
    <row r="4284" spans="1:4" x14ac:dyDescent="0.25">
      <c r="A4284" s="139" t="s">
        <v>10120</v>
      </c>
      <c r="B4284" s="139" t="s">
        <v>8166</v>
      </c>
      <c r="C4284" s="139" t="s">
        <v>65</v>
      </c>
      <c r="D4284" s="139" t="s">
        <v>10121</v>
      </c>
    </row>
    <row r="4285" spans="1:4" x14ac:dyDescent="0.25">
      <c r="A4285" s="139" t="s">
        <v>10122</v>
      </c>
      <c r="B4285" s="139" t="s">
        <v>10123</v>
      </c>
      <c r="C4285" s="139" t="s">
        <v>2895</v>
      </c>
      <c r="D4285" s="139" t="s">
        <v>10124</v>
      </c>
    </row>
    <row r="4286" spans="1:4" x14ac:dyDescent="0.25">
      <c r="A4286" s="139" t="s">
        <v>10125</v>
      </c>
      <c r="B4286" s="139" t="s">
        <v>10123</v>
      </c>
      <c r="C4286" s="139" t="s">
        <v>2895</v>
      </c>
      <c r="D4286" s="139" t="s">
        <v>10126</v>
      </c>
    </row>
    <row r="4287" spans="1:4" x14ac:dyDescent="0.25">
      <c r="A4287" s="139" t="s">
        <v>10127</v>
      </c>
      <c r="B4287" s="139" t="s">
        <v>10128</v>
      </c>
      <c r="C4287" s="139" t="s">
        <v>2895</v>
      </c>
      <c r="D4287" s="139" t="s">
        <v>10129</v>
      </c>
    </row>
    <row r="4288" spans="1:4" x14ac:dyDescent="0.25">
      <c r="A4288" s="139" t="s">
        <v>10130</v>
      </c>
      <c r="B4288" s="139" t="s">
        <v>10128</v>
      </c>
      <c r="C4288" s="139" t="s">
        <v>2895</v>
      </c>
      <c r="D4288" s="139" t="s">
        <v>10131</v>
      </c>
    </row>
    <row r="4289" spans="1:4" x14ac:dyDescent="0.25">
      <c r="A4289" s="139" t="s">
        <v>10132</v>
      </c>
      <c r="B4289" s="139" t="s">
        <v>10133</v>
      </c>
      <c r="C4289" s="139" t="s">
        <v>2895</v>
      </c>
      <c r="D4289" s="139" t="s">
        <v>10134</v>
      </c>
    </row>
    <row r="4290" spans="1:4" x14ac:dyDescent="0.25">
      <c r="A4290" s="139" t="s">
        <v>10135</v>
      </c>
      <c r="B4290" s="139" t="s">
        <v>10133</v>
      </c>
      <c r="C4290" s="139" t="s">
        <v>2895</v>
      </c>
      <c r="D4290" s="139" t="s">
        <v>10136</v>
      </c>
    </row>
    <row r="4291" spans="1:4" x14ac:dyDescent="0.25">
      <c r="A4291" s="139" t="s">
        <v>10137</v>
      </c>
      <c r="B4291" s="139" t="s">
        <v>10138</v>
      </c>
      <c r="C4291" s="139" t="s">
        <v>2895</v>
      </c>
      <c r="D4291" s="139" t="s">
        <v>10139</v>
      </c>
    </row>
    <row r="4292" spans="1:4" x14ac:dyDescent="0.25">
      <c r="A4292" s="139" t="s">
        <v>10140</v>
      </c>
      <c r="B4292" s="139" t="s">
        <v>10138</v>
      </c>
      <c r="C4292" s="139" t="s">
        <v>2895</v>
      </c>
      <c r="D4292" s="139" t="s">
        <v>10141</v>
      </c>
    </row>
    <row r="4293" spans="1:4" x14ac:dyDescent="0.25">
      <c r="A4293" s="139" t="s">
        <v>10142</v>
      </c>
      <c r="B4293" s="139" t="s">
        <v>10078</v>
      </c>
      <c r="C4293" s="139" t="s">
        <v>2895</v>
      </c>
      <c r="D4293" s="139" t="s">
        <v>10143</v>
      </c>
    </row>
    <row r="4294" spans="1:4" x14ac:dyDescent="0.25">
      <c r="A4294" s="139" t="s">
        <v>10144</v>
      </c>
      <c r="B4294" s="139" t="s">
        <v>10078</v>
      </c>
      <c r="C4294" s="139" t="s">
        <v>2895</v>
      </c>
      <c r="D4294" s="139" t="s">
        <v>10145</v>
      </c>
    </row>
    <row r="4295" spans="1:4" x14ac:dyDescent="0.25">
      <c r="A4295" s="139" t="s">
        <v>10146</v>
      </c>
      <c r="B4295" s="139" t="s">
        <v>10147</v>
      </c>
      <c r="C4295" s="139" t="s">
        <v>2895</v>
      </c>
      <c r="D4295" s="139" t="s">
        <v>10148</v>
      </c>
    </row>
    <row r="4296" spans="1:4" x14ac:dyDescent="0.25">
      <c r="A4296" s="139" t="s">
        <v>10149</v>
      </c>
      <c r="B4296" s="139" t="s">
        <v>10147</v>
      </c>
      <c r="C4296" s="139" t="s">
        <v>2895</v>
      </c>
      <c r="D4296" s="139" t="s">
        <v>10150</v>
      </c>
    </row>
    <row r="4297" spans="1:4" x14ac:dyDescent="0.25">
      <c r="A4297" s="139" t="s">
        <v>10151</v>
      </c>
      <c r="B4297" s="139" t="s">
        <v>10152</v>
      </c>
      <c r="C4297" s="139" t="s">
        <v>2895</v>
      </c>
      <c r="D4297" s="139" t="s">
        <v>10153</v>
      </c>
    </row>
    <row r="4298" spans="1:4" x14ac:dyDescent="0.25">
      <c r="A4298" s="139" t="s">
        <v>10154</v>
      </c>
      <c r="B4298" s="139" t="s">
        <v>10152</v>
      </c>
      <c r="C4298" s="139" t="s">
        <v>2895</v>
      </c>
      <c r="D4298" s="139" t="s">
        <v>10155</v>
      </c>
    </row>
    <row r="4299" spans="1:4" x14ac:dyDescent="0.25">
      <c r="A4299" s="139" t="s">
        <v>10156</v>
      </c>
      <c r="B4299" s="139" t="s">
        <v>10157</v>
      </c>
      <c r="C4299" s="139" t="s">
        <v>2895</v>
      </c>
      <c r="D4299" s="139" t="s">
        <v>10158</v>
      </c>
    </row>
    <row r="4300" spans="1:4" x14ac:dyDescent="0.25">
      <c r="A4300" s="139" t="s">
        <v>10159</v>
      </c>
      <c r="B4300" s="139" t="s">
        <v>10157</v>
      </c>
      <c r="C4300" s="139" t="s">
        <v>2895</v>
      </c>
      <c r="D4300" s="139" t="s">
        <v>10160</v>
      </c>
    </row>
    <row r="4301" spans="1:4" x14ac:dyDescent="0.25">
      <c r="A4301" s="139" t="s">
        <v>10161</v>
      </c>
      <c r="B4301" s="139" t="s">
        <v>10162</v>
      </c>
      <c r="C4301" s="139" t="s">
        <v>33</v>
      </c>
      <c r="D4301" s="139" t="s">
        <v>10163</v>
      </c>
    </row>
    <row r="4302" spans="1:4" x14ac:dyDescent="0.25">
      <c r="A4302" s="139" t="s">
        <v>10164</v>
      </c>
      <c r="B4302" s="139" t="s">
        <v>10162</v>
      </c>
      <c r="C4302" s="139" t="s">
        <v>33</v>
      </c>
      <c r="D4302" s="139" t="s">
        <v>10165</v>
      </c>
    </row>
    <row r="4303" spans="1:4" x14ac:dyDescent="0.25">
      <c r="A4303" s="139" t="s">
        <v>10166</v>
      </c>
      <c r="B4303" s="139" t="s">
        <v>10167</v>
      </c>
      <c r="C4303" s="139" t="s">
        <v>65</v>
      </c>
      <c r="D4303" s="139" t="s">
        <v>10168</v>
      </c>
    </row>
    <row r="4304" spans="1:4" x14ac:dyDescent="0.25">
      <c r="A4304" s="139" t="s">
        <v>10169</v>
      </c>
      <c r="B4304" s="139" t="s">
        <v>10167</v>
      </c>
      <c r="C4304" s="139" t="s">
        <v>65</v>
      </c>
      <c r="D4304" s="139" t="s">
        <v>10170</v>
      </c>
    </row>
    <row r="4305" spans="1:4" x14ac:dyDescent="0.25">
      <c r="A4305" s="139" t="s">
        <v>10171</v>
      </c>
      <c r="B4305" s="139" t="s">
        <v>10172</v>
      </c>
      <c r="C4305" s="139" t="s">
        <v>65</v>
      </c>
      <c r="D4305" s="139" t="s">
        <v>10173</v>
      </c>
    </row>
    <row r="4306" spans="1:4" x14ac:dyDescent="0.25">
      <c r="A4306" s="139" t="s">
        <v>10174</v>
      </c>
      <c r="B4306" s="139" t="s">
        <v>10172</v>
      </c>
      <c r="C4306" s="139" t="s">
        <v>65</v>
      </c>
      <c r="D4306" s="139" t="s">
        <v>10175</v>
      </c>
    </row>
    <row r="4307" spans="1:4" x14ac:dyDescent="0.25">
      <c r="A4307" s="139" t="s">
        <v>10176</v>
      </c>
      <c r="B4307" s="139" t="s">
        <v>6960</v>
      </c>
      <c r="C4307" s="139" t="s">
        <v>65</v>
      </c>
      <c r="D4307" s="139" t="s">
        <v>10177</v>
      </c>
    </row>
    <row r="4308" spans="1:4" x14ac:dyDescent="0.25">
      <c r="A4308" s="139" t="s">
        <v>10178</v>
      </c>
      <c r="B4308" s="139" t="s">
        <v>1489</v>
      </c>
      <c r="C4308" s="139" t="s">
        <v>65</v>
      </c>
      <c r="D4308" s="139" t="s">
        <v>10179</v>
      </c>
    </row>
    <row r="4309" spans="1:4" x14ac:dyDescent="0.25">
      <c r="A4309" s="139" t="s">
        <v>10180</v>
      </c>
      <c r="B4309" s="139" t="s">
        <v>1494</v>
      </c>
      <c r="C4309" s="139" t="s">
        <v>65</v>
      </c>
      <c r="D4309" s="139" t="s">
        <v>10181</v>
      </c>
    </row>
    <row r="4310" spans="1:4" x14ac:dyDescent="0.25">
      <c r="A4310" s="139" t="s">
        <v>10182</v>
      </c>
      <c r="B4310" s="139" t="s">
        <v>1499</v>
      </c>
      <c r="C4310" s="139" t="s">
        <v>65</v>
      </c>
      <c r="D4310" s="139" t="s">
        <v>10183</v>
      </c>
    </row>
    <row r="4311" spans="1:4" x14ac:dyDescent="0.25">
      <c r="A4311" s="139" t="s">
        <v>10184</v>
      </c>
      <c r="B4311" s="139" t="s">
        <v>1782</v>
      </c>
      <c r="C4311" s="139" t="s">
        <v>65</v>
      </c>
      <c r="D4311" s="139" t="s">
        <v>10185</v>
      </c>
    </row>
    <row r="4312" spans="1:4" x14ac:dyDescent="0.25">
      <c r="A4312" s="139" t="s">
        <v>10186</v>
      </c>
      <c r="B4312" s="139" t="s">
        <v>1782</v>
      </c>
      <c r="C4312" s="139" t="s">
        <v>127</v>
      </c>
      <c r="D4312" s="139" t="s">
        <v>10187</v>
      </c>
    </row>
    <row r="4313" spans="1:4" x14ac:dyDescent="0.25">
      <c r="A4313" s="139" t="s">
        <v>10188</v>
      </c>
      <c r="B4313" s="139" t="s">
        <v>8855</v>
      </c>
      <c r="C4313" s="139" t="s">
        <v>127</v>
      </c>
      <c r="D4313" s="139" t="s">
        <v>10189</v>
      </c>
    </row>
    <row r="4314" spans="1:4" x14ac:dyDescent="0.25">
      <c r="A4314" s="139" t="s">
        <v>10190</v>
      </c>
      <c r="B4314" s="139" t="s">
        <v>1243</v>
      </c>
      <c r="C4314" s="139" t="s">
        <v>112</v>
      </c>
      <c r="D4314" s="139" t="s">
        <v>10191</v>
      </c>
    </row>
    <row r="4315" spans="1:4" x14ac:dyDescent="0.25">
      <c r="A4315" s="139" t="s">
        <v>10192</v>
      </c>
      <c r="B4315" s="139" t="s">
        <v>5006</v>
      </c>
      <c r="C4315" s="139" t="s">
        <v>65</v>
      </c>
      <c r="D4315" s="139" t="s">
        <v>10193</v>
      </c>
    </row>
    <row r="4316" spans="1:4" x14ac:dyDescent="0.25">
      <c r="A4316" s="139" t="s">
        <v>10194</v>
      </c>
      <c r="B4316" s="139" t="s">
        <v>5001</v>
      </c>
      <c r="C4316" s="139" t="s">
        <v>65</v>
      </c>
      <c r="D4316" s="139" t="s">
        <v>10195</v>
      </c>
    </row>
    <row r="4317" spans="1:4" x14ac:dyDescent="0.25">
      <c r="A4317" s="139" t="s">
        <v>10196</v>
      </c>
      <c r="B4317" s="139" t="s">
        <v>4996</v>
      </c>
      <c r="C4317" s="139" t="s">
        <v>65</v>
      </c>
      <c r="D4317" s="139" t="s">
        <v>10197</v>
      </c>
    </row>
    <row r="4318" spans="1:4" x14ac:dyDescent="0.25">
      <c r="A4318" s="139" t="s">
        <v>10198</v>
      </c>
      <c r="B4318" s="139" t="s">
        <v>1345</v>
      </c>
      <c r="C4318" s="139" t="s">
        <v>65</v>
      </c>
      <c r="D4318" s="139" t="s">
        <v>10199</v>
      </c>
    </row>
    <row r="4319" spans="1:4" x14ac:dyDescent="0.25">
      <c r="A4319" s="139" t="s">
        <v>10200</v>
      </c>
      <c r="B4319" s="139" t="s">
        <v>885</v>
      </c>
      <c r="C4319" s="139" t="s">
        <v>65</v>
      </c>
      <c r="D4319" s="139" t="s">
        <v>10201</v>
      </c>
    </row>
    <row r="4320" spans="1:4" x14ac:dyDescent="0.25">
      <c r="A4320" s="139" t="s">
        <v>10202</v>
      </c>
      <c r="B4320" s="139" t="s">
        <v>10203</v>
      </c>
      <c r="C4320" s="139" t="s">
        <v>65</v>
      </c>
      <c r="D4320" s="139" t="s">
        <v>10204</v>
      </c>
    </row>
    <row r="4321" spans="1:4" x14ac:dyDescent="0.25">
      <c r="A4321" s="139" t="s">
        <v>10205</v>
      </c>
      <c r="B4321" s="139" t="s">
        <v>6561</v>
      </c>
      <c r="C4321" s="139" t="s">
        <v>65</v>
      </c>
      <c r="D4321" s="139" t="s">
        <v>10206</v>
      </c>
    </row>
    <row r="4322" spans="1:4" x14ac:dyDescent="0.25">
      <c r="A4322" s="139" t="s">
        <v>10207</v>
      </c>
      <c r="B4322" s="139" t="s">
        <v>895</v>
      </c>
      <c r="C4322" s="139" t="s">
        <v>65</v>
      </c>
      <c r="D4322" s="139" t="s">
        <v>10208</v>
      </c>
    </row>
    <row r="4323" spans="1:4" x14ac:dyDescent="0.25">
      <c r="A4323" s="139" t="s">
        <v>10209</v>
      </c>
      <c r="B4323" s="139" t="s">
        <v>1469</v>
      </c>
      <c r="C4323" s="139" t="s">
        <v>65</v>
      </c>
      <c r="D4323" s="139" t="s">
        <v>10210</v>
      </c>
    </row>
    <row r="4324" spans="1:4" x14ac:dyDescent="0.25">
      <c r="A4324" s="139" t="s">
        <v>10211</v>
      </c>
      <c r="B4324" s="139" t="s">
        <v>9127</v>
      </c>
      <c r="C4324" s="139" t="s">
        <v>65</v>
      </c>
      <c r="D4324" s="139" t="s">
        <v>10212</v>
      </c>
    </row>
    <row r="4325" spans="1:4" x14ac:dyDescent="0.25">
      <c r="A4325" s="139" t="s">
        <v>10213</v>
      </c>
      <c r="B4325" s="139" t="s">
        <v>2325</v>
      </c>
      <c r="C4325" s="139" t="s">
        <v>65</v>
      </c>
      <c r="D4325" s="139" t="s">
        <v>10214</v>
      </c>
    </row>
    <row r="4326" spans="1:4" x14ac:dyDescent="0.25">
      <c r="A4326" s="139" t="s">
        <v>10215</v>
      </c>
      <c r="B4326" s="139" t="s">
        <v>1305</v>
      </c>
      <c r="C4326" s="139" t="s">
        <v>33</v>
      </c>
      <c r="D4326" s="139" t="s">
        <v>10216</v>
      </c>
    </row>
    <row r="4327" spans="1:4" x14ac:dyDescent="0.25">
      <c r="A4327" s="139" t="s">
        <v>10217</v>
      </c>
      <c r="B4327" s="139" t="s">
        <v>4406</v>
      </c>
      <c r="C4327" s="139" t="s">
        <v>33</v>
      </c>
      <c r="D4327" s="139" t="s">
        <v>10218</v>
      </c>
    </row>
    <row r="4328" spans="1:4" x14ac:dyDescent="0.25">
      <c r="A4328" s="139" t="s">
        <v>10219</v>
      </c>
      <c r="B4328" s="139" t="s">
        <v>5360</v>
      </c>
      <c r="C4328" s="139" t="s">
        <v>33</v>
      </c>
      <c r="D4328" s="139" t="s">
        <v>10220</v>
      </c>
    </row>
    <row r="4329" spans="1:4" x14ac:dyDescent="0.25">
      <c r="A4329" s="139" t="s">
        <v>10221</v>
      </c>
      <c r="B4329" s="139" t="s">
        <v>10222</v>
      </c>
      <c r="C4329" s="139" t="s">
        <v>658</v>
      </c>
      <c r="D4329" s="139" t="s">
        <v>10223</v>
      </c>
    </row>
    <row r="4330" spans="1:4" x14ac:dyDescent="0.25">
      <c r="A4330" s="139" t="s">
        <v>10224</v>
      </c>
      <c r="B4330" s="139" t="s">
        <v>10225</v>
      </c>
      <c r="C4330" s="139" t="s">
        <v>658</v>
      </c>
      <c r="D4330" s="139" t="s">
        <v>10226</v>
      </c>
    </row>
    <row r="4331" spans="1:4" x14ac:dyDescent="0.25">
      <c r="A4331" s="139" t="s">
        <v>10227</v>
      </c>
      <c r="B4331" s="139" t="s">
        <v>8785</v>
      </c>
      <c r="C4331" s="139" t="s">
        <v>658</v>
      </c>
      <c r="D4331" s="139" t="s">
        <v>10228</v>
      </c>
    </row>
    <row r="4332" spans="1:4" x14ac:dyDescent="0.25">
      <c r="A4332" s="139" t="s">
        <v>10229</v>
      </c>
      <c r="B4332" s="139" t="s">
        <v>7061</v>
      </c>
      <c r="C4332" s="139" t="s">
        <v>112</v>
      </c>
      <c r="D4332" s="139" t="s">
        <v>10230</v>
      </c>
    </row>
    <row r="4333" spans="1:4" x14ac:dyDescent="0.25">
      <c r="A4333" s="139" t="s">
        <v>10231</v>
      </c>
      <c r="B4333" s="139" t="s">
        <v>3202</v>
      </c>
      <c r="C4333" s="139" t="s">
        <v>112</v>
      </c>
      <c r="D4333" s="139" t="s">
        <v>10232</v>
      </c>
    </row>
    <row r="4334" spans="1:4" x14ac:dyDescent="0.25">
      <c r="A4334" s="139" t="s">
        <v>10233</v>
      </c>
      <c r="B4334" s="139" t="s">
        <v>10234</v>
      </c>
      <c r="C4334" s="139" t="s">
        <v>112</v>
      </c>
      <c r="D4334" s="139" t="s">
        <v>10235</v>
      </c>
    </row>
    <row r="4335" spans="1:4" x14ac:dyDescent="0.25">
      <c r="A4335" s="139" t="s">
        <v>10236</v>
      </c>
      <c r="B4335" s="139" t="s">
        <v>310</v>
      </c>
      <c r="C4335" s="139" t="s">
        <v>112</v>
      </c>
      <c r="D4335" s="139" t="s">
        <v>10237</v>
      </c>
    </row>
    <row r="4336" spans="1:4" x14ac:dyDescent="0.25">
      <c r="A4336" s="139" t="s">
        <v>10238</v>
      </c>
      <c r="B4336" s="139" t="s">
        <v>1593</v>
      </c>
      <c r="C4336" s="139" t="s">
        <v>112</v>
      </c>
      <c r="D4336" s="139" t="s">
        <v>10239</v>
      </c>
    </row>
    <row r="4337" spans="1:4" x14ac:dyDescent="0.25">
      <c r="A4337" s="139" t="s">
        <v>10240</v>
      </c>
      <c r="B4337" s="139" t="s">
        <v>7384</v>
      </c>
      <c r="C4337" s="139" t="s">
        <v>112</v>
      </c>
      <c r="D4337" s="139" t="s">
        <v>10241</v>
      </c>
    </row>
    <row r="4338" spans="1:4" x14ac:dyDescent="0.25">
      <c r="A4338" s="139" t="s">
        <v>10242</v>
      </c>
      <c r="B4338" s="139" t="s">
        <v>9273</v>
      </c>
      <c r="C4338" s="139" t="s">
        <v>112</v>
      </c>
      <c r="D4338" s="139" t="s">
        <v>10243</v>
      </c>
    </row>
    <row r="4339" spans="1:4" x14ac:dyDescent="0.25">
      <c r="A4339" s="139" t="s">
        <v>10244</v>
      </c>
      <c r="B4339" s="139" t="s">
        <v>4651</v>
      </c>
      <c r="C4339" s="139" t="s">
        <v>112</v>
      </c>
      <c r="D4339" s="139" t="s">
        <v>10245</v>
      </c>
    </row>
    <row r="4340" spans="1:4" x14ac:dyDescent="0.25">
      <c r="A4340" s="139" t="s">
        <v>10246</v>
      </c>
      <c r="B4340" s="139" t="s">
        <v>4903</v>
      </c>
      <c r="C4340" s="139" t="s">
        <v>112</v>
      </c>
      <c r="D4340" s="139" t="s">
        <v>10247</v>
      </c>
    </row>
    <row r="4341" spans="1:4" x14ac:dyDescent="0.25">
      <c r="A4341" s="139" t="s">
        <v>10248</v>
      </c>
      <c r="B4341" s="139" t="s">
        <v>7505</v>
      </c>
      <c r="C4341" s="139" t="s">
        <v>65</v>
      </c>
      <c r="D4341" s="139" t="s">
        <v>10249</v>
      </c>
    </row>
    <row r="4342" spans="1:4" x14ac:dyDescent="0.25">
      <c r="A4342" s="139" t="s">
        <v>10250</v>
      </c>
      <c r="B4342" s="139" t="s">
        <v>7500</v>
      </c>
      <c r="C4342" s="139" t="s">
        <v>65</v>
      </c>
      <c r="D4342" s="139" t="s">
        <v>10251</v>
      </c>
    </row>
    <row r="4343" spans="1:4" x14ac:dyDescent="0.25">
      <c r="A4343" s="139" t="s">
        <v>10252</v>
      </c>
      <c r="B4343" s="139" t="s">
        <v>4401</v>
      </c>
      <c r="C4343" s="139" t="s">
        <v>123</v>
      </c>
      <c r="D4343" s="139" t="s">
        <v>10253</v>
      </c>
    </row>
    <row r="4344" spans="1:4" x14ac:dyDescent="0.25">
      <c r="A4344" s="139" t="s">
        <v>10254</v>
      </c>
      <c r="B4344" s="139" t="s">
        <v>1285</v>
      </c>
      <c r="C4344" s="139" t="s">
        <v>123</v>
      </c>
      <c r="D4344" s="139" t="s">
        <v>10255</v>
      </c>
    </row>
    <row r="4345" spans="1:4" x14ac:dyDescent="0.25">
      <c r="A4345" s="139" t="s">
        <v>10256</v>
      </c>
      <c r="B4345" s="139" t="s">
        <v>3189</v>
      </c>
      <c r="C4345" s="139" t="s">
        <v>65</v>
      </c>
      <c r="D4345" s="139" t="s">
        <v>10257</v>
      </c>
    </row>
    <row r="4346" spans="1:4" x14ac:dyDescent="0.25">
      <c r="A4346" s="139" t="s">
        <v>10258</v>
      </c>
      <c r="B4346" s="139" t="s">
        <v>10259</v>
      </c>
      <c r="C4346" s="139" t="s">
        <v>65</v>
      </c>
      <c r="D4346" s="139" t="s">
        <v>10260</v>
      </c>
    </row>
    <row r="4347" spans="1:4" x14ac:dyDescent="0.25">
      <c r="A4347" s="139" t="s">
        <v>10261</v>
      </c>
      <c r="B4347" s="139" t="s">
        <v>6328</v>
      </c>
      <c r="C4347" s="139" t="s">
        <v>65</v>
      </c>
      <c r="D4347" s="139" t="s">
        <v>10262</v>
      </c>
    </row>
    <row r="4348" spans="1:4" x14ac:dyDescent="0.25">
      <c r="A4348" s="139" t="s">
        <v>10263</v>
      </c>
      <c r="B4348" s="139" t="s">
        <v>3189</v>
      </c>
      <c r="C4348" s="139" t="s">
        <v>65</v>
      </c>
      <c r="D4348" s="139" t="s">
        <v>10264</v>
      </c>
    </row>
    <row r="4349" spans="1:4" x14ac:dyDescent="0.25">
      <c r="A4349" s="139" t="s">
        <v>10265</v>
      </c>
      <c r="B4349" s="139" t="s">
        <v>7061</v>
      </c>
      <c r="C4349" s="139" t="s">
        <v>65</v>
      </c>
      <c r="D4349" s="139" t="s">
        <v>10266</v>
      </c>
    </row>
    <row r="4350" spans="1:4" x14ac:dyDescent="0.25">
      <c r="A4350" s="139" t="s">
        <v>10267</v>
      </c>
      <c r="B4350" s="139" t="s">
        <v>3202</v>
      </c>
      <c r="C4350" s="139" t="s">
        <v>65</v>
      </c>
      <c r="D4350" s="139" t="s">
        <v>10268</v>
      </c>
    </row>
    <row r="4351" spans="1:4" x14ac:dyDescent="0.25">
      <c r="A4351" s="139" t="s">
        <v>10269</v>
      </c>
      <c r="B4351" s="139" t="s">
        <v>10270</v>
      </c>
      <c r="C4351" s="139" t="s">
        <v>112</v>
      </c>
      <c r="D4351" s="139" t="s">
        <v>10271</v>
      </c>
    </row>
    <row r="4352" spans="1:4" x14ac:dyDescent="0.25">
      <c r="A4352" s="139" t="s">
        <v>10272</v>
      </c>
      <c r="B4352" s="139" t="s">
        <v>1782</v>
      </c>
      <c r="C4352" s="139" t="s">
        <v>65</v>
      </c>
      <c r="D4352" s="139" t="s">
        <v>10273</v>
      </c>
    </row>
    <row r="4353" spans="1:4" x14ac:dyDescent="0.25">
      <c r="A4353" s="139" t="s">
        <v>10274</v>
      </c>
      <c r="B4353" s="139" t="s">
        <v>1782</v>
      </c>
      <c r="C4353" s="139" t="s">
        <v>127</v>
      </c>
      <c r="D4353" s="139" t="s">
        <v>10275</v>
      </c>
    </row>
    <row r="4354" spans="1:4" x14ac:dyDescent="0.25">
      <c r="A4354" s="139" t="s">
        <v>10276</v>
      </c>
      <c r="B4354" s="139" t="s">
        <v>8855</v>
      </c>
      <c r="C4354" s="139" t="s">
        <v>127</v>
      </c>
      <c r="D4354" s="139" t="s">
        <v>10277</v>
      </c>
    </row>
    <row r="4355" spans="1:4" x14ac:dyDescent="0.25">
      <c r="A4355" s="139" t="s">
        <v>10278</v>
      </c>
      <c r="B4355" s="139" t="s">
        <v>5006</v>
      </c>
      <c r="C4355" s="139" t="s">
        <v>65</v>
      </c>
      <c r="D4355" s="139" t="s">
        <v>10279</v>
      </c>
    </row>
    <row r="4356" spans="1:4" x14ac:dyDescent="0.25">
      <c r="A4356" s="139" t="s">
        <v>10280</v>
      </c>
      <c r="B4356" s="139" t="s">
        <v>5001</v>
      </c>
      <c r="C4356" s="139" t="s">
        <v>65</v>
      </c>
      <c r="D4356" s="139" t="s">
        <v>10281</v>
      </c>
    </row>
    <row r="4357" spans="1:4" x14ac:dyDescent="0.25">
      <c r="A4357" s="139" t="s">
        <v>10282</v>
      </c>
      <c r="B4357" s="139" t="s">
        <v>4996</v>
      </c>
      <c r="C4357" s="139" t="s">
        <v>65</v>
      </c>
      <c r="D4357" s="139" t="s">
        <v>10283</v>
      </c>
    </row>
    <row r="4358" spans="1:4" x14ac:dyDescent="0.25">
      <c r="A4358" s="139" t="s">
        <v>10284</v>
      </c>
      <c r="B4358" s="139" t="s">
        <v>1345</v>
      </c>
      <c r="C4358" s="139" t="s">
        <v>65</v>
      </c>
      <c r="D4358" s="139" t="s">
        <v>10285</v>
      </c>
    </row>
    <row r="4359" spans="1:4" x14ac:dyDescent="0.25">
      <c r="A4359" s="139" t="s">
        <v>10286</v>
      </c>
      <c r="B4359" s="139" t="s">
        <v>885</v>
      </c>
      <c r="C4359" s="139" t="s">
        <v>65</v>
      </c>
      <c r="D4359" s="139" t="s">
        <v>10287</v>
      </c>
    </row>
    <row r="4360" spans="1:4" x14ac:dyDescent="0.25">
      <c r="A4360" s="139" t="s">
        <v>10288</v>
      </c>
      <c r="B4360" s="139" t="s">
        <v>10203</v>
      </c>
      <c r="C4360" s="139" t="s">
        <v>65</v>
      </c>
      <c r="D4360" s="139" t="s">
        <v>10289</v>
      </c>
    </row>
    <row r="4361" spans="1:4" x14ac:dyDescent="0.25">
      <c r="A4361" s="139" t="s">
        <v>10290</v>
      </c>
      <c r="B4361" s="139" t="s">
        <v>6561</v>
      </c>
      <c r="C4361" s="139" t="s">
        <v>65</v>
      </c>
      <c r="D4361" s="139" t="s">
        <v>10291</v>
      </c>
    </row>
    <row r="4362" spans="1:4" x14ac:dyDescent="0.25">
      <c r="A4362" s="139" t="s">
        <v>10292</v>
      </c>
      <c r="B4362" s="139" t="s">
        <v>895</v>
      </c>
      <c r="C4362" s="139" t="s">
        <v>65</v>
      </c>
      <c r="D4362" s="139" t="s">
        <v>10293</v>
      </c>
    </row>
    <row r="4363" spans="1:4" x14ac:dyDescent="0.25">
      <c r="A4363" s="139" t="s">
        <v>10294</v>
      </c>
      <c r="B4363" s="139" t="s">
        <v>1469</v>
      </c>
      <c r="C4363" s="139" t="s">
        <v>65</v>
      </c>
      <c r="D4363" s="139" t="s">
        <v>10295</v>
      </c>
    </row>
    <row r="4364" spans="1:4" x14ac:dyDescent="0.25">
      <c r="A4364" s="139" t="s">
        <v>10296</v>
      </c>
      <c r="B4364" s="139" t="s">
        <v>9127</v>
      </c>
      <c r="C4364" s="139" t="s">
        <v>65</v>
      </c>
      <c r="D4364" s="139" t="s">
        <v>10297</v>
      </c>
    </row>
    <row r="4365" spans="1:4" x14ac:dyDescent="0.25">
      <c r="A4365" s="139" t="s">
        <v>10298</v>
      </c>
      <c r="B4365" s="139" t="s">
        <v>2325</v>
      </c>
      <c r="C4365" s="139" t="s">
        <v>65</v>
      </c>
      <c r="D4365" s="139" t="s">
        <v>10299</v>
      </c>
    </row>
    <row r="4366" spans="1:4" x14ac:dyDescent="0.25">
      <c r="A4366" s="139" t="s">
        <v>10300</v>
      </c>
      <c r="B4366" s="139" t="s">
        <v>1305</v>
      </c>
      <c r="C4366" s="139" t="s">
        <v>33</v>
      </c>
      <c r="D4366" s="139" t="s">
        <v>10301</v>
      </c>
    </row>
    <row r="4367" spans="1:4" x14ac:dyDescent="0.25">
      <c r="A4367" s="139" t="s">
        <v>10302</v>
      </c>
      <c r="B4367" s="139" t="s">
        <v>4406</v>
      </c>
      <c r="C4367" s="139" t="s">
        <v>33</v>
      </c>
      <c r="D4367" s="139" t="s">
        <v>10303</v>
      </c>
    </row>
    <row r="4368" spans="1:4" x14ac:dyDescent="0.25">
      <c r="A4368" s="139" t="s">
        <v>10304</v>
      </c>
      <c r="B4368" s="139" t="s">
        <v>5360</v>
      </c>
      <c r="C4368" s="139" t="s">
        <v>33</v>
      </c>
      <c r="D4368" s="139" t="s">
        <v>10305</v>
      </c>
    </row>
    <row r="4369" spans="1:4" x14ac:dyDescent="0.25">
      <c r="A4369" s="139" t="s">
        <v>10306</v>
      </c>
      <c r="B4369" s="139" t="s">
        <v>10222</v>
      </c>
      <c r="C4369" s="139" t="s">
        <v>658</v>
      </c>
      <c r="D4369" s="139" t="s">
        <v>10307</v>
      </c>
    </row>
    <row r="4370" spans="1:4" x14ac:dyDescent="0.25">
      <c r="A4370" s="139" t="s">
        <v>10308</v>
      </c>
      <c r="B4370" s="139" t="s">
        <v>10225</v>
      </c>
      <c r="C4370" s="139" t="s">
        <v>658</v>
      </c>
      <c r="D4370" s="139" t="s">
        <v>10309</v>
      </c>
    </row>
    <row r="4371" spans="1:4" x14ac:dyDescent="0.25">
      <c r="A4371" s="139" t="s">
        <v>10310</v>
      </c>
      <c r="B4371" s="139" t="s">
        <v>7061</v>
      </c>
      <c r="C4371" s="139" t="s">
        <v>112</v>
      </c>
      <c r="D4371" s="139" t="s">
        <v>10311</v>
      </c>
    </row>
    <row r="4372" spans="1:4" x14ac:dyDescent="0.25">
      <c r="A4372" s="139" t="s">
        <v>10312</v>
      </c>
      <c r="B4372" s="139" t="s">
        <v>10234</v>
      </c>
      <c r="C4372" s="139" t="s">
        <v>112</v>
      </c>
      <c r="D4372" s="139" t="s">
        <v>10313</v>
      </c>
    </row>
    <row r="4373" spans="1:4" x14ac:dyDescent="0.25">
      <c r="A4373" s="139" t="s">
        <v>10314</v>
      </c>
      <c r="B4373" s="139" t="s">
        <v>310</v>
      </c>
      <c r="C4373" s="139" t="s">
        <v>112</v>
      </c>
      <c r="D4373" s="139" t="s">
        <v>10315</v>
      </c>
    </row>
    <row r="4374" spans="1:4" x14ac:dyDescent="0.25">
      <c r="A4374" s="139" t="s">
        <v>10316</v>
      </c>
      <c r="B4374" s="139" t="s">
        <v>7384</v>
      </c>
      <c r="C4374" s="139" t="s">
        <v>112</v>
      </c>
      <c r="D4374" s="139" t="s">
        <v>10317</v>
      </c>
    </row>
    <row r="4375" spans="1:4" x14ac:dyDescent="0.25">
      <c r="A4375" s="139" t="s">
        <v>10318</v>
      </c>
      <c r="B4375" s="139" t="s">
        <v>9273</v>
      </c>
      <c r="C4375" s="139" t="s">
        <v>112</v>
      </c>
      <c r="D4375" s="139" t="s">
        <v>10319</v>
      </c>
    </row>
    <row r="4376" spans="1:4" x14ac:dyDescent="0.25">
      <c r="A4376" s="139" t="s">
        <v>10320</v>
      </c>
      <c r="B4376" s="139" t="s">
        <v>4651</v>
      </c>
      <c r="C4376" s="139" t="s">
        <v>112</v>
      </c>
      <c r="D4376" s="139" t="s">
        <v>10321</v>
      </c>
    </row>
    <row r="4377" spans="1:4" x14ac:dyDescent="0.25">
      <c r="A4377" s="139" t="s">
        <v>10322</v>
      </c>
      <c r="B4377" s="139" t="s">
        <v>4903</v>
      </c>
      <c r="C4377" s="139" t="s">
        <v>112</v>
      </c>
      <c r="D4377" s="139" t="s">
        <v>10323</v>
      </c>
    </row>
    <row r="4378" spans="1:4" x14ac:dyDescent="0.25">
      <c r="A4378" s="139" t="s">
        <v>10324</v>
      </c>
      <c r="B4378" s="139" t="s">
        <v>1489</v>
      </c>
      <c r="C4378" s="139" t="s">
        <v>65</v>
      </c>
      <c r="D4378" s="139" t="s">
        <v>10325</v>
      </c>
    </row>
    <row r="4379" spans="1:4" x14ac:dyDescent="0.25">
      <c r="A4379" s="139" t="s">
        <v>10326</v>
      </c>
      <c r="B4379" s="139" t="s">
        <v>1494</v>
      </c>
      <c r="C4379" s="139" t="s">
        <v>65</v>
      </c>
      <c r="D4379" s="139" t="s">
        <v>10327</v>
      </c>
    </row>
    <row r="4380" spans="1:4" x14ac:dyDescent="0.25">
      <c r="A4380" s="139" t="s">
        <v>10328</v>
      </c>
      <c r="B4380" s="139" t="s">
        <v>1499</v>
      </c>
      <c r="C4380" s="139" t="s">
        <v>65</v>
      </c>
      <c r="D4380" s="139" t="s">
        <v>10329</v>
      </c>
    </row>
    <row r="4381" spans="1:4" x14ac:dyDescent="0.25">
      <c r="A4381" s="139" t="s">
        <v>10330</v>
      </c>
      <c r="B4381" s="139" t="s">
        <v>1243</v>
      </c>
      <c r="C4381" s="139" t="s">
        <v>112</v>
      </c>
      <c r="D4381" s="139" t="s">
        <v>10331</v>
      </c>
    </row>
    <row r="4382" spans="1:4" x14ac:dyDescent="0.25">
      <c r="A4382" s="139" t="s">
        <v>10332</v>
      </c>
      <c r="B4382" s="139" t="s">
        <v>7505</v>
      </c>
      <c r="C4382" s="139" t="s">
        <v>65</v>
      </c>
      <c r="D4382" s="139" t="s">
        <v>10333</v>
      </c>
    </row>
    <row r="4383" spans="1:4" x14ac:dyDescent="0.25">
      <c r="A4383" s="139" t="s">
        <v>10334</v>
      </c>
      <c r="B4383" s="139" t="s">
        <v>7500</v>
      </c>
      <c r="C4383" s="139" t="s">
        <v>65</v>
      </c>
      <c r="D4383" s="139" t="s">
        <v>10335</v>
      </c>
    </row>
    <row r="4384" spans="1:4" x14ac:dyDescent="0.25">
      <c r="A4384" s="139" t="s">
        <v>10336</v>
      </c>
      <c r="B4384" s="139" t="s">
        <v>1285</v>
      </c>
      <c r="C4384" s="139" t="s">
        <v>123</v>
      </c>
      <c r="D4384" s="139" t="s">
        <v>10337</v>
      </c>
    </row>
    <row r="4385" spans="1:4" x14ac:dyDescent="0.25">
      <c r="A4385" s="139" t="s">
        <v>10338</v>
      </c>
      <c r="B4385" s="139" t="s">
        <v>3189</v>
      </c>
      <c r="C4385" s="139" t="s">
        <v>65</v>
      </c>
      <c r="D4385" s="139" t="s">
        <v>10339</v>
      </c>
    </row>
    <row r="4386" spans="1:4" x14ac:dyDescent="0.25">
      <c r="A4386" s="139" t="s">
        <v>10340</v>
      </c>
      <c r="B4386" s="139" t="s">
        <v>10259</v>
      </c>
      <c r="C4386" s="139" t="s">
        <v>65</v>
      </c>
      <c r="D4386" s="139" t="s">
        <v>10341</v>
      </c>
    </row>
    <row r="4387" spans="1:4" x14ac:dyDescent="0.25">
      <c r="A4387" s="139" t="s">
        <v>10342</v>
      </c>
      <c r="B4387" s="139" t="s">
        <v>6328</v>
      </c>
      <c r="C4387" s="139" t="s">
        <v>65</v>
      </c>
      <c r="D4387" s="139" t="s">
        <v>10343</v>
      </c>
    </row>
    <row r="4388" spans="1:4" x14ac:dyDescent="0.25">
      <c r="A4388" s="139" t="s">
        <v>10344</v>
      </c>
      <c r="B4388" s="139" t="s">
        <v>3189</v>
      </c>
      <c r="C4388" s="139" t="s">
        <v>65</v>
      </c>
      <c r="D4388" s="139" t="s">
        <v>10345</v>
      </c>
    </row>
    <row r="4389" spans="1:4" x14ac:dyDescent="0.25">
      <c r="A4389" s="139" t="s">
        <v>10346</v>
      </c>
      <c r="B4389" s="139" t="s">
        <v>7061</v>
      </c>
      <c r="C4389" s="139" t="s">
        <v>65</v>
      </c>
      <c r="D4389" s="139" t="s">
        <v>10347</v>
      </c>
    </row>
    <row r="4390" spans="1:4" x14ac:dyDescent="0.25">
      <c r="A4390" s="139" t="s">
        <v>10348</v>
      </c>
      <c r="B4390" s="139" t="s">
        <v>3202</v>
      </c>
      <c r="C4390" s="139" t="s">
        <v>65</v>
      </c>
      <c r="D4390" s="139" t="s">
        <v>10349</v>
      </c>
    </row>
    <row r="4391" spans="1:4" x14ac:dyDescent="0.25">
      <c r="A4391" s="139" t="s">
        <v>10350</v>
      </c>
      <c r="B4391" s="139" t="s">
        <v>10270</v>
      </c>
      <c r="C4391" s="139" t="s">
        <v>112</v>
      </c>
      <c r="D4391" s="139" t="s">
        <v>10351</v>
      </c>
    </row>
    <row r="4392" spans="1:4" x14ac:dyDescent="0.25">
      <c r="A4392" s="139" t="s">
        <v>10352</v>
      </c>
      <c r="B4392" s="139" t="s">
        <v>4401</v>
      </c>
      <c r="C4392" s="139" t="s">
        <v>123</v>
      </c>
      <c r="D4392" s="139" t="s">
        <v>10353</v>
      </c>
    </row>
    <row r="4393" spans="1:4" x14ac:dyDescent="0.25">
      <c r="A4393" s="139" t="s">
        <v>10354</v>
      </c>
      <c r="B4393" s="139" t="s">
        <v>6960</v>
      </c>
      <c r="C4393" s="139" t="s">
        <v>65</v>
      </c>
      <c r="D4393" s="139" t="s">
        <v>10355</v>
      </c>
    </row>
    <row r="4394" spans="1:4" x14ac:dyDescent="0.25">
      <c r="A4394" s="139" t="s">
        <v>10356</v>
      </c>
      <c r="B4394" s="139" t="s">
        <v>8785</v>
      </c>
      <c r="C4394" s="139" t="s">
        <v>658</v>
      </c>
      <c r="D4394" s="139" t="s">
        <v>10357</v>
      </c>
    </row>
    <row r="4395" spans="1:4" x14ac:dyDescent="0.25">
      <c r="A4395" s="139" t="s">
        <v>10358</v>
      </c>
      <c r="B4395" s="139" t="s">
        <v>3202</v>
      </c>
      <c r="C4395" s="139" t="s">
        <v>112</v>
      </c>
      <c r="D4395" s="139" t="s">
        <v>10359</v>
      </c>
    </row>
    <row r="4396" spans="1:4" x14ac:dyDescent="0.25">
      <c r="A4396" s="139" t="s">
        <v>10360</v>
      </c>
      <c r="B4396" s="139" t="s">
        <v>1593</v>
      </c>
      <c r="C4396" s="139" t="s">
        <v>112</v>
      </c>
      <c r="D4396" s="139" t="s">
        <v>10361</v>
      </c>
    </row>
    <row r="4397" spans="1:4" x14ac:dyDescent="0.25">
      <c r="A4397" s="139" t="s">
        <v>10362</v>
      </c>
      <c r="B4397" s="139" t="s">
        <v>570</v>
      </c>
      <c r="C4397" s="139" t="s">
        <v>10363</v>
      </c>
      <c r="D4397" s="139" t="s">
        <v>10364</v>
      </c>
    </row>
    <row r="4398" spans="1:4" x14ac:dyDescent="0.25">
      <c r="A4398" s="139" t="s">
        <v>10365</v>
      </c>
      <c r="B4398" s="139" t="s">
        <v>567</v>
      </c>
      <c r="C4398" s="139" t="s">
        <v>10363</v>
      </c>
      <c r="D4398" s="139" t="s">
        <v>10366</v>
      </c>
    </row>
    <row r="4399" spans="1:4" x14ac:dyDescent="0.25">
      <c r="A4399" s="139" t="s">
        <v>10367</v>
      </c>
      <c r="B4399" s="139" t="s">
        <v>564</v>
      </c>
      <c r="C4399" s="139" t="s">
        <v>10363</v>
      </c>
      <c r="D4399" s="139" t="s">
        <v>10368</v>
      </c>
    </row>
    <row r="4400" spans="1:4" x14ac:dyDescent="0.25">
      <c r="A4400" s="139" t="s">
        <v>10369</v>
      </c>
      <c r="B4400" s="139" t="s">
        <v>561</v>
      </c>
      <c r="C4400" s="139" t="s">
        <v>10363</v>
      </c>
      <c r="D4400" s="139" t="s">
        <v>10370</v>
      </c>
    </row>
    <row r="4401" spans="1:4" x14ac:dyDescent="0.25">
      <c r="A4401" s="139" t="s">
        <v>10371</v>
      </c>
      <c r="B4401" s="139" t="s">
        <v>558</v>
      </c>
      <c r="C4401" s="139" t="s">
        <v>10363</v>
      </c>
      <c r="D4401" s="139" t="s">
        <v>10372</v>
      </c>
    </row>
    <row r="4402" spans="1:4" x14ac:dyDescent="0.25">
      <c r="A4402" s="139" t="s">
        <v>10373</v>
      </c>
      <c r="B4402" s="139" t="s">
        <v>357</v>
      </c>
      <c r="C4402" s="139" t="s">
        <v>10363</v>
      </c>
      <c r="D4402" s="139" t="s">
        <v>10374</v>
      </c>
    </row>
    <row r="4403" spans="1:4" x14ac:dyDescent="0.25">
      <c r="A4403" s="139" t="s">
        <v>10375</v>
      </c>
      <c r="B4403" s="139" t="s">
        <v>544</v>
      </c>
      <c r="C4403" s="139" t="s">
        <v>10363</v>
      </c>
      <c r="D4403" s="139" t="s">
        <v>10376</v>
      </c>
    </row>
    <row r="4404" spans="1:4" x14ac:dyDescent="0.25">
      <c r="A4404" s="139" t="s">
        <v>10377</v>
      </c>
      <c r="B4404" s="139" t="s">
        <v>541</v>
      </c>
      <c r="C4404" s="139" t="s">
        <v>10363</v>
      </c>
      <c r="D4404" s="139" t="s">
        <v>10378</v>
      </c>
    </row>
    <row r="4405" spans="1:4" x14ac:dyDescent="0.25">
      <c r="A4405" s="139" t="s">
        <v>10379</v>
      </c>
      <c r="B4405" s="139" t="s">
        <v>538</v>
      </c>
      <c r="C4405" s="139" t="s">
        <v>10363</v>
      </c>
      <c r="D4405" s="139" t="s">
        <v>10380</v>
      </c>
    </row>
    <row r="4406" spans="1:4" x14ac:dyDescent="0.25">
      <c r="A4406" s="139" t="s">
        <v>10381</v>
      </c>
      <c r="B4406" s="139" t="s">
        <v>547</v>
      </c>
      <c r="C4406" s="139" t="s">
        <v>10363</v>
      </c>
      <c r="D4406" s="139" t="s">
        <v>10382</v>
      </c>
    </row>
    <row r="4407" spans="1:4" x14ac:dyDescent="0.25">
      <c r="A4407" s="139" t="s">
        <v>10383</v>
      </c>
      <c r="B4407" s="139" t="s">
        <v>534</v>
      </c>
      <c r="C4407" s="139" t="s">
        <v>10363</v>
      </c>
      <c r="D4407" s="139" t="s">
        <v>10384</v>
      </c>
    </row>
    <row r="4408" spans="1:4" x14ac:dyDescent="0.25">
      <c r="A4408" s="139" t="s">
        <v>10385</v>
      </c>
      <c r="B4408" s="139" t="s">
        <v>357</v>
      </c>
      <c r="C4408" s="139" t="s">
        <v>65</v>
      </c>
      <c r="D4408" s="139" t="s">
        <v>10386</v>
      </c>
    </row>
    <row r="4409" spans="1:4" x14ac:dyDescent="0.25">
      <c r="A4409" s="139" t="s">
        <v>10387</v>
      </c>
      <c r="B4409" s="139" t="s">
        <v>10388</v>
      </c>
      <c r="C4409" s="139" t="s">
        <v>65</v>
      </c>
      <c r="D4409" s="139" t="s">
        <v>10389</v>
      </c>
    </row>
    <row r="4410" spans="1:4" x14ac:dyDescent="0.25">
      <c r="A4410" s="139" t="s">
        <v>10390</v>
      </c>
      <c r="B4410" s="139" t="s">
        <v>570</v>
      </c>
      <c r="C4410" s="139" t="s">
        <v>10363</v>
      </c>
      <c r="D4410" s="139" t="s">
        <v>10391</v>
      </c>
    </row>
    <row r="4411" spans="1:4" x14ac:dyDescent="0.25">
      <c r="A4411" s="139" t="s">
        <v>10392</v>
      </c>
      <c r="B4411" s="139" t="s">
        <v>567</v>
      </c>
      <c r="C4411" s="139" t="s">
        <v>10363</v>
      </c>
      <c r="D4411" s="139" t="s">
        <v>10393</v>
      </c>
    </row>
    <row r="4412" spans="1:4" x14ac:dyDescent="0.25">
      <c r="A4412" s="139" t="s">
        <v>10394</v>
      </c>
      <c r="B4412" s="139" t="s">
        <v>564</v>
      </c>
      <c r="C4412" s="139" t="s">
        <v>10363</v>
      </c>
      <c r="D4412" s="139" t="s">
        <v>10395</v>
      </c>
    </row>
    <row r="4413" spans="1:4" x14ac:dyDescent="0.25">
      <c r="A4413" s="139" t="s">
        <v>10396</v>
      </c>
      <c r="B4413" s="139" t="s">
        <v>561</v>
      </c>
      <c r="C4413" s="139" t="s">
        <v>10363</v>
      </c>
      <c r="D4413" s="139" t="s">
        <v>10397</v>
      </c>
    </row>
    <row r="4414" spans="1:4" x14ac:dyDescent="0.25">
      <c r="A4414" s="139" t="s">
        <v>10398</v>
      </c>
      <c r="B4414" s="139" t="s">
        <v>558</v>
      </c>
      <c r="C4414" s="139" t="s">
        <v>10363</v>
      </c>
      <c r="D4414" s="139" t="s">
        <v>10399</v>
      </c>
    </row>
    <row r="4415" spans="1:4" x14ac:dyDescent="0.25">
      <c r="A4415" s="139" t="s">
        <v>10400</v>
      </c>
      <c r="B4415" s="139" t="s">
        <v>357</v>
      </c>
      <c r="C4415" s="139" t="s">
        <v>10363</v>
      </c>
      <c r="D4415" s="139" t="s">
        <v>10401</v>
      </c>
    </row>
    <row r="4416" spans="1:4" x14ac:dyDescent="0.25">
      <c r="A4416" s="139" t="s">
        <v>10402</v>
      </c>
      <c r="B4416" s="139" t="s">
        <v>544</v>
      </c>
      <c r="C4416" s="139" t="s">
        <v>10363</v>
      </c>
      <c r="D4416" s="139" t="s">
        <v>10403</v>
      </c>
    </row>
    <row r="4417" spans="1:4" x14ac:dyDescent="0.25">
      <c r="A4417" s="139" t="s">
        <v>10404</v>
      </c>
      <c r="B4417" s="139" t="s">
        <v>541</v>
      </c>
      <c r="C4417" s="139" t="s">
        <v>10363</v>
      </c>
      <c r="D4417" s="139" t="s">
        <v>10405</v>
      </c>
    </row>
    <row r="4418" spans="1:4" x14ac:dyDescent="0.25">
      <c r="A4418" s="139" t="s">
        <v>10406</v>
      </c>
      <c r="B4418" s="139" t="s">
        <v>538</v>
      </c>
      <c r="C4418" s="139" t="s">
        <v>10363</v>
      </c>
      <c r="D4418" s="139" t="s">
        <v>10407</v>
      </c>
    </row>
    <row r="4419" spans="1:4" x14ac:dyDescent="0.25">
      <c r="A4419" s="139" t="s">
        <v>10408</v>
      </c>
      <c r="B4419" s="139" t="s">
        <v>547</v>
      </c>
      <c r="C4419" s="139" t="s">
        <v>10363</v>
      </c>
      <c r="D4419" s="139" t="s">
        <v>10409</v>
      </c>
    </row>
    <row r="4420" spans="1:4" x14ac:dyDescent="0.25">
      <c r="A4420" s="139" t="s">
        <v>10410</v>
      </c>
      <c r="B4420" s="139" t="s">
        <v>534</v>
      </c>
      <c r="C4420" s="139" t="s">
        <v>10363</v>
      </c>
      <c r="D4420" s="139" t="s">
        <v>10411</v>
      </c>
    </row>
    <row r="4421" spans="1:4" x14ac:dyDescent="0.25">
      <c r="A4421" s="139" t="s">
        <v>10412</v>
      </c>
      <c r="B4421" s="139" t="s">
        <v>357</v>
      </c>
      <c r="C4421" s="139" t="s">
        <v>65</v>
      </c>
      <c r="D4421" s="139" t="s">
        <v>10413</v>
      </c>
    </row>
    <row r="4422" spans="1:4" x14ac:dyDescent="0.25">
      <c r="A4422" s="139" t="s">
        <v>10414</v>
      </c>
      <c r="B4422" s="139" t="s">
        <v>10388</v>
      </c>
      <c r="C4422" s="139" t="s">
        <v>65</v>
      </c>
      <c r="D4422" s="139" t="s">
        <v>10415</v>
      </c>
    </row>
    <row r="4423" spans="1:4" x14ac:dyDescent="0.25">
      <c r="A4423" s="139" t="s">
        <v>10416</v>
      </c>
      <c r="B4423" s="139" t="s">
        <v>10388</v>
      </c>
      <c r="C4423" s="139" t="s">
        <v>65</v>
      </c>
      <c r="D4423" s="139" t="s">
        <v>10417</v>
      </c>
    </row>
    <row r="4424" spans="1:4" x14ac:dyDescent="0.25">
      <c r="A4424" s="139" t="s">
        <v>10418</v>
      </c>
      <c r="B4424" s="139" t="s">
        <v>10388</v>
      </c>
      <c r="C4424" s="139" t="s">
        <v>65</v>
      </c>
      <c r="D4424" s="139" t="s">
        <v>10419</v>
      </c>
    </row>
    <row r="4425" spans="1:4" x14ac:dyDescent="0.25">
      <c r="A4425" s="139" t="s">
        <v>10420</v>
      </c>
      <c r="B4425" s="139" t="s">
        <v>1228</v>
      </c>
      <c r="C4425" s="139" t="s">
        <v>65</v>
      </c>
      <c r="D4425" s="139" t="s">
        <v>10421</v>
      </c>
    </row>
    <row r="4426" spans="1:4" x14ac:dyDescent="0.25">
      <c r="A4426" s="139" t="s">
        <v>10422</v>
      </c>
      <c r="B4426" s="139" t="s">
        <v>1228</v>
      </c>
      <c r="C4426" s="139" t="s">
        <v>65</v>
      </c>
      <c r="D4426" s="139" t="s">
        <v>10423</v>
      </c>
    </row>
    <row r="4427" spans="1:4" x14ac:dyDescent="0.25">
      <c r="A4427" s="139" t="s">
        <v>10424</v>
      </c>
      <c r="B4427" s="139" t="s">
        <v>357</v>
      </c>
      <c r="C4427" s="139" t="s">
        <v>65</v>
      </c>
      <c r="D4427" s="139" t="s">
        <v>10425</v>
      </c>
    </row>
    <row r="4428" spans="1:4" x14ac:dyDescent="0.25">
      <c r="A4428" s="139" t="s">
        <v>10426</v>
      </c>
      <c r="B4428" s="139" t="s">
        <v>357</v>
      </c>
      <c r="C4428" s="139" t="s">
        <v>65</v>
      </c>
      <c r="D4428" s="139" t="s">
        <v>10427</v>
      </c>
    </row>
    <row r="4429" spans="1:4" x14ac:dyDescent="0.25">
      <c r="A4429" s="139" t="s">
        <v>10428</v>
      </c>
      <c r="B4429" s="139" t="s">
        <v>534</v>
      </c>
      <c r="C4429" s="139" t="s">
        <v>10363</v>
      </c>
      <c r="D4429" s="139" t="s">
        <v>10429</v>
      </c>
    </row>
    <row r="4430" spans="1:4" x14ac:dyDescent="0.25">
      <c r="A4430" s="139" t="s">
        <v>10430</v>
      </c>
      <c r="B4430" s="139" t="s">
        <v>534</v>
      </c>
      <c r="C4430" s="139" t="s">
        <v>10363</v>
      </c>
      <c r="D4430" s="139" t="s">
        <v>10431</v>
      </c>
    </row>
    <row r="4431" spans="1:4" x14ac:dyDescent="0.25">
      <c r="A4431" s="139" t="s">
        <v>10432</v>
      </c>
      <c r="B4431" s="139" t="s">
        <v>547</v>
      </c>
      <c r="C4431" s="139" t="s">
        <v>10363</v>
      </c>
      <c r="D4431" s="139" t="s">
        <v>10433</v>
      </c>
    </row>
    <row r="4432" spans="1:4" x14ac:dyDescent="0.25">
      <c r="A4432" s="139" t="s">
        <v>10434</v>
      </c>
      <c r="B4432" s="139" t="s">
        <v>547</v>
      </c>
      <c r="C4432" s="139" t="s">
        <v>10363</v>
      </c>
      <c r="D4432" s="139" t="s">
        <v>10435</v>
      </c>
    </row>
    <row r="4433" spans="1:4" x14ac:dyDescent="0.25">
      <c r="A4433" s="139" t="s">
        <v>10436</v>
      </c>
      <c r="B4433" s="139" t="s">
        <v>538</v>
      </c>
      <c r="C4433" s="139" t="s">
        <v>10363</v>
      </c>
      <c r="D4433" s="139" t="s">
        <v>10437</v>
      </c>
    </row>
    <row r="4434" spans="1:4" x14ac:dyDescent="0.25">
      <c r="A4434" s="139" t="s">
        <v>10438</v>
      </c>
      <c r="B4434" s="139" t="s">
        <v>538</v>
      </c>
      <c r="C4434" s="139" t="s">
        <v>10363</v>
      </c>
      <c r="D4434" s="139" t="s">
        <v>10439</v>
      </c>
    </row>
    <row r="4435" spans="1:4" x14ac:dyDescent="0.25">
      <c r="A4435" s="139" t="s">
        <v>10440</v>
      </c>
      <c r="B4435" s="139" t="s">
        <v>541</v>
      </c>
      <c r="C4435" s="139" t="s">
        <v>10363</v>
      </c>
      <c r="D4435" s="139" t="s">
        <v>10441</v>
      </c>
    </row>
    <row r="4436" spans="1:4" x14ac:dyDescent="0.25">
      <c r="A4436" s="139" t="s">
        <v>10442</v>
      </c>
      <c r="B4436" s="139" t="s">
        <v>541</v>
      </c>
      <c r="C4436" s="139" t="s">
        <v>10363</v>
      </c>
      <c r="D4436" s="139" t="s">
        <v>10443</v>
      </c>
    </row>
    <row r="4437" spans="1:4" x14ac:dyDescent="0.25">
      <c r="A4437" s="139" t="s">
        <v>10444</v>
      </c>
      <c r="B4437" s="139" t="s">
        <v>544</v>
      </c>
      <c r="C4437" s="139" t="s">
        <v>10363</v>
      </c>
      <c r="D4437" s="139" t="s">
        <v>10445</v>
      </c>
    </row>
    <row r="4438" spans="1:4" x14ac:dyDescent="0.25">
      <c r="A4438" s="139" t="s">
        <v>10446</v>
      </c>
      <c r="B4438" s="139" t="s">
        <v>544</v>
      </c>
      <c r="C4438" s="139" t="s">
        <v>10363</v>
      </c>
      <c r="D4438" s="139" t="s">
        <v>10447</v>
      </c>
    </row>
    <row r="4439" spans="1:4" x14ac:dyDescent="0.25">
      <c r="A4439" s="139" t="s">
        <v>10448</v>
      </c>
      <c r="B4439" s="139" t="s">
        <v>357</v>
      </c>
      <c r="C4439" s="139" t="s">
        <v>10363</v>
      </c>
      <c r="D4439" s="139" t="s">
        <v>10449</v>
      </c>
    </row>
    <row r="4440" spans="1:4" x14ac:dyDescent="0.25">
      <c r="A4440" s="139" t="s">
        <v>10450</v>
      </c>
      <c r="B4440" s="139" t="s">
        <v>357</v>
      </c>
      <c r="C4440" s="139" t="s">
        <v>10363</v>
      </c>
      <c r="D4440" s="139" t="s">
        <v>10451</v>
      </c>
    </row>
    <row r="4441" spans="1:4" x14ac:dyDescent="0.25">
      <c r="A4441" s="139" t="s">
        <v>10452</v>
      </c>
      <c r="B4441" s="139" t="s">
        <v>558</v>
      </c>
      <c r="C4441" s="139" t="s">
        <v>10363</v>
      </c>
      <c r="D4441" s="139" t="s">
        <v>10453</v>
      </c>
    </row>
    <row r="4442" spans="1:4" x14ac:dyDescent="0.25">
      <c r="A4442" s="139" t="s">
        <v>10454</v>
      </c>
      <c r="B4442" s="139" t="s">
        <v>558</v>
      </c>
      <c r="C4442" s="139" t="s">
        <v>10363</v>
      </c>
      <c r="D4442" s="139" t="s">
        <v>10455</v>
      </c>
    </row>
    <row r="4443" spans="1:4" x14ac:dyDescent="0.25">
      <c r="A4443" s="139" t="s">
        <v>10456</v>
      </c>
      <c r="B4443" s="139" t="s">
        <v>561</v>
      </c>
      <c r="C4443" s="139" t="s">
        <v>10363</v>
      </c>
      <c r="D4443" s="139" t="s">
        <v>10457</v>
      </c>
    </row>
    <row r="4444" spans="1:4" x14ac:dyDescent="0.25">
      <c r="A4444" s="139" t="s">
        <v>10458</v>
      </c>
      <c r="B4444" s="139" t="s">
        <v>561</v>
      </c>
      <c r="C4444" s="139" t="s">
        <v>10363</v>
      </c>
      <c r="D4444" s="139" t="s">
        <v>10459</v>
      </c>
    </row>
    <row r="4445" spans="1:4" x14ac:dyDescent="0.25">
      <c r="A4445" s="139" t="s">
        <v>10460</v>
      </c>
      <c r="B4445" s="139" t="s">
        <v>564</v>
      </c>
      <c r="C4445" s="139" t="s">
        <v>10363</v>
      </c>
      <c r="D4445" s="139" t="s">
        <v>10461</v>
      </c>
    </row>
    <row r="4446" spans="1:4" x14ac:dyDescent="0.25">
      <c r="A4446" s="139" t="s">
        <v>10462</v>
      </c>
      <c r="B4446" s="139" t="s">
        <v>564</v>
      </c>
      <c r="C4446" s="139" t="s">
        <v>10363</v>
      </c>
      <c r="D4446" s="139" t="s">
        <v>10463</v>
      </c>
    </row>
    <row r="4447" spans="1:4" x14ac:dyDescent="0.25">
      <c r="A4447" s="139" t="s">
        <v>10464</v>
      </c>
      <c r="B4447" s="139" t="s">
        <v>567</v>
      </c>
      <c r="C4447" s="139" t="s">
        <v>10363</v>
      </c>
      <c r="D4447" s="139" t="s">
        <v>10465</v>
      </c>
    </row>
    <row r="4448" spans="1:4" x14ac:dyDescent="0.25">
      <c r="A4448" s="139" t="s">
        <v>10466</v>
      </c>
      <c r="B4448" s="139" t="s">
        <v>567</v>
      </c>
      <c r="C4448" s="139" t="s">
        <v>10363</v>
      </c>
      <c r="D4448" s="139" t="s">
        <v>10467</v>
      </c>
    </row>
    <row r="4449" spans="1:4" x14ac:dyDescent="0.25">
      <c r="A4449" s="139" t="s">
        <v>10468</v>
      </c>
      <c r="B4449" s="139" t="s">
        <v>570</v>
      </c>
      <c r="C4449" s="139" t="s">
        <v>10363</v>
      </c>
      <c r="D4449" s="139" t="s">
        <v>10469</v>
      </c>
    </row>
    <row r="4450" spans="1:4" x14ac:dyDescent="0.25">
      <c r="A4450" s="139" t="s">
        <v>10470</v>
      </c>
      <c r="B4450" s="139" t="s">
        <v>570</v>
      </c>
      <c r="C4450" s="139" t="s">
        <v>10363</v>
      </c>
      <c r="D4450" s="139" t="s">
        <v>10471</v>
      </c>
    </row>
    <row r="4451" spans="1:4" x14ac:dyDescent="0.25">
      <c r="A4451" s="139" t="s">
        <v>10472</v>
      </c>
      <c r="B4451" s="139" t="s">
        <v>10473</v>
      </c>
      <c r="C4451" s="139" t="s">
        <v>65</v>
      </c>
      <c r="D4451" s="139" t="s">
        <v>10474</v>
      </c>
    </row>
    <row r="4452" spans="1:4" x14ac:dyDescent="0.25">
      <c r="A4452" s="139" t="s">
        <v>10475</v>
      </c>
      <c r="B4452" s="139" t="s">
        <v>10476</v>
      </c>
      <c r="C4452" s="139" t="s">
        <v>65</v>
      </c>
      <c r="D4452" s="139" t="s">
        <v>10477</v>
      </c>
    </row>
    <row r="4453" spans="1:4" x14ac:dyDescent="0.25">
      <c r="A4453" s="139" t="s">
        <v>10478</v>
      </c>
      <c r="B4453" s="139" t="s">
        <v>10476</v>
      </c>
      <c r="C4453" s="139" t="s">
        <v>65</v>
      </c>
      <c r="D4453" s="139" t="s">
        <v>10479</v>
      </c>
    </row>
    <row r="4454" spans="1:4" x14ac:dyDescent="0.25">
      <c r="A4454" s="139" t="s">
        <v>10480</v>
      </c>
      <c r="B4454" s="139" t="s">
        <v>10481</v>
      </c>
      <c r="C4454" s="139" t="s">
        <v>65</v>
      </c>
      <c r="D4454" s="139" t="s">
        <v>10482</v>
      </c>
    </row>
    <row r="4455" spans="1:4" x14ac:dyDescent="0.25">
      <c r="A4455" s="139" t="s">
        <v>10483</v>
      </c>
      <c r="B4455" s="139" t="s">
        <v>10481</v>
      </c>
      <c r="C4455" s="139" t="s">
        <v>65</v>
      </c>
      <c r="D4455" s="139" t="s">
        <v>10484</v>
      </c>
    </row>
    <row r="4456" spans="1:4" x14ac:dyDescent="0.25">
      <c r="A4456" s="139" t="s">
        <v>10485</v>
      </c>
      <c r="B4456" s="139" t="s">
        <v>10486</v>
      </c>
      <c r="C4456" s="139" t="s">
        <v>65</v>
      </c>
      <c r="D4456" s="139" t="s">
        <v>10487</v>
      </c>
    </row>
    <row r="4457" spans="1:4" x14ac:dyDescent="0.25">
      <c r="A4457" s="139" t="s">
        <v>10488</v>
      </c>
      <c r="B4457" s="139" t="s">
        <v>10486</v>
      </c>
      <c r="C4457" s="139" t="s">
        <v>65</v>
      </c>
      <c r="D4457" s="139" t="s">
        <v>10489</v>
      </c>
    </row>
    <row r="4458" spans="1:4" x14ac:dyDescent="0.25">
      <c r="A4458" s="139" t="s">
        <v>10490</v>
      </c>
      <c r="B4458" s="139" t="s">
        <v>10491</v>
      </c>
      <c r="C4458" s="139" t="s">
        <v>65</v>
      </c>
      <c r="D4458" s="139" t="s">
        <v>10492</v>
      </c>
    </row>
    <row r="4459" spans="1:4" x14ac:dyDescent="0.25">
      <c r="A4459" s="139" t="s">
        <v>10493</v>
      </c>
      <c r="B4459" s="139" t="s">
        <v>10491</v>
      </c>
      <c r="C4459" s="139" t="s">
        <v>65</v>
      </c>
      <c r="D4459" s="139" t="s">
        <v>10494</v>
      </c>
    </row>
    <row r="4460" spans="1:4" x14ac:dyDescent="0.25">
      <c r="A4460" s="139" t="s">
        <v>10495</v>
      </c>
      <c r="B4460" s="139" t="s">
        <v>10496</v>
      </c>
      <c r="C4460" s="139" t="s">
        <v>65</v>
      </c>
      <c r="D4460" s="139" t="s">
        <v>10497</v>
      </c>
    </row>
    <row r="4461" spans="1:4" x14ac:dyDescent="0.25">
      <c r="A4461" s="139" t="s">
        <v>10498</v>
      </c>
      <c r="B4461" s="139" t="s">
        <v>10496</v>
      </c>
      <c r="C4461" s="139" t="s">
        <v>65</v>
      </c>
      <c r="D4461" s="139" t="s">
        <v>10499</v>
      </c>
    </row>
    <row r="4462" spans="1:4" x14ac:dyDescent="0.25">
      <c r="A4462" s="139" t="s">
        <v>10500</v>
      </c>
      <c r="B4462" s="139" t="s">
        <v>10501</v>
      </c>
      <c r="C4462" s="139" t="s">
        <v>65</v>
      </c>
      <c r="D4462" s="139" t="s">
        <v>10502</v>
      </c>
    </row>
    <row r="4463" spans="1:4" x14ac:dyDescent="0.25">
      <c r="A4463" s="139" t="s">
        <v>10503</v>
      </c>
      <c r="B4463" s="139" t="s">
        <v>10501</v>
      </c>
      <c r="C4463" s="139" t="s">
        <v>65</v>
      </c>
      <c r="D4463" s="139" t="s">
        <v>10504</v>
      </c>
    </row>
    <row r="4464" spans="1:4" x14ac:dyDescent="0.25">
      <c r="A4464" s="139" t="s">
        <v>10505</v>
      </c>
      <c r="B4464" s="139" t="s">
        <v>10506</v>
      </c>
      <c r="C4464" s="139" t="s">
        <v>65</v>
      </c>
      <c r="D4464" s="139" t="s">
        <v>10507</v>
      </c>
    </row>
    <row r="4465" spans="1:4" x14ac:dyDescent="0.25">
      <c r="A4465" s="139" t="s">
        <v>10508</v>
      </c>
      <c r="B4465" s="139" t="s">
        <v>10506</v>
      </c>
      <c r="C4465" s="139" t="s">
        <v>65</v>
      </c>
      <c r="D4465" s="139" t="s">
        <v>10509</v>
      </c>
    </row>
    <row r="4466" spans="1:4" x14ac:dyDescent="0.25">
      <c r="A4466" s="139" t="s">
        <v>10510</v>
      </c>
      <c r="B4466" s="139" t="s">
        <v>10511</v>
      </c>
      <c r="C4466" s="139" t="s">
        <v>65</v>
      </c>
      <c r="D4466" s="139" t="s">
        <v>10512</v>
      </c>
    </row>
    <row r="4467" spans="1:4" x14ac:dyDescent="0.25">
      <c r="A4467" s="139" t="s">
        <v>10513</v>
      </c>
      <c r="B4467" s="139" t="s">
        <v>10511</v>
      </c>
      <c r="C4467" s="139" t="s">
        <v>65</v>
      </c>
      <c r="D4467" s="139" t="s">
        <v>10514</v>
      </c>
    </row>
    <row r="4468" spans="1:4" x14ac:dyDescent="0.25">
      <c r="A4468" s="139" t="s">
        <v>10515</v>
      </c>
      <c r="B4468" s="139" t="s">
        <v>10516</v>
      </c>
      <c r="C4468" s="139" t="s">
        <v>65</v>
      </c>
      <c r="D4468" s="139" t="s">
        <v>10517</v>
      </c>
    </row>
    <row r="4469" spans="1:4" x14ac:dyDescent="0.25">
      <c r="A4469" s="139" t="s">
        <v>10518</v>
      </c>
      <c r="B4469" s="139" t="s">
        <v>10516</v>
      </c>
      <c r="C4469" s="139" t="s">
        <v>65</v>
      </c>
      <c r="D4469" s="139" t="s">
        <v>10519</v>
      </c>
    </row>
    <row r="4470" spans="1:4" x14ac:dyDescent="0.25">
      <c r="A4470" s="139" t="s">
        <v>10520</v>
      </c>
      <c r="B4470" s="139" t="s">
        <v>10521</v>
      </c>
      <c r="C4470" s="139" t="s">
        <v>65</v>
      </c>
      <c r="D4470" s="139" t="s">
        <v>10522</v>
      </c>
    </row>
    <row r="4471" spans="1:4" x14ac:dyDescent="0.25">
      <c r="A4471" s="139" t="s">
        <v>10523</v>
      </c>
      <c r="B4471" s="139" t="s">
        <v>10521</v>
      </c>
      <c r="C4471" s="139" t="s">
        <v>65</v>
      </c>
      <c r="D4471" s="139" t="s">
        <v>10524</v>
      </c>
    </row>
    <row r="4472" spans="1:4" x14ac:dyDescent="0.25">
      <c r="A4472" s="139" t="s">
        <v>10525</v>
      </c>
      <c r="B4472" s="139" t="s">
        <v>10526</v>
      </c>
      <c r="C4472" s="139" t="s">
        <v>65</v>
      </c>
      <c r="D4472" s="139" t="s">
        <v>10527</v>
      </c>
    </row>
    <row r="4473" spans="1:4" x14ac:dyDescent="0.25">
      <c r="A4473" s="139" t="s">
        <v>10528</v>
      </c>
      <c r="B4473" s="139" t="s">
        <v>10526</v>
      </c>
      <c r="C4473" s="139" t="s">
        <v>65</v>
      </c>
      <c r="D4473" s="139" t="s">
        <v>10529</v>
      </c>
    </row>
    <row r="4474" spans="1:4" x14ac:dyDescent="0.25">
      <c r="A4474" s="139" t="s">
        <v>10530</v>
      </c>
      <c r="B4474" s="139" t="s">
        <v>10531</v>
      </c>
      <c r="C4474" s="139" t="s">
        <v>65</v>
      </c>
      <c r="D4474" s="139" t="s">
        <v>10532</v>
      </c>
    </row>
    <row r="4475" spans="1:4" x14ac:dyDescent="0.25">
      <c r="A4475" s="139" t="s">
        <v>10533</v>
      </c>
      <c r="B4475" s="139" t="s">
        <v>10531</v>
      </c>
      <c r="C4475" s="139" t="s">
        <v>65</v>
      </c>
      <c r="D4475" s="139" t="s">
        <v>10534</v>
      </c>
    </row>
    <row r="4476" spans="1:4" x14ac:dyDescent="0.25">
      <c r="A4476" s="139" t="s">
        <v>10535</v>
      </c>
      <c r="B4476" s="139" t="s">
        <v>10536</v>
      </c>
      <c r="C4476" s="139" t="s">
        <v>65</v>
      </c>
      <c r="D4476" s="139" t="s">
        <v>10537</v>
      </c>
    </row>
    <row r="4477" spans="1:4" x14ac:dyDescent="0.25">
      <c r="A4477" s="139" t="s">
        <v>10538</v>
      </c>
      <c r="B4477" s="139" t="s">
        <v>10536</v>
      </c>
      <c r="C4477" s="139" t="s">
        <v>65</v>
      </c>
      <c r="D4477" s="139" t="s">
        <v>10539</v>
      </c>
    </row>
    <row r="4478" spans="1:4" x14ac:dyDescent="0.25">
      <c r="A4478" s="139" t="s">
        <v>10540</v>
      </c>
      <c r="B4478" s="139" t="s">
        <v>10541</v>
      </c>
      <c r="C4478" s="139" t="s">
        <v>65</v>
      </c>
      <c r="D4478" s="139" t="s">
        <v>10542</v>
      </c>
    </row>
    <row r="4479" spans="1:4" x14ac:dyDescent="0.25">
      <c r="A4479" s="139" t="s">
        <v>10543</v>
      </c>
      <c r="B4479" s="139" t="s">
        <v>10541</v>
      </c>
      <c r="C4479" s="139" t="s">
        <v>65</v>
      </c>
      <c r="D4479" s="139" t="s">
        <v>10544</v>
      </c>
    </row>
    <row r="4480" spans="1:4" x14ac:dyDescent="0.25">
      <c r="A4480" s="139" t="s">
        <v>10545</v>
      </c>
      <c r="B4480" s="139" t="s">
        <v>10546</v>
      </c>
      <c r="C4480" s="139" t="s">
        <v>65</v>
      </c>
      <c r="D4480" s="139" t="s">
        <v>10547</v>
      </c>
    </row>
    <row r="4481" spans="1:4" x14ac:dyDescent="0.25">
      <c r="A4481" s="139" t="s">
        <v>10548</v>
      </c>
      <c r="B4481" s="139" t="s">
        <v>6328</v>
      </c>
      <c r="C4481" s="139" t="s">
        <v>65</v>
      </c>
      <c r="D4481" s="139" t="s">
        <v>10549</v>
      </c>
    </row>
    <row r="4482" spans="1:4" x14ac:dyDescent="0.25">
      <c r="A4482" s="139" t="s">
        <v>10550</v>
      </c>
      <c r="B4482" s="139" t="s">
        <v>6328</v>
      </c>
      <c r="C4482" s="139" t="s">
        <v>65</v>
      </c>
      <c r="D4482" s="139" t="s">
        <v>10551</v>
      </c>
    </row>
    <row r="4483" spans="1:4" x14ac:dyDescent="0.25">
      <c r="A4483" s="139" t="s">
        <v>10552</v>
      </c>
      <c r="B4483" s="139" t="s">
        <v>10553</v>
      </c>
      <c r="C4483" s="139" t="s">
        <v>112</v>
      </c>
      <c r="D4483" s="139" t="s">
        <v>10554</v>
      </c>
    </row>
    <row r="4484" spans="1:4" x14ac:dyDescent="0.25">
      <c r="A4484" s="139" t="s">
        <v>10555</v>
      </c>
      <c r="B4484" s="139" t="s">
        <v>10553</v>
      </c>
      <c r="C4484" s="139" t="s">
        <v>112</v>
      </c>
      <c r="D4484" s="139" t="s">
        <v>10556</v>
      </c>
    </row>
    <row r="4485" spans="1:4" x14ac:dyDescent="0.25">
      <c r="A4485" s="139" t="s">
        <v>10557</v>
      </c>
      <c r="B4485" s="139" t="s">
        <v>10558</v>
      </c>
      <c r="C4485" s="139" t="s">
        <v>112</v>
      </c>
      <c r="D4485" s="139" t="s">
        <v>10559</v>
      </c>
    </row>
    <row r="4486" spans="1:4" x14ac:dyDescent="0.25">
      <c r="A4486" s="139" t="s">
        <v>10560</v>
      </c>
      <c r="B4486" s="139" t="s">
        <v>10558</v>
      </c>
      <c r="C4486" s="139" t="s">
        <v>112</v>
      </c>
      <c r="D4486" s="139" t="s">
        <v>10561</v>
      </c>
    </row>
    <row r="4487" spans="1:4" x14ac:dyDescent="0.25">
      <c r="A4487" s="139" t="s">
        <v>10562</v>
      </c>
      <c r="B4487" s="139" t="s">
        <v>10563</v>
      </c>
      <c r="C4487" s="139" t="s">
        <v>112</v>
      </c>
      <c r="D4487" s="139" t="s">
        <v>10564</v>
      </c>
    </row>
    <row r="4488" spans="1:4" x14ac:dyDescent="0.25">
      <c r="A4488" s="139" t="s">
        <v>10565</v>
      </c>
      <c r="B4488" s="139" t="s">
        <v>10563</v>
      </c>
      <c r="C4488" s="139" t="s">
        <v>112</v>
      </c>
      <c r="D4488" s="139" t="s">
        <v>10566</v>
      </c>
    </row>
    <row r="4489" spans="1:4" x14ac:dyDescent="0.25">
      <c r="A4489" s="139" t="s">
        <v>10567</v>
      </c>
      <c r="B4489" s="139" t="s">
        <v>10270</v>
      </c>
      <c r="C4489" s="139" t="s">
        <v>112</v>
      </c>
      <c r="D4489" s="139" t="s">
        <v>10568</v>
      </c>
    </row>
    <row r="4490" spans="1:4" x14ac:dyDescent="0.25">
      <c r="A4490" s="139" t="s">
        <v>10569</v>
      </c>
      <c r="B4490" s="139" t="s">
        <v>10270</v>
      </c>
      <c r="C4490" s="139" t="s">
        <v>112</v>
      </c>
      <c r="D4490" s="139" t="s">
        <v>10570</v>
      </c>
    </row>
    <row r="4491" spans="1:4" x14ac:dyDescent="0.25">
      <c r="A4491" s="139" t="s">
        <v>10571</v>
      </c>
      <c r="B4491" s="139" t="s">
        <v>8767</v>
      </c>
      <c r="C4491" s="139" t="s">
        <v>112</v>
      </c>
      <c r="D4491" s="139" t="s">
        <v>10572</v>
      </c>
    </row>
    <row r="4492" spans="1:4" x14ac:dyDescent="0.25">
      <c r="A4492" s="139" t="s">
        <v>10573</v>
      </c>
      <c r="B4492" s="139" t="s">
        <v>8767</v>
      </c>
      <c r="C4492" s="139" t="s">
        <v>112</v>
      </c>
      <c r="D4492" s="139" t="s">
        <v>10574</v>
      </c>
    </row>
    <row r="4493" spans="1:4" x14ac:dyDescent="0.25">
      <c r="A4493" s="139" t="s">
        <v>10575</v>
      </c>
      <c r="B4493" s="139" t="s">
        <v>10576</v>
      </c>
      <c r="C4493" s="139" t="s">
        <v>1604</v>
      </c>
      <c r="D4493" s="139" t="s">
        <v>10577</v>
      </c>
    </row>
    <row r="4494" spans="1:4" x14ac:dyDescent="0.25">
      <c r="A4494" s="139" t="s">
        <v>10578</v>
      </c>
      <c r="B4494" s="139" t="s">
        <v>10576</v>
      </c>
      <c r="C4494" s="139" t="s">
        <v>1604</v>
      </c>
      <c r="D4494" s="139" t="s">
        <v>10579</v>
      </c>
    </row>
    <row r="4495" spans="1:4" x14ac:dyDescent="0.25">
      <c r="A4495" s="139" t="s">
        <v>10580</v>
      </c>
      <c r="B4495" s="139" t="s">
        <v>10581</v>
      </c>
      <c r="C4495" s="139" t="s">
        <v>112</v>
      </c>
      <c r="D4495" s="139" t="s">
        <v>10582</v>
      </c>
    </row>
    <row r="4496" spans="1:4" x14ac:dyDescent="0.25">
      <c r="A4496" s="139" t="s">
        <v>10583</v>
      </c>
      <c r="B4496" s="139" t="s">
        <v>10581</v>
      </c>
      <c r="C4496" s="139" t="s">
        <v>112</v>
      </c>
      <c r="D4496" s="139" t="s">
        <v>10584</v>
      </c>
    </row>
    <row r="4497" spans="1:4" x14ac:dyDescent="0.25">
      <c r="A4497" s="139" t="s">
        <v>10585</v>
      </c>
      <c r="B4497" s="139" t="s">
        <v>10586</v>
      </c>
      <c r="C4497" s="139" t="s">
        <v>4913</v>
      </c>
      <c r="D4497" s="139" t="s">
        <v>10587</v>
      </c>
    </row>
    <row r="4498" spans="1:4" x14ac:dyDescent="0.25">
      <c r="A4498" s="139" t="s">
        <v>10588</v>
      </c>
      <c r="B4498" s="139" t="s">
        <v>10586</v>
      </c>
      <c r="C4498" s="139" t="s">
        <v>4913</v>
      </c>
      <c r="D4498" s="139" t="s">
        <v>10589</v>
      </c>
    </row>
    <row r="4499" spans="1:4" x14ac:dyDescent="0.25">
      <c r="A4499" s="139" t="s">
        <v>10590</v>
      </c>
      <c r="B4499" s="139" t="s">
        <v>4665</v>
      </c>
      <c r="C4499" s="139" t="s">
        <v>4913</v>
      </c>
      <c r="D4499" s="139" t="s">
        <v>10591</v>
      </c>
    </row>
    <row r="4500" spans="1:4" x14ac:dyDescent="0.25">
      <c r="A4500" s="139" t="s">
        <v>10592</v>
      </c>
      <c r="B4500" s="139" t="s">
        <v>4665</v>
      </c>
      <c r="C4500" s="139" t="s">
        <v>4913</v>
      </c>
      <c r="D4500" s="139" t="s">
        <v>10593</v>
      </c>
    </row>
    <row r="4501" spans="1:4" x14ac:dyDescent="0.25">
      <c r="A4501" s="139" t="s">
        <v>10594</v>
      </c>
      <c r="B4501" s="139" t="s">
        <v>904</v>
      </c>
      <c r="C4501" s="139" t="s">
        <v>4913</v>
      </c>
      <c r="D4501" s="139" t="s">
        <v>10595</v>
      </c>
    </row>
    <row r="4502" spans="1:4" x14ac:dyDescent="0.25">
      <c r="A4502" s="139" t="s">
        <v>10596</v>
      </c>
      <c r="B4502" s="139" t="s">
        <v>904</v>
      </c>
      <c r="C4502" s="139" t="s">
        <v>4913</v>
      </c>
      <c r="D4502" s="139" t="s">
        <v>10597</v>
      </c>
    </row>
    <row r="4503" spans="1:4" x14ac:dyDescent="0.25">
      <c r="A4503" s="139" t="s">
        <v>10598</v>
      </c>
      <c r="B4503" s="139" t="s">
        <v>4893</v>
      </c>
      <c r="C4503" s="139" t="s">
        <v>4913</v>
      </c>
      <c r="D4503" s="139" t="s">
        <v>10599</v>
      </c>
    </row>
    <row r="4504" spans="1:4" x14ac:dyDescent="0.25">
      <c r="A4504" s="139" t="s">
        <v>10600</v>
      </c>
      <c r="B4504" s="139" t="s">
        <v>4893</v>
      </c>
      <c r="C4504" s="139" t="s">
        <v>4913</v>
      </c>
      <c r="D4504" s="139" t="s">
        <v>10601</v>
      </c>
    </row>
    <row r="4505" spans="1:4" x14ac:dyDescent="0.25">
      <c r="A4505" s="139" t="s">
        <v>10602</v>
      </c>
      <c r="B4505" s="139" t="s">
        <v>4898</v>
      </c>
      <c r="C4505" s="139" t="s">
        <v>4913</v>
      </c>
      <c r="D4505" s="139" t="s">
        <v>10603</v>
      </c>
    </row>
    <row r="4506" spans="1:4" x14ac:dyDescent="0.25">
      <c r="A4506" s="139" t="s">
        <v>10604</v>
      </c>
      <c r="B4506" s="139" t="s">
        <v>4898</v>
      </c>
      <c r="C4506" s="139" t="s">
        <v>4913</v>
      </c>
      <c r="D4506" s="139" t="s">
        <v>10605</v>
      </c>
    </row>
    <row r="4507" spans="1:4" x14ac:dyDescent="0.25">
      <c r="A4507" s="139" t="s">
        <v>10606</v>
      </c>
      <c r="B4507" s="139" t="s">
        <v>8785</v>
      </c>
      <c r="C4507" s="139" t="s">
        <v>658</v>
      </c>
      <c r="D4507" s="139" t="s">
        <v>10607</v>
      </c>
    </row>
    <row r="4508" spans="1:4" x14ac:dyDescent="0.25">
      <c r="A4508" s="139" t="s">
        <v>10608</v>
      </c>
      <c r="B4508" s="139" t="s">
        <v>8785</v>
      </c>
      <c r="C4508" s="139" t="s">
        <v>658</v>
      </c>
      <c r="D4508" s="139" t="s">
        <v>10609</v>
      </c>
    </row>
    <row r="4509" spans="1:4" x14ac:dyDescent="0.25">
      <c r="A4509" s="139" t="s">
        <v>10610</v>
      </c>
      <c r="B4509" s="139" t="s">
        <v>111</v>
      </c>
      <c r="C4509" s="139" t="s">
        <v>658</v>
      </c>
      <c r="D4509" s="139" t="s">
        <v>10611</v>
      </c>
    </row>
    <row r="4510" spans="1:4" x14ac:dyDescent="0.25">
      <c r="A4510" s="139" t="s">
        <v>10612</v>
      </c>
      <c r="B4510" s="139" t="s">
        <v>111</v>
      </c>
      <c r="C4510" s="139" t="s">
        <v>658</v>
      </c>
      <c r="D4510" s="139" t="s">
        <v>10613</v>
      </c>
    </row>
    <row r="4511" spans="1:4" x14ac:dyDescent="0.25">
      <c r="A4511" s="139" t="s">
        <v>10614</v>
      </c>
      <c r="B4511" s="139" t="s">
        <v>10225</v>
      </c>
      <c r="C4511" s="139" t="s">
        <v>658</v>
      </c>
      <c r="D4511" s="139" t="s">
        <v>10615</v>
      </c>
    </row>
    <row r="4512" spans="1:4" x14ac:dyDescent="0.25">
      <c r="A4512" s="139" t="s">
        <v>10616</v>
      </c>
      <c r="B4512" s="139" t="s">
        <v>10225</v>
      </c>
      <c r="C4512" s="139" t="s">
        <v>658</v>
      </c>
      <c r="D4512" s="139" t="s">
        <v>10617</v>
      </c>
    </row>
    <row r="4513" spans="1:4" x14ac:dyDescent="0.25">
      <c r="A4513" s="139" t="s">
        <v>10618</v>
      </c>
      <c r="B4513" s="139" t="s">
        <v>10222</v>
      </c>
      <c r="C4513" s="139" t="s">
        <v>658</v>
      </c>
      <c r="D4513" s="139" t="s">
        <v>10619</v>
      </c>
    </row>
    <row r="4514" spans="1:4" x14ac:dyDescent="0.25">
      <c r="A4514" s="139" t="s">
        <v>10620</v>
      </c>
      <c r="B4514" s="139" t="s">
        <v>10222</v>
      </c>
      <c r="C4514" s="139" t="s">
        <v>658</v>
      </c>
      <c r="D4514" s="139" t="s">
        <v>10621</v>
      </c>
    </row>
    <row r="4515" spans="1:4" x14ac:dyDescent="0.25">
      <c r="A4515" s="139" t="s">
        <v>10622</v>
      </c>
      <c r="B4515" s="139" t="s">
        <v>10623</v>
      </c>
      <c r="C4515" s="139" t="s">
        <v>33</v>
      </c>
      <c r="D4515" s="139" t="s">
        <v>10624</v>
      </c>
    </row>
    <row r="4516" spans="1:4" x14ac:dyDescent="0.25">
      <c r="A4516" s="139" t="s">
        <v>10625</v>
      </c>
      <c r="B4516" s="139" t="s">
        <v>10623</v>
      </c>
      <c r="C4516" s="139" t="s">
        <v>33</v>
      </c>
      <c r="D4516" s="139" t="s">
        <v>10626</v>
      </c>
    </row>
    <row r="4517" spans="1:4" x14ac:dyDescent="0.25">
      <c r="A4517" s="139" t="s">
        <v>10627</v>
      </c>
      <c r="B4517" s="139" t="s">
        <v>5360</v>
      </c>
      <c r="C4517" s="139" t="s">
        <v>33</v>
      </c>
      <c r="D4517" s="139" t="s">
        <v>10628</v>
      </c>
    </row>
    <row r="4518" spans="1:4" x14ac:dyDescent="0.25">
      <c r="A4518" s="139" t="s">
        <v>10629</v>
      </c>
      <c r="B4518" s="139" t="s">
        <v>5360</v>
      </c>
      <c r="C4518" s="139" t="s">
        <v>33</v>
      </c>
      <c r="D4518" s="139" t="s">
        <v>10630</v>
      </c>
    </row>
    <row r="4519" spans="1:4" x14ac:dyDescent="0.25">
      <c r="A4519" s="139" t="s">
        <v>10631</v>
      </c>
      <c r="B4519" s="139" t="s">
        <v>7384</v>
      </c>
      <c r="C4519" s="139" t="s">
        <v>112</v>
      </c>
      <c r="D4519" s="139" t="s">
        <v>10632</v>
      </c>
    </row>
    <row r="4520" spans="1:4" x14ac:dyDescent="0.25">
      <c r="A4520" s="139" t="s">
        <v>10633</v>
      </c>
      <c r="B4520" s="139" t="s">
        <v>7384</v>
      </c>
      <c r="C4520" s="139" t="s">
        <v>112</v>
      </c>
      <c r="D4520" s="139" t="s">
        <v>10634</v>
      </c>
    </row>
    <row r="4521" spans="1:4" x14ac:dyDescent="0.25">
      <c r="A4521" s="139" t="s">
        <v>10635</v>
      </c>
      <c r="B4521" s="139" t="s">
        <v>10636</v>
      </c>
      <c r="C4521" s="139" t="s">
        <v>112</v>
      </c>
      <c r="D4521" s="139" t="s">
        <v>10637</v>
      </c>
    </row>
    <row r="4522" spans="1:4" x14ac:dyDescent="0.25">
      <c r="A4522" s="139" t="s">
        <v>10638</v>
      </c>
      <c r="B4522" s="139" t="s">
        <v>10636</v>
      </c>
      <c r="C4522" s="139" t="s">
        <v>112</v>
      </c>
      <c r="D4522" s="139" t="s">
        <v>10639</v>
      </c>
    </row>
    <row r="4523" spans="1:4" x14ac:dyDescent="0.25">
      <c r="A4523" s="139" t="s">
        <v>10640</v>
      </c>
      <c r="B4523" s="139" t="s">
        <v>10641</v>
      </c>
      <c r="C4523" s="139" t="s">
        <v>112</v>
      </c>
      <c r="D4523" s="139" t="s">
        <v>10642</v>
      </c>
    </row>
    <row r="4524" spans="1:4" x14ac:dyDescent="0.25">
      <c r="A4524" s="139" t="s">
        <v>10643</v>
      </c>
      <c r="B4524" s="139" t="s">
        <v>10641</v>
      </c>
      <c r="C4524" s="139" t="s">
        <v>112</v>
      </c>
      <c r="D4524" s="139" t="s">
        <v>10644</v>
      </c>
    </row>
    <row r="4525" spans="1:4" x14ac:dyDescent="0.25">
      <c r="A4525" s="139" t="s">
        <v>10645</v>
      </c>
      <c r="B4525" s="139" t="s">
        <v>10646</v>
      </c>
      <c r="C4525" s="139" t="s">
        <v>112</v>
      </c>
      <c r="D4525" s="139" t="s">
        <v>10647</v>
      </c>
    </row>
    <row r="4526" spans="1:4" x14ac:dyDescent="0.25">
      <c r="A4526" s="139" t="s">
        <v>10648</v>
      </c>
      <c r="B4526" s="139" t="s">
        <v>10646</v>
      </c>
      <c r="C4526" s="139" t="s">
        <v>112</v>
      </c>
      <c r="D4526" s="139" t="s">
        <v>10649</v>
      </c>
    </row>
    <row r="4527" spans="1:4" x14ac:dyDescent="0.25">
      <c r="A4527" s="139" t="s">
        <v>10650</v>
      </c>
      <c r="B4527" s="139" t="s">
        <v>10234</v>
      </c>
      <c r="C4527" s="139" t="s">
        <v>112</v>
      </c>
      <c r="D4527" s="139" t="s">
        <v>10651</v>
      </c>
    </row>
    <row r="4528" spans="1:4" x14ac:dyDescent="0.25">
      <c r="A4528" s="139" t="s">
        <v>10652</v>
      </c>
      <c r="B4528" s="139" t="s">
        <v>10234</v>
      </c>
      <c r="C4528" s="139" t="s">
        <v>112</v>
      </c>
      <c r="D4528" s="139" t="s">
        <v>10653</v>
      </c>
    </row>
    <row r="4529" spans="1:4" x14ac:dyDescent="0.25">
      <c r="A4529" s="139" t="s">
        <v>10654</v>
      </c>
      <c r="B4529" s="139" t="s">
        <v>7061</v>
      </c>
      <c r="C4529" s="139" t="s">
        <v>112</v>
      </c>
      <c r="D4529" s="139" t="s">
        <v>10655</v>
      </c>
    </row>
    <row r="4530" spans="1:4" x14ac:dyDescent="0.25">
      <c r="A4530" s="139" t="s">
        <v>10656</v>
      </c>
      <c r="B4530" s="139" t="s">
        <v>7061</v>
      </c>
      <c r="C4530" s="139" t="s">
        <v>112</v>
      </c>
      <c r="D4530" s="139" t="s">
        <v>10657</v>
      </c>
    </row>
    <row r="4531" spans="1:4" x14ac:dyDescent="0.25">
      <c r="A4531" s="139" t="s">
        <v>10658</v>
      </c>
      <c r="B4531" s="139" t="s">
        <v>10659</v>
      </c>
      <c r="C4531" s="139" t="s">
        <v>112</v>
      </c>
      <c r="D4531" s="139" t="s">
        <v>10660</v>
      </c>
    </row>
    <row r="4532" spans="1:4" x14ac:dyDescent="0.25">
      <c r="A4532" s="139" t="s">
        <v>10661</v>
      </c>
      <c r="B4532" s="139" t="s">
        <v>10659</v>
      </c>
      <c r="C4532" s="139" t="s">
        <v>112</v>
      </c>
      <c r="D4532" s="139" t="s">
        <v>10662</v>
      </c>
    </row>
    <row r="4533" spans="1:4" x14ac:dyDescent="0.25">
      <c r="A4533" s="139" t="s">
        <v>10663</v>
      </c>
      <c r="B4533" s="139" t="s">
        <v>10664</v>
      </c>
      <c r="C4533" s="139" t="s">
        <v>112</v>
      </c>
      <c r="D4533" s="139" t="s">
        <v>10665</v>
      </c>
    </row>
    <row r="4534" spans="1:4" x14ac:dyDescent="0.25">
      <c r="A4534" s="139" t="s">
        <v>10666</v>
      </c>
      <c r="B4534" s="139" t="s">
        <v>10664</v>
      </c>
      <c r="C4534" s="139" t="s">
        <v>112</v>
      </c>
      <c r="D4534" s="139" t="s">
        <v>10667</v>
      </c>
    </row>
    <row r="4535" spans="1:4" x14ac:dyDescent="0.25">
      <c r="A4535" s="139" t="s">
        <v>10668</v>
      </c>
      <c r="B4535" s="139" t="s">
        <v>310</v>
      </c>
      <c r="C4535" s="139" t="s">
        <v>112</v>
      </c>
      <c r="D4535" s="139" t="s">
        <v>10669</v>
      </c>
    </row>
    <row r="4536" spans="1:4" x14ac:dyDescent="0.25">
      <c r="A4536" s="139" t="s">
        <v>10670</v>
      </c>
      <c r="B4536" s="139" t="s">
        <v>310</v>
      </c>
      <c r="C4536" s="139" t="s">
        <v>112</v>
      </c>
      <c r="D4536" s="139" t="s">
        <v>10671</v>
      </c>
    </row>
    <row r="4537" spans="1:4" x14ac:dyDescent="0.25">
      <c r="A4537" s="139" t="s">
        <v>10672</v>
      </c>
      <c r="B4537" s="139" t="s">
        <v>9127</v>
      </c>
      <c r="C4537" s="139" t="s">
        <v>65</v>
      </c>
      <c r="D4537" s="139" t="s">
        <v>10673</v>
      </c>
    </row>
    <row r="4538" spans="1:4" x14ac:dyDescent="0.25">
      <c r="A4538" s="139" t="s">
        <v>10674</v>
      </c>
      <c r="B4538" s="139" t="s">
        <v>9127</v>
      </c>
      <c r="C4538" s="139" t="s">
        <v>65</v>
      </c>
      <c r="D4538" s="139" t="s">
        <v>10675</v>
      </c>
    </row>
    <row r="4539" spans="1:4" x14ac:dyDescent="0.25">
      <c r="A4539" s="139" t="s">
        <v>10676</v>
      </c>
      <c r="B4539" s="139" t="s">
        <v>895</v>
      </c>
      <c r="C4539" s="139" t="s">
        <v>65</v>
      </c>
      <c r="D4539" s="139" t="s">
        <v>10677</v>
      </c>
    </row>
    <row r="4540" spans="1:4" x14ac:dyDescent="0.25">
      <c r="A4540" s="139" t="s">
        <v>10678</v>
      </c>
      <c r="B4540" s="139" t="s">
        <v>895</v>
      </c>
      <c r="C4540" s="139" t="s">
        <v>65</v>
      </c>
      <c r="D4540" s="139" t="s">
        <v>10679</v>
      </c>
    </row>
    <row r="4541" spans="1:4" x14ac:dyDescent="0.25">
      <c r="A4541" s="139" t="s">
        <v>10680</v>
      </c>
      <c r="B4541" s="139" t="s">
        <v>7043</v>
      </c>
      <c r="C4541" s="139" t="s">
        <v>65</v>
      </c>
      <c r="D4541" s="139" t="s">
        <v>10681</v>
      </c>
    </row>
    <row r="4542" spans="1:4" x14ac:dyDescent="0.25">
      <c r="A4542" s="139" t="s">
        <v>10682</v>
      </c>
      <c r="B4542" s="139" t="s">
        <v>7043</v>
      </c>
      <c r="C4542" s="139" t="s">
        <v>65</v>
      </c>
      <c r="D4542" s="139" t="s">
        <v>10683</v>
      </c>
    </row>
    <row r="4543" spans="1:4" x14ac:dyDescent="0.25">
      <c r="A4543" s="139" t="s">
        <v>10684</v>
      </c>
      <c r="B4543" s="139" t="s">
        <v>1598</v>
      </c>
      <c r="C4543" s="139" t="s">
        <v>65</v>
      </c>
      <c r="D4543" s="139" t="s">
        <v>10685</v>
      </c>
    </row>
    <row r="4544" spans="1:4" x14ac:dyDescent="0.25">
      <c r="A4544" s="139" t="s">
        <v>10686</v>
      </c>
      <c r="B4544" s="139" t="s">
        <v>1598</v>
      </c>
      <c r="C4544" s="139" t="s">
        <v>65</v>
      </c>
      <c r="D4544" s="139" t="s">
        <v>10687</v>
      </c>
    </row>
    <row r="4545" spans="1:4" x14ac:dyDescent="0.25">
      <c r="A4545" s="139" t="s">
        <v>10688</v>
      </c>
      <c r="B4545" s="139" t="s">
        <v>6561</v>
      </c>
      <c r="C4545" s="139" t="s">
        <v>65</v>
      </c>
      <c r="D4545" s="139" t="s">
        <v>10689</v>
      </c>
    </row>
    <row r="4546" spans="1:4" x14ac:dyDescent="0.25">
      <c r="A4546" s="139" t="s">
        <v>10690</v>
      </c>
      <c r="B4546" s="139" t="s">
        <v>6561</v>
      </c>
      <c r="C4546" s="139" t="s">
        <v>65</v>
      </c>
      <c r="D4546" s="139" t="s">
        <v>10691</v>
      </c>
    </row>
    <row r="4547" spans="1:4" x14ac:dyDescent="0.25">
      <c r="A4547" s="139" t="s">
        <v>10692</v>
      </c>
      <c r="B4547" s="139" t="s">
        <v>10203</v>
      </c>
      <c r="C4547" s="139" t="s">
        <v>65</v>
      </c>
      <c r="D4547" s="139" t="s">
        <v>10693</v>
      </c>
    </row>
    <row r="4548" spans="1:4" x14ac:dyDescent="0.25">
      <c r="A4548" s="139" t="s">
        <v>10694</v>
      </c>
      <c r="B4548" s="139" t="s">
        <v>10203</v>
      </c>
      <c r="C4548" s="139" t="s">
        <v>65</v>
      </c>
      <c r="D4548" s="139" t="s">
        <v>10695</v>
      </c>
    </row>
    <row r="4549" spans="1:4" x14ac:dyDescent="0.25">
      <c r="A4549" s="139" t="s">
        <v>10696</v>
      </c>
      <c r="B4549" s="139" t="s">
        <v>10697</v>
      </c>
      <c r="C4549" s="139" t="s">
        <v>65</v>
      </c>
      <c r="D4549" s="139" t="s">
        <v>10698</v>
      </c>
    </row>
    <row r="4550" spans="1:4" x14ac:dyDescent="0.25">
      <c r="A4550" s="139" t="s">
        <v>10699</v>
      </c>
      <c r="B4550" s="139" t="s">
        <v>10697</v>
      </c>
      <c r="C4550" s="139" t="s">
        <v>65</v>
      </c>
      <c r="D4550" s="139" t="s">
        <v>10700</v>
      </c>
    </row>
    <row r="4551" spans="1:4" x14ac:dyDescent="0.25">
      <c r="A4551" s="139" t="s">
        <v>10701</v>
      </c>
      <c r="B4551" s="139" t="s">
        <v>1079</v>
      </c>
      <c r="C4551" s="139" t="s">
        <v>10702</v>
      </c>
      <c r="D4551" s="139" t="s">
        <v>10703</v>
      </c>
    </row>
    <row r="4552" spans="1:4" x14ac:dyDescent="0.25">
      <c r="A4552" s="139" t="s">
        <v>10704</v>
      </c>
      <c r="B4552" s="139" t="s">
        <v>1079</v>
      </c>
      <c r="C4552" s="139" t="s">
        <v>10702</v>
      </c>
      <c r="D4552" s="139" t="s">
        <v>10705</v>
      </c>
    </row>
    <row r="4553" spans="1:4" x14ac:dyDescent="0.25">
      <c r="A4553" s="139" t="s">
        <v>10706</v>
      </c>
      <c r="B4553" s="139" t="s">
        <v>4167</v>
      </c>
      <c r="C4553" s="139" t="s">
        <v>10707</v>
      </c>
      <c r="D4553" s="139" t="s">
        <v>10708</v>
      </c>
    </row>
    <row r="4554" spans="1:4" x14ac:dyDescent="0.25">
      <c r="A4554" s="139" t="s">
        <v>10709</v>
      </c>
      <c r="B4554" s="139" t="s">
        <v>4167</v>
      </c>
      <c r="C4554" s="139" t="s">
        <v>10707</v>
      </c>
      <c r="D4554" s="139" t="s">
        <v>10710</v>
      </c>
    </row>
    <row r="4555" spans="1:4" x14ac:dyDescent="0.25">
      <c r="A4555" s="139" t="s">
        <v>10711</v>
      </c>
      <c r="B4555" s="139" t="s">
        <v>1054</v>
      </c>
      <c r="C4555" s="139" t="s">
        <v>10707</v>
      </c>
      <c r="D4555" s="139" t="s">
        <v>10712</v>
      </c>
    </row>
    <row r="4556" spans="1:4" x14ac:dyDescent="0.25">
      <c r="A4556" s="139" t="s">
        <v>10713</v>
      </c>
      <c r="B4556" s="139" t="s">
        <v>1054</v>
      </c>
      <c r="C4556" s="139" t="s">
        <v>10707</v>
      </c>
      <c r="D4556" s="139" t="s">
        <v>10714</v>
      </c>
    </row>
    <row r="4557" spans="1:4" x14ac:dyDescent="0.25">
      <c r="A4557" s="139" t="s">
        <v>10715</v>
      </c>
      <c r="B4557" s="139" t="s">
        <v>5226</v>
      </c>
      <c r="C4557" s="139" t="s">
        <v>10716</v>
      </c>
      <c r="D4557" s="139" t="s">
        <v>10717</v>
      </c>
    </row>
    <row r="4558" spans="1:4" x14ac:dyDescent="0.25">
      <c r="A4558" s="139" t="s">
        <v>10718</v>
      </c>
      <c r="B4558" s="139" t="s">
        <v>5226</v>
      </c>
      <c r="C4558" s="139" t="s">
        <v>10716</v>
      </c>
      <c r="D4558" s="139" t="s">
        <v>10719</v>
      </c>
    </row>
    <row r="4559" spans="1:4" x14ac:dyDescent="0.25">
      <c r="A4559" s="139" t="s">
        <v>10720</v>
      </c>
      <c r="B4559" s="139" t="s">
        <v>5226</v>
      </c>
      <c r="C4559" s="139" t="s">
        <v>10716</v>
      </c>
      <c r="D4559" s="139" t="s">
        <v>10721</v>
      </c>
    </row>
    <row r="4560" spans="1:4" x14ac:dyDescent="0.25">
      <c r="A4560" s="139" t="s">
        <v>10722</v>
      </c>
      <c r="B4560" s="139" t="s">
        <v>5226</v>
      </c>
      <c r="C4560" s="139" t="s">
        <v>10716</v>
      </c>
      <c r="D4560" s="139" t="s">
        <v>10723</v>
      </c>
    </row>
    <row r="4561" spans="1:4" x14ac:dyDescent="0.25">
      <c r="A4561" s="139" t="s">
        <v>10724</v>
      </c>
      <c r="B4561" s="139" t="s">
        <v>5226</v>
      </c>
      <c r="C4561" s="139" t="s">
        <v>10725</v>
      </c>
      <c r="D4561" s="139" t="s">
        <v>10726</v>
      </c>
    </row>
    <row r="4562" spans="1:4" x14ac:dyDescent="0.25">
      <c r="A4562" s="139" t="s">
        <v>10727</v>
      </c>
      <c r="B4562" s="139" t="s">
        <v>5226</v>
      </c>
      <c r="C4562" s="139" t="s">
        <v>10725</v>
      </c>
      <c r="D4562" s="139" t="s">
        <v>10728</v>
      </c>
    </row>
    <row r="4563" spans="1:4" x14ac:dyDescent="0.25">
      <c r="A4563" s="139" t="s">
        <v>10729</v>
      </c>
      <c r="B4563" s="139" t="s">
        <v>5241</v>
      </c>
      <c r="C4563" s="139" t="s">
        <v>10707</v>
      </c>
      <c r="D4563" s="139" t="s">
        <v>10730</v>
      </c>
    </row>
    <row r="4564" spans="1:4" x14ac:dyDescent="0.25">
      <c r="A4564" s="139" t="s">
        <v>10731</v>
      </c>
      <c r="B4564" s="139" t="s">
        <v>5241</v>
      </c>
      <c r="C4564" s="139" t="s">
        <v>10707</v>
      </c>
      <c r="D4564" s="139" t="s">
        <v>10732</v>
      </c>
    </row>
    <row r="4565" spans="1:4" x14ac:dyDescent="0.25">
      <c r="A4565" s="139" t="s">
        <v>10733</v>
      </c>
      <c r="B4565" s="139" t="s">
        <v>1305</v>
      </c>
      <c r="C4565" s="139" t="s">
        <v>112</v>
      </c>
      <c r="D4565" s="139" t="s">
        <v>10734</v>
      </c>
    </row>
    <row r="4566" spans="1:4" x14ac:dyDescent="0.25">
      <c r="A4566" s="139" t="s">
        <v>10735</v>
      </c>
      <c r="B4566" s="139" t="s">
        <v>1305</v>
      </c>
      <c r="C4566" s="139" t="s">
        <v>112</v>
      </c>
      <c r="D4566" s="139" t="s">
        <v>10736</v>
      </c>
    </row>
    <row r="4567" spans="1:4" x14ac:dyDescent="0.25">
      <c r="A4567" s="139" t="s">
        <v>10737</v>
      </c>
      <c r="B4567" s="139" t="s">
        <v>147</v>
      </c>
      <c r="C4567" s="139" t="s">
        <v>112</v>
      </c>
      <c r="D4567" s="139" t="s">
        <v>10738</v>
      </c>
    </row>
    <row r="4568" spans="1:4" x14ac:dyDescent="0.25">
      <c r="A4568" s="139" t="s">
        <v>10739</v>
      </c>
      <c r="B4568" s="139" t="s">
        <v>147</v>
      </c>
      <c r="C4568" s="139" t="s">
        <v>112</v>
      </c>
      <c r="D4568" s="139" t="s">
        <v>10740</v>
      </c>
    </row>
    <row r="4569" spans="1:4" x14ac:dyDescent="0.25">
      <c r="A4569" s="139" t="s">
        <v>10741</v>
      </c>
      <c r="B4569" s="139" t="s">
        <v>340</v>
      </c>
      <c r="C4569" s="139" t="s">
        <v>127</v>
      </c>
      <c r="D4569" s="139" t="s">
        <v>10742</v>
      </c>
    </row>
    <row r="4570" spans="1:4" x14ac:dyDescent="0.25">
      <c r="A4570" s="139" t="s">
        <v>10743</v>
      </c>
      <c r="B4570" s="139" t="s">
        <v>340</v>
      </c>
      <c r="C4570" s="139" t="s">
        <v>127</v>
      </c>
      <c r="D4570" s="139" t="s">
        <v>10744</v>
      </c>
    </row>
    <row r="4571" spans="1:4" x14ac:dyDescent="0.25">
      <c r="A4571" s="139" t="s">
        <v>10745</v>
      </c>
      <c r="B4571" s="139" t="s">
        <v>8855</v>
      </c>
      <c r="C4571" s="139" t="s">
        <v>127</v>
      </c>
      <c r="D4571" s="139" t="s">
        <v>10746</v>
      </c>
    </row>
    <row r="4572" spans="1:4" x14ac:dyDescent="0.25">
      <c r="A4572" s="139" t="s">
        <v>10747</v>
      </c>
      <c r="B4572" s="139" t="s">
        <v>8855</v>
      </c>
      <c r="C4572" s="139" t="s">
        <v>127</v>
      </c>
      <c r="D4572" s="139" t="s">
        <v>10748</v>
      </c>
    </row>
    <row r="4573" spans="1:4" x14ac:dyDescent="0.25">
      <c r="A4573" s="139" t="s">
        <v>10749</v>
      </c>
      <c r="B4573" s="139" t="s">
        <v>10750</v>
      </c>
      <c r="C4573" s="139" t="s">
        <v>127</v>
      </c>
      <c r="D4573" s="139" t="s">
        <v>10751</v>
      </c>
    </row>
    <row r="4574" spans="1:4" x14ac:dyDescent="0.25">
      <c r="A4574" s="139" t="s">
        <v>10752</v>
      </c>
      <c r="B4574" s="139" t="s">
        <v>10750</v>
      </c>
      <c r="C4574" s="139" t="s">
        <v>127</v>
      </c>
      <c r="D4574" s="139" t="s">
        <v>10753</v>
      </c>
    </row>
    <row r="4575" spans="1:4" x14ac:dyDescent="0.25">
      <c r="A4575" s="139" t="s">
        <v>10754</v>
      </c>
      <c r="B4575" s="139" t="s">
        <v>1782</v>
      </c>
      <c r="C4575" s="139" t="s">
        <v>127</v>
      </c>
      <c r="D4575" s="139" t="s">
        <v>10755</v>
      </c>
    </row>
    <row r="4576" spans="1:4" x14ac:dyDescent="0.25">
      <c r="A4576" s="139" t="s">
        <v>10756</v>
      </c>
      <c r="B4576" s="139" t="s">
        <v>1782</v>
      </c>
      <c r="C4576" s="139" t="s">
        <v>127</v>
      </c>
      <c r="D4576" s="139" t="s">
        <v>10757</v>
      </c>
    </row>
    <row r="4577" spans="1:4" x14ac:dyDescent="0.25">
      <c r="A4577" s="139" t="s">
        <v>10758</v>
      </c>
      <c r="B4577" s="139" t="s">
        <v>3941</v>
      </c>
      <c r="C4577" s="139" t="s">
        <v>127</v>
      </c>
      <c r="D4577" s="139" t="s">
        <v>10759</v>
      </c>
    </row>
    <row r="4578" spans="1:4" x14ac:dyDescent="0.25">
      <c r="A4578" s="139" t="s">
        <v>10760</v>
      </c>
      <c r="B4578" s="139" t="s">
        <v>3941</v>
      </c>
      <c r="C4578" s="139" t="s">
        <v>127</v>
      </c>
      <c r="D4578" s="139" t="s">
        <v>10761</v>
      </c>
    </row>
    <row r="4579" spans="1:4" x14ac:dyDescent="0.25">
      <c r="A4579" s="139" t="s">
        <v>10762</v>
      </c>
      <c r="B4579" s="139" t="s">
        <v>4953</v>
      </c>
      <c r="C4579" s="139" t="s">
        <v>127</v>
      </c>
      <c r="D4579" s="139" t="s">
        <v>10763</v>
      </c>
    </row>
    <row r="4580" spans="1:4" x14ac:dyDescent="0.25">
      <c r="A4580" s="139" t="s">
        <v>10764</v>
      </c>
      <c r="B4580" s="139" t="s">
        <v>4953</v>
      </c>
      <c r="C4580" s="139" t="s">
        <v>127</v>
      </c>
      <c r="D4580" s="139" t="s">
        <v>10765</v>
      </c>
    </row>
    <row r="4581" spans="1:4" x14ac:dyDescent="0.25">
      <c r="A4581" s="139" t="s">
        <v>10766</v>
      </c>
      <c r="B4581" s="139" t="s">
        <v>10767</v>
      </c>
      <c r="C4581" s="139" t="s">
        <v>127</v>
      </c>
      <c r="D4581" s="139" t="s">
        <v>10768</v>
      </c>
    </row>
    <row r="4582" spans="1:4" x14ac:dyDescent="0.25">
      <c r="A4582" s="139" t="s">
        <v>10769</v>
      </c>
      <c r="B4582" s="139" t="s">
        <v>10767</v>
      </c>
      <c r="C4582" s="139" t="s">
        <v>127</v>
      </c>
      <c r="D4582" s="139" t="s">
        <v>10770</v>
      </c>
    </row>
    <row r="4583" spans="1:4" x14ac:dyDescent="0.25">
      <c r="A4583" s="139" t="s">
        <v>10771</v>
      </c>
      <c r="B4583" s="139" t="s">
        <v>10772</v>
      </c>
      <c r="C4583" s="139" t="s">
        <v>127</v>
      </c>
      <c r="D4583" s="139" t="s">
        <v>10773</v>
      </c>
    </row>
    <row r="4584" spans="1:4" x14ac:dyDescent="0.25">
      <c r="A4584" s="139" t="s">
        <v>10774</v>
      </c>
      <c r="B4584" s="139" t="s">
        <v>10772</v>
      </c>
      <c r="C4584" s="139" t="s">
        <v>127</v>
      </c>
      <c r="D4584" s="139" t="s">
        <v>10775</v>
      </c>
    </row>
    <row r="4585" spans="1:4" x14ac:dyDescent="0.25">
      <c r="A4585" s="139" t="s">
        <v>10776</v>
      </c>
      <c r="B4585" s="139" t="s">
        <v>10777</v>
      </c>
      <c r="C4585" s="139" t="s">
        <v>127</v>
      </c>
      <c r="D4585" s="139" t="s">
        <v>10778</v>
      </c>
    </row>
    <row r="4586" spans="1:4" x14ac:dyDescent="0.25">
      <c r="A4586" s="139" t="s">
        <v>10779</v>
      </c>
      <c r="B4586" s="139" t="s">
        <v>10777</v>
      </c>
      <c r="C4586" s="139" t="s">
        <v>127</v>
      </c>
      <c r="D4586" s="139" t="s">
        <v>10780</v>
      </c>
    </row>
    <row r="4587" spans="1:4" x14ac:dyDescent="0.25">
      <c r="A4587" s="139" t="s">
        <v>10781</v>
      </c>
      <c r="B4587" s="139" t="s">
        <v>5202</v>
      </c>
      <c r="C4587" s="139" t="s">
        <v>127</v>
      </c>
      <c r="D4587" s="139" t="s">
        <v>10782</v>
      </c>
    </row>
    <row r="4588" spans="1:4" x14ac:dyDescent="0.25">
      <c r="A4588" s="139" t="s">
        <v>10783</v>
      </c>
      <c r="B4588" s="139" t="s">
        <v>5202</v>
      </c>
      <c r="C4588" s="139" t="s">
        <v>127</v>
      </c>
      <c r="D4588" s="139" t="s">
        <v>10784</v>
      </c>
    </row>
    <row r="4589" spans="1:4" x14ac:dyDescent="0.25">
      <c r="A4589" s="139" t="s">
        <v>10785</v>
      </c>
      <c r="B4589" s="139" t="s">
        <v>4967</v>
      </c>
      <c r="C4589" s="139" t="s">
        <v>127</v>
      </c>
      <c r="D4589" s="139" t="s">
        <v>10786</v>
      </c>
    </row>
    <row r="4590" spans="1:4" x14ac:dyDescent="0.25">
      <c r="A4590" s="139" t="s">
        <v>10787</v>
      </c>
      <c r="B4590" s="139" t="s">
        <v>4967</v>
      </c>
      <c r="C4590" s="139" t="s">
        <v>127</v>
      </c>
      <c r="D4590" s="139" t="s">
        <v>10788</v>
      </c>
    </row>
    <row r="4591" spans="1:4" x14ac:dyDescent="0.25">
      <c r="A4591" s="139" t="s">
        <v>10789</v>
      </c>
      <c r="B4591" s="139" t="s">
        <v>10790</v>
      </c>
      <c r="C4591" s="139" t="s">
        <v>33</v>
      </c>
      <c r="D4591" s="139" t="s">
        <v>10791</v>
      </c>
    </row>
    <row r="4592" spans="1:4" x14ac:dyDescent="0.25">
      <c r="A4592" s="139" t="s">
        <v>10792</v>
      </c>
      <c r="B4592" s="139" t="s">
        <v>10790</v>
      </c>
      <c r="C4592" s="139" t="s">
        <v>33</v>
      </c>
      <c r="D4592" s="139" t="s">
        <v>10793</v>
      </c>
    </row>
    <row r="4593" spans="1:4" x14ac:dyDescent="0.25">
      <c r="A4593" s="139" t="s">
        <v>10794</v>
      </c>
      <c r="B4593" s="139" t="s">
        <v>10795</v>
      </c>
      <c r="C4593" s="139" t="s">
        <v>33</v>
      </c>
      <c r="D4593" s="139" t="s">
        <v>10796</v>
      </c>
    </row>
    <row r="4594" spans="1:4" x14ac:dyDescent="0.25">
      <c r="A4594" s="139" t="s">
        <v>10797</v>
      </c>
      <c r="B4594" s="139" t="s">
        <v>10795</v>
      </c>
      <c r="C4594" s="139" t="s">
        <v>33</v>
      </c>
      <c r="D4594" s="139" t="s">
        <v>10798</v>
      </c>
    </row>
    <row r="4595" spans="1:4" x14ac:dyDescent="0.25">
      <c r="A4595" s="139" t="s">
        <v>10799</v>
      </c>
      <c r="B4595" s="139" t="s">
        <v>117</v>
      </c>
      <c r="C4595" s="139" t="s">
        <v>33</v>
      </c>
      <c r="D4595" s="139" t="s">
        <v>10800</v>
      </c>
    </row>
    <row r="4596" spans="1:4" x14ac:dyDescent="0.25">
      <c r="A4596" s="139" t="s">
        <v>10801</v>
      </c>
      <c r="B4596" s="139" t="s">
        <v>117</v>
      </c>
      <c r="C4596" s="139" t="s">
        <v>33</v>
      </c>
      <c r="D4596" s="139" t="s">
        <v>10802</v>
      </c>
    </row>
    <row r="4597" spans="1:4" x14ac:dyDescent="0.25">
      <c r="A4597" s="139" t="s">
        <v>10803</v>
      </c>
      <c r="B4597" s="139" t="s">
        <v>10804</v>
      </c>
      <c r="C4597" s="139" t="s">
        <v>33</v>
      </c>
      <c r="D4597" s="139" t="s">
        <v>10805</v>
      </c>
    </row>
    <row r="4598" spans="1:4" x14ac:dyDescent="0.25">
      <c r="A4598" s="139" t="s">
        <v>10806</v>
      </c>
      <c r="B4598" s="139" t="s">
        <v>10804</v>
      </c>
      <c r="C4598" s="139" t="s">
        <v>33</v>
      </c>
      <c r="D4598" s="139" t="s">
        <v>10807</v>
      </c>
    </row>
    <row r="4599" spans="1:4" x14ac:dyDescent="0.25">
      <c r="A4599" s="139" t="s">
        <v>10808</v>
      </c>
      <c r="B4599" s="139" t="s">
        <v>10809</v>
      </c>
      <c r="C4599" s="139" t="s">
        <v>33</v>
      </c>
      <c r="D4599" s="139" t="s">
        <v>10810</v>
      </c>
    </row>
    <row r="4600" spans="1:4" x14ac:dyDescent="0.25">
      <c r="A4600" s="139" t="s">
        <v>10811</v>
      </c>
      <c r="B4600" s="139" t="s">
        <v>10809</v>
      </c>
      <c r="C4600" s="139" t="s">
        <v>33</v>
      </c>
      <c r="D4600" s="139" t="s">
        <v>10812</v>
      </c>
    </row>
    <row r="4601" spans="1:4" x14ac:dyDescent="0.25">
      <c r="A4601" s="139" t="s">
        <v>10813</v>
      </c>
      <c r="B4601" s="139" t="s">
        <v>10814</v>
      </c>
      <c r="C4601" s="139" t="s">
        <v>33</v>
      </c>
      <c r="D4601" s="139" t="s">
        <v>10815</v>
      </c>
    </row>
    <row r="4602" spans="1:4" x14ac:dyDescent="0.25">
      <c r="A4602" s="139" t="s">
        <v>10816</v>
      </c>
      <c r="B4602" s="139" t="s">
        <v>10814</v>
      </c>
      <c r="C4602" s="139" t="s">
        <v>33</v>
      </c>
      <c r="D4602" s="139" t="s">
        <v>10817</v>
      </c>
    </row>
    <row r="4603" spans="1:4" x14ac:dyDescent="0.25">
      <c r="A4603" s="139" t="s">
        <v>10818</v>
      </c>
      <c r="B4603" s="139" t="s">
        <v>10819</v>
      </c>
      <c r="C4603" s="139" t="s">
        <v>33</v>
      </c>
      <c r="D4603" s="139" t="s">
        <v>10820</v>
      </c>
    </row>
    <row r="4604" spans="1:4" x14ac:dyDescent="0.25">
      <c r="A4604" s="139" t="s">
        <v>10821</v>
      </c>
      <c r="B4604" s="139" t="s">
        <v>10819</v>
      </c>
      <c r="C4604" s="139" t="s">
        <v>33</v>
      </c>
      <c r="D4604" s="139" t="s">
        <v>10822</v>
      </c>
    </row>
    <row r="4605" spans="1:4" x14ac:dyDescent="0.25">
      <c r="A4605" s="139" t="s">
        <v>10823</v>
      </c>
      <c r="B4605" s="139" t="s">
        <v>10824</v>
      </c>
      <c r="C4605" s="139" t="s">
        <v>33</v>
      </c>
      <c r="D4605" s="139" t="s">
        <v>10825</v>
      </c>
    </row>
    <row r="4606" spans="1:4" x14ac:dyDescent="0.25">
      <c r="A4606" s="139" t="s">
        <v>10826</v>
      </c>
      <c r="B4606" s="139" t="s">
        <v>10824</v>
      </c>
      <c r="C4606" s="139" t="s">
        <v>33</v>
      </c>
      <c r="D4606" s="139" t="s">
        <v>10827</v>
      </c>
    </row>
    <row r="4607" spans="1:4" x14ac:dyDescent="0.25">
      <c r="A4607" s="139" t="s">
        <v>10828</v>
      </c>
      <c r="B4607" s="139" t="s">
        <v>10829</v>
      </c>
      <c r="C4607" s="139" t="s">
        <v>33</v>
      </c>
      <c r="D4607" s="139" t="s">
        <v>10830</v>
      </c>
    </row>
    <row r="4608" spans="1:4" x14ac:dyDescent="0.25">
      <c r="A4608" s="139" t="s">
        <v>10831</v>
      </c>
      <c r="B4608" s="139" t="s">
        <v>10829</v>
      </c>
      <c r="C4608" s="139" t="s">
        <v>33</v>
      </c>
      <c r="D4608" s="139" t="s">
        <v>10832</v>
      </c>
    </row>
    <row r="4609" spans="1:4" x14ac:dyDescent="0.25">
      <c r="A4609" s="139" t="s">
        <v>10833</v>
      </c>
      <c r="B4609" s="139" t="s">
        <v>10834</v>
      </c>
      <c r="C4609" s="139" t="s">
        <v>33</v>
      </c>
      <c r="D4609" s="139" t="s">
        <v>10835</v>
      </c>
    </row>
    <row r="4610" spans="1:4" x14ac:dyDescent="0.25">
      <c r="A4610" s="139" t="s">
        <v>10836</v>
      </c>
      <c r="B4610" s="139" t="s">
        <v>10834</v>
      </c>
      <c r="C4610" s="139" t="s">
        <v>33</v>
      </c>
      <c r="D4610" s="139" t="s">
        <v>10837</v>
      </c>
    </row>
    <row r="4611" spans="1:4" x14ac:dyDescent="0.25">
      <c r="A4611" s="139" t="s">
        <v>10838</v>
      </c>
      <c r="B4611" s="139" t="s">
        <v>10839</v>
      </c>
      <c r="C4611" s="139" t="s">
        <v>33</v>
      </c>
      <c r="D4611" s="139" t="s">
        <v>10840</v>
      </c>
    </row>
    <row r="4612" spans="1:4" x14ac:dyDescent="0.25">
      <c r="A4612" s="139" t="s">
        <v>10841</v>
      </c>
      <c r="B4612" s="139" t="s">
        <v>10839</v>
      </c>
      <c r="C4612" s="139" t="s">
        <v>33</v>
      </c>
      <c r="D4612" s="139" t="s">
        <v>10842</v>
      </c>
    </row>
    <row r="4613" spans="1:4" x14ac:dyDescent="0.25">
      <c r="A4613" s="139" t="s">
        <v>10843</v>
      </c>
      <c r="B4613" s="139" t="s">
        <v>10844</v>
      </c>
      <c r="C4613" s="139" t="s">
        <v>33</v>
      </c>
      <c r="D4613" s="139" t="s">
        <v>10845</v>
      </c>
    </row>
    <row r="4614" spans="1:4" x14ac:dyDescent="0.25">
      <c r="A4614" s="139" t="s">
        <v>10846</v>
      </c>
      <c r="B4614" s="139" t="s">
        <v>10844</v>
      </c>
      <c r="C4614" s="139" t="s">
        <v>33</v>
      </c>
      <c r="D4614" s="139" t="s">
        <v>10847</v>
      </c>
    </row>
    <row r="4615" spans="1:4" x14ac:dyDescent="0.25">
      <c r="A4615" s="139" t="s">
        <v>10848</v>
      </c>
      <c r="B4615" s="139" t="s">
        <v>895</v>
      </c>
      <c r="C4615" s="139" t="s">
        <v>33</v>
      </c>
      <c r="D4615" s="139" t="s">
        <v>10849</v>
      </c>
    </row>
    <row r="4616" spans="1:4" x14ac:dyDescent="0.25">
      <c r="A4616" s="139" t="s">
        <v>10850</v>
      </c>
      <c r="B4616" s="139" t="s">
        <v>895</v>
      </c>
      <c r="C4616" s="139" t="s">
        <v>33</v>
      </c>
      <c r="D4616" s="139" t="s">
        <v>10851</v>
      </c>
    </row>
    <row r="4617" spans="1:4" x14ac:dyDescent="0.25">
      <c r="A4617" s="139" t="s">
        <v>10852</v>
      </c>
      <c r="B4617" s="139" t="s">
        <v>10853</v>
      </c>
      <c r="C4617" s="139" t="s">
        <v>33</v>
      </c>
      <c r="D4617" s="139" t="s">
        <v>10854</v>
      </c>
    </row>
    <row r="4618" spans="1:4" x14ac:dyDescent="0.25">
      <c r="A4618" s="139" t="s">
        <v>10855</v>
      </c>
      <c r="B4618" s="139" t="s">
        <v>10853</v>
      </c>
      <c r="C4618" s="139" t="s">
        <v>33</v>
      </c>
      <c r="D4618" s="139" t="s">
        <v>10856</v>
      </c>
    </row>
    <row r="4619" spans="1:4" x14ac:dyDescent="0.25">
      <c r="A4619" s="139" t="s">
        <v>10857</v>
      </c>
      <c r="B4619" s="139" t="s">
        <v>10858</v>
      </c>
      <c r="C4619" s="139" t="s">
        <v>33</v>
      </c>
      <c r="D4619" s="139" t="s">
        <v>10859</v>
      </c>
    </row>
    <row r="4620" spans="1:4" x14ac:dyDescent="0.25">
      <c r="A4620" s="139" t="s">
        <v>10860</v>
      </c>
      <c r="B4620" s="139" t="s">
        <v>10858</v>
      </c>
      <c r="C4620" s="139" t="s">
        <v>33</v>
      </c>
      <c r="D4620" s="139" t="s">
        <v>10861</v>
      </c>
    </row>
    <row r="4621" spans="1:4" x14ac:dyDescent="0.25">
      <c r="A4621" s="139" t="s">
        <v>10862</v>
      </c>
      <c r="B4621" s="139" t="s">
        <v>10863</v>
      </c>
      <c r="C4621" s="139" t="s">
        <v>33</v>
      </c>
      <c r="D4621" s="139" t="s">
        <v>10864</v>
      </c>
    </row>
    <row r="4622" spans="1:4" x14ac:dyDescent="0.25">
      <c r="A4622" s="139" t="s">
        <v>10865</v>
      </c>
      <c r="B4622" s="139" t="s">
        <v>10863</v>
      </c>
      <c r="C4622" s="139" t="s">
        <v>33</v>
      </c>
      <c r="D4622" s="139" t="s">
        <v>10866</v>
      </c>
    </row>
    <row r="4623" spans="1:4" x14ac:dyDescent="0.25">
      <c r="A4623" s="139" t="s">
        <v>10867</v>
      </c>
      <c r="B4623" s="139" t="s">
        <v>10868</v>
      </c>
      <c r="C4623" s="139" t="s">
        <v>33</v>
      </c>
      <c r="D4623" s="139" t="s">
        <v>10869</v>
      </c>
    </row>
    <row r="4624" spans="1:4" x14ac:dyDescent="0.25">
      <c r="A4624" s="139" t="s">
        <v>10870</v>
      </c>
      <c r="B4624" s="139" t="s">
        <v>10868</v>
      </c>
      <c r="C4624" s="139" t="s">
        <v>33</v>
      </c>
      <c r="D4624" s="139" t="s">
        <v>10871</v>
      </c>
    </row>
    <row r="4625" spans="1:4" x14ac:dyDescent="0.25">
      <c r="A4625" s="139" t="s">
        <v>10872</v>
      </c>
      <c r="B4625" s="139" t="s">
        <v>10873</v>
      </c>
      <c r="C4625" s="139" t="s">
        <v>33</v>
      </c>
      <c r="D4625" s="139" t="s">
        <v>10874</v>
      </c>
    </row>
    <row r="4626" spans="1:4" x14ac:dyDescent="0.25">
      <c r="A4626" s="139" t="s">
        <v>10875</v>
      </c>
      <c r="B4626" s="139" t="s">
        <v>10873</v>
      </c>
      <c r="C4626" s="139" t="s">
        <v>33</v>
      </c>
      <c r="D4626" s="139" t="s">
        <v>10876</v>
      </c>
    </row>
    <row r="4627" spans="1:4" x14ac:dyDescent="0.25">
      <c r="A4627" s="139" t="s">
        <v>10877</v>
      </c>
      <c r="B4627" s="139" t="s">
        <v>10878</v>
      </c>
      <c r="C4627" s="139" t="s">
        <v>65</v>
      </c>
      <c r="D4627" s="139" t="s">
        <v>10879</v>
      </c>
    </row>
    <row r="4628" spans="1:4" x14ac:dyDescent="0.25">
      <c r="A4628" s="139" t="s">
        <v>10880</v>
      </c>
      <c r="B4628" s="139" t="s">
        <v>10878</v>
      </c>
      <c r="C4628" s="139" t="s">
        <v>65</v>
      </c>
      <c r="D4628" s="139" t="s">
        <v>10881</v>
      </c>
    </row>
    <row r="4629" spans="1:4" x14ac:dyDescent="0.25">
      <c r="A4629" s="139" t="s">
        <v>10882</v>
      </c>
      <c r="B4629" s="139" t="s">
        <v>10883</v>
      </c>
      <c r="C4629" s="139" t="s">
        <v>65</v>
      </c>
      <c r="D4629" s="139" t="s">
        <v>10884</v>
      </c>
    </row>
    <row r="4630" spans="1:4" x14ac:dyDescent="0.25">
      <c r="A4630" s="139" t="s">
        <v>10885</v>
      </c>
      <c r="B4630" s="139" t="s">
        <v>10883</v>
      </c>
      <c r="C4630" s="139" t="s">
        <v>65</v>
      </c>
      <c r="D4630" s="139" t="s">
        <v>10886</v>
      </c>
    </row>
    <row r="4631" spans="1:4" x14ac:dyDescent="0.25">
      <c r="A4631" s="139" t="s">
        <v>10887</v>
      </c>
      <c r="B4631" s="139" t="s">
        <v>6561</v>
      </c>
      <c r="C4631" s="139" t="s">
        <v>65</v>
      </c>
      <c r="D4631" s="139" t="s">
        <v>10888</v>
      </c>
    </row>
    <row r="4632" spans="1:4" x14ac:dyDescent="0.25">
      <c r="A4632" s="139" t="s">
        <v>10889</v>
      </c>
      <c r="B4632" s="139" t="s">
        <v>6561</v>
      </c>
      <c r="C4632" s="139" t="s">
        <v>65</v>
      </c>
      <c r="D4632" s="139" t="s">
        <v>10890</v>
      </c>
    </row>
    <row r="4633" spans="1:4" x14ac:dyDescent="0.25">
      <c r="A4633" s="139" t="s">
        <v>10891</v>
      </c>
      <c r="B4633" s="139" t="s">
        <v>1782</v>
      </c>
      <c r="C4633" s="139" t="s">
        <v>65</v>
      </c>
      <c r="D4633" s="139" t="s">
        <v>10892</v>
      </c>
    </row>
    <row r="4634" spans="1:4" x14ac:dyDescent="0.25">
      <c r="A4634" s="139" t="s">
        <v>10893</v>
      </c>
      <c r="B4634" s="139" t="s">
        <v>1782</v>
      </c>
      <c r="C4634" s="139" t="s">
        <v>65</v>
      </c>
      <c r="D4634" s="139" t="s">
        <v>10894</v>
      </c>
    </row>
    <row r="4635" spans="1:4" x14ac:dyDescent="0.25">
      <c r="A4635" s="139" t="s">
        <v>10895</v>
      </c>
      <c r="B4635" s="139" t="s">
        <v>10896</v>
      </c>
      <c r="C4635" s="139" t="s">
        <v>65</v>
      </c>
      <c r="D4635" s="139" t="s">
        <v>10897</v>
      </c>
    </row>
    <row r="4636" spans="1:4" x14ac:dyDescent="0.25">
      <c r="A4636" s="139" t="s">
        <v>10898</v>
      </c>
      <c r="B4636" s="139" t="s">
        <v>10896</v>
      </c>
      <c r="C4636" s="139" t="s">
        <v>65</v>
      </c>
      <c r="D4636" s="139" t="s">
        <v>10899</v>
      </c>
    </row>
    <row r="4637" spans="1:4" x14ac:dyDescent="0.25">
      <c r="A4637" s="139" t="s">
        <v>10900</v>
      </c>
      <c r="B4637" s="139" t="s">
        <v>10901</v>
      </c>
      <c r="C4637" s="139" t="s">
        <v>65</v>
      </c>
      <c r="D4637" s="139" t="s">
        <v>10902</v>
      </c>
    </row>
    <row r="4638" spans="1:4" x14ac:dyDescent="0.25">
      <c r="A4638" s="139" t="s">
        <v>10903</v>
      </c>
      <c r="B4638" s="139" t="s">
        <v>10901</v>
      </c>
      <c r="C4638" s="139" t="s">
        <v>65</v>
      </c>
      <c r="D4638" s="139" t="s">
        <v>10904</v>
      </c>
    </row>
    <row r="4639" spans="1:4" x14ac:dyDescent="0.25">
      <c r="A4639" s="139" t="s">
        <v>10905</v>
      </c>
      <c r="B4639" s="139" t="s">
        <v>10906</v>
      </c>
      <c r="C4639" s="139" t="s">
        <v>65</v>
      </c>
      <c r="D4639" s="139" t="s">
        <v>10907</v>
      </c>
    </row>
    <row r="4640" spans="1:4" x14ac:dyDescent="0.25">
      <c r="A4640" s="139" t="s">
        <v>10908</v>
      </c>
      <c r="B4640" s="139" t="s">
        <v>10906</v>
      </c>
      <c r="C4640" s="139" t="s">
        <v>65</v>
      </c>
      <c r="D4640" s="139" t="s">
        <v>10909</v>
      </c>
    </row>
    <row r="4641" spans="1:4" x14ac:dyDescent="0.25">
      <c r="A4641" s="139" t="s">
        <v>10910</v>
      </c>
      <c r="B4641" s="139" t="s">
        <v>10911</v>
      </c>
      <c r="C4641" s="139" t="s">
        <v>65</v>
      </c>
      <c r="D4641" s="139" t="s">
        <v>10912</v>
      </c>
    </row>
    <row r="4642" spans="1:4" x14ac:dyDescent="0.25">
      <c r="A4642" s="139" t="s">
        <v>10913</v>
      </c>
      <c r="B4642" s="139" t="s">
        <v>10911</v>
      </c>
      <c r="C4642" s="139" t="s">
        <v>65</v>
      </c>
      <c r="D4642" s="139" t="s">
        <v>10914</v>
      </c>
    </row>
    <row r="4643" spans="1:4" x14ac:dyDescent="0.25">
      <c r="A4643" s="139" t="s">
        <v>10915</v>
      </c>
      <c r="B4643" s="139" t="s">
        <v>561</v>
      </c>
      <c r="C4643" s="139" t="s">
        <v>65</v>
      </c>
      <c r="D4643" s="139" t="s">
        <v>10916</v>
      </c>
    </row>
    <row r="4644" spans="1:4" x14ac:dyDescent="0.25">
      <c r="A4644" s="139" t="s">
        <v>10917</v>
      </c>
      <c r="B4644" s="139" t="s">
        <v>561</v>
      </c>
      <c r="C4644" s="139" t="s">
        <v>65</v>
      </c>
      <c r="D4644" s="139" t="s">
        <v>10918</v>
      </c>
    </row>
    <row r="4645" spans="1:4" x14ac:dyDescent="0.25">
      <c r="A4645" s="139" t="s">
        <v>10919</v>
      </c>
      <c r="B4645" s="139" t="s">
        <v>1693</v>
      </c>
      <c r="C4645" s="139" t="s">
        <v>65</v>
      </c>
      <c r="D4645" s="139" t="s">
        <v>10920</v>
      </c>
    </row>
    <row r="4646" spans="1:4" x14ac:dyDescent="0.25">
      <c r="A4646" s="139" t="s">
        <v>10921</v>
      </c>
      <c r="B4646" s="139" t="s">
        <v>1693</v>
      </c>
      <c r="C4646" s="139" t="s">
        <v>65</v>
      </c>
      <c r="D4646" s="139" t="s">
        <v>10922</v>
      </c>
    </row>
    <row r="4647" spans="1:4" x14ac:dyDescent="0.25">
      <c r="A4647" s="139" t="s">
        <v>10923</v>
      </c>
      <c r="B4647" s="139" t="s">
        <v>1243</v>
      </c>
      <c r="C4647" s="139" t="s">
        <v>112</v>
      </c>
      <c r="D4647" s="139" t="s">
        <v>10924</v>
      </c>
    </row>
    <row r="4648" spans="1:4" x14ac:dyDescent="0.25">
      <c r="A4648" s="139" t="s">
        <v>10925</v>
      </c>
      <c r="B4648" s="139" t="s">
        <v>1243</v>
      </c>
      <c r="C4648" s="139" t="s">
        <v>112</v>
      </c>
      <c r="D4648" s="139" t="s">
        <v>10926</v>
      </c>
    </row>
    <row r="4649" spans="1:4" x14ac:dyDescent="0.25">
      <c r="A4649" s="139" t="s">
        <v>10927</v>
      </c>
      <c r="B4649" s="139" t="s">
        <v>10928</v>
      </c>
      <c r="C4649" s="139" t="s">
        <v>127</v>
      </c>
      <c r="D4649" s="139" t="s">
        <v>10929</v>
      </c>
    </row>
    <row r="4650" spans="1:4" x14ac:dyDescent="0.25">
      <c r="A4650" s="139" t="s">
        <v>10930</v>
      </c>
      <c r="B4650" s="139" t="s">
        <v>10928</v>
      </c>
      <c r="C4650" s="139" t="s">
        <v>127</v>
      </c>
      <c r="D4650" s="139" t="s">
        <v>10931</v>
      </c>
    </row>
    <row r="4651" spans="1:4" x14ac:dyDescent="0.25">
      <c r="A4651" s="139" t="s">
        <v>10932</v>
      </c>
      <c r="B4651" s="139" t="s">
        <v>10933</v>
      </c>
      <c r="C4651" s="139" t="s">
        <v>123</v>
      </c>
      <c r="D4651" s="139" t="s">
        <v>10934</v>
      </c>
    </row>
    <row r="4652" spans="1:4" x14ac:dyDescent="0.25">
      <c r="A4652" s="139" t="s">
        <v>10935</v>
      </c>
      <c r="B4652" s="139" t="s">
        <v>10933</v>
      </c>
      <c r="C4652" s="139" t="s">
        <v>123</v>
      </c>
      <c r="D4652" s="139" t="s">
        <v>10936</v>
      </c>
    </row>
    <row r="4653" spans="1:4" x14ac:dyDescent="0.25">
      <c r="A4653" s="139" t="s">
        <v>10937</v>
      </c>
      <c r="B4653" s="139" t="s">
        <v>10938</v>
      </c>
      <c r="C4653" s="139" t="s">
        <v>65</v>
      </c>
      <c r="D4653" s="139" t="s">
        <v>10939</v>
      </c>
    </row>
    <row r="4654" spans="1:4" x14ac:dyDescent="0.25">
      <c r="A4654" s="139" t="s">
        <v>10940</v>
      </c>
      <c r="B4654" s="139" t="s">
        <v>10938</v>
      </c>
      <c r="C4654" s="139" t="s">
        <v>65</v>
      </c>
      <c r="D4654" s="139" t="s">
        <v>10941</v>
      </c>
    </row>
    <row r="4655" spans="1:4" x14ac:dyDescent="0.25">
      <c r="A4655" s="139" t="s">
        <v>10942</v>
      </c>
      <c r="B4655" s="139" t="s">
        <v>3255</v>
      </c>
      <c r="C4655" s="139" t="s">
        <v>1683</v>
      </c>
      <c r="D4655" s="139" t="s">
        <v>10943</v>
      </c>
    </row>
    <row r="4656" spans="1:4" x14ac:dyDescent="0.25">
      <c r="A4656" s="139" t="s">
        <v>10944</v>
      </c>
      <c r="B4656" s="139" t="s">
        <v>3255</v>
      </c>
      <c r="C4656" s="139" t="s">
        <v>1683</v>
      </c>
      <c r="D4656" s="139" t="s">
        <v>10945</v>
      </c>
    </row>
    <row r="4657" spans="1:4" x14ac:dyDescent="0.25">
      <c r="A4657" s="139" t="s">
        <v>10946</v>
      </c>
      <c r="B4657" s="139" t="s">
        <v>10947</v>
      </c>
      <c r="C4657" s="139" t="s">
        <v>1683</v>
      </c>
      <c r="D4657" s="139" t="s">
        <v>10948</v>
      </c>
    </row>
    <row r="4658" spans="1:4" x14ac:dyDescent="0.25">
      <c r="A4658" s="139" t="s">
        <v>10949</v>
      </c>
      <c r="B4658" s="139" t="s">
        <v>10947</v>
      </c>
      <c r="C4658" s="139" t="s">
        <v>1683</v>
      </c>
      <c r="D4658" s="139" t="s">
        <v>10950</v>
      </c>
    </row>
    <row r="4659" spans="1:4" x14ac:dyDescent="0.25">
      <c r="A4659" s="139" t="s">
        <v>10951</v>
      </c>
      <c r="B4659" s="139" t="s">
        <v>10952</v>
      </c>
      <c r="C4659" s="139" t="s">
        <v>1683</v>
      </c>
      <c r="D4659" s="139" t="s">
        <v>10953</v>
      </c>
    </row>
    <row r="4660" spans="1:4" x14ac:dyDescent="0.25">
      <c r="A4660" s="139" t="s">
        <v>10954</v>
      </c>
      <c r="B4660" s="139" t="s">
        <v>10952</v>
      </c>
      <c r="C4660" s="139" t="s">
        <v>1683</v>
      </c>
      <c r="D4660" s="139" t="s">
        <v>10955</v>
      </c>
    </row>
    <row r="4661" spans="1:4" x14ac:dyDescent="0.25">
      <c r="A4661" s="139" t="s">
        <v>10956</v>
      </c>
      <c r="B4661" s="139" t="s">
        <v>3064</v>
      </c>
      <c r="C4661" s="139" t="s">
        <v>1683</v>
      </c>
      <c r="D4661" s="139" t="s">
        <v>10957</v>
      </c>
    </row>
    <row r="4662" spans="1:4" x14ac:dyDescent="0.25">
      <c r="A4662" s="139" t="s">
        <v>10958</v>
      </c>
      <c r="B4662" s="139" t="s">
        <v>3064</v>
      </c>
      <c r="C4662" s="139" t="s">
        <v>1683</v>
      </c>
      <c r="D4662" s="139" t="s">
        <v>10959</v>
      </c>
    </row>
    <row r="4663" spans="1:4" x14ac:dyDescent="0.25">
      <c r="A4663" s="139" t="s">
        <v>10960</v>
      </c>
      <c r="B4663" s="139" t="s">
        <v>3069</v>
      </c>
      <c r="C4663" s="139" t="s">
        <v>1683</v>
      </c>
      <c r="D4663" s="139" t="s">
        <v>10961</v>
      </c>
    </row>
    <row r="4664" spans="1:4" x14ac:dyDescent="0.25">
      <c r="A4664" s="139" t="s">
        <v>10962</v>
      </c>
      <c r="B4664" s="139" t="s">
        <v>3069</v>
      </c>
      <c r="C4664" s="139" t="s">
        <v>1683</v>
      </c>
      <c r="D4664" s="139" t="s">
        <v>10963</v>
      </c>
    </row>
    <row r="4665" spans="1:4" x14ac:dyDescent="0.25">
      <c r="A4665" s="139" t="s">
        <v>10964</v>
      </c>
      <c r="B4665" s="139" t="s">
        <v>2974</v>
      </c>
      <c r="C4665" s="139" t="s">
        <v>1683</v>
      </c>
      <c r="D4665" s="139" t="s">
        <v>10965</v>
      </c>
    </row>
    <row r="4666" spans="1:4" x14ac:dyDescent="0.25">
      <c r="A4666" s="139" t="s">
        <v>10966</v>
      </c>
      <c r="B4666" s="139" t="s">
        <v>2974</v>
      </c>
      <c r="C4666" s="139" t="s">
        <v>1683</v>
      </c>
      <c r="D4666" s="139" t="s">
        <v>10967</v>
      </c>
    </row>
    <row r="4667" spans="1:4" x14ac:dyDescent="0.25">
      <c r="A4667" s="139" t="s">
        <v>10968</v>
      </c>
      <c r="B4667" s="139" t="s">
        <v>10969</v>
      </c>
      <c r="C4667" s="139" t="s">
        <v>44</v>
      </c>
      <c r="D4667" s="139" t="s">
        <v>10970</v>
      </c>
    </row>
    <row r="4668" spans="1:4" x14ac:dyDescent="0.25">
      <c r="A4668" s="139" t="s">
        <v>10971</v>
      </c>
      <c r="B4668" s="139" t="s">
        <v>10969</v>
      </c>
      <c r="C4668" s="139" t="s">
        <v>44</v>
      </c>
      <c r="D4668" s="139" t="s">
        <v>10972</v>
      </c>
    </row>
    <row r="4669" spans="1:4" x14ac:dyDescent="0.25">
      <c r="A4669" s="139" t="s">
        <v>10973</v>
      </c>
      <c r="B4669" s="139" t="s">
        <v>10974</v>
      </c>
      <c r="C4669" s="139" t="s">
        <v>44</v>
      </c>
      <c r="D4669" s="139" t="s">
        <v>10975</v>
      </c>
    </row>
    <row r="4670" spans="1:4" x14ac:dyDescent="0.25">
      <c r="A4670" s="139" t="s">
        <v>10976</v>
      </c>
      <c r="B4670" s="139" t="s">
        <v>10974</v>
      </c>
      <c r="C4670" s="139" t="s">
        <v>44</v>
      </c>
      <c r="D4670" s="139" t="s">
        <v>10977</v>
      </c>
    </row>
    <row r="4671" spans="1:4" x14ac:dyDescent="0.25">
      <c r="A4671" s="139" t="s">
        <v>10978</v>
      </c>
      <c r="B4671" s="139" t="s">
        <v>10979</v>
      </c>
      <c r="C4671" s="139" t="s">
        <v>44</v>
      </c>
      <c r="D4671" s="139" t="s">
        <v>10980</v>
      </c>
    </row>
    <row r="4672" spans="1:4" x14ac:dyDescent="0.25">
      <c r="A4672" s="139" t="s">
        <v>10981</v>
      </c>
      <c r="B4672" s="139" t="s">
        <v>10979</v>
      </c>
      <c r="C4672" s="139" t="s">
        <v>44</v>
      </c>
      <c r="D4672" s="139" t="s">
        <v>10982</v>
      </c>
    </row>
    <row r="4673" spans="1:4" x14ac:dyDescent="0.25">
      <c r="A4673" s="139" t="s">
        <v>10983</v>
      </c>
      <c r="B4673" s="139" t="s">
        <v>10984</v>
      </c>
      <c r="C4673" s="139" t="s">
        <v>44</v>
      </c>
      <c r="D4673" s="139" t="s">
        <v>10985</v>
      </c>
    </row>
    <row r="4674" spans="1:4" x14ac:dyDescent="0.25">
      <c r="A4674" s="139" t="s">
        <v>10986</v>
      </c>
      <c r="B4674" s="139" t="s">
        <v>10984</v>
      </c>
      <c r="C4674" s="139" t="s">
        <v>44</v>
      </c>
      <c r="D4674" s="139" t="s">
        <v>10987</v>
      </c>
    </row>
    <row r="4675" spans="1:4" x14ac:dyDescent="0.25">
      <c r="A4675" s="139" t="s">
        <v>10988</v>
      </c>
      <c r="B4675" s="139" t="s">
        <v>10989</v>
      </c>
      <c r="C4675" s="139" t="s">
        <v>44</v>
      </c>
      <c r="D4675" s="139" t="s">
        <v>10990</v>
      </c>
    </row>
    <row r="4676" spans="1:4" x14ac:dyDescent="0.25">
      <c r="A4676" s="139" t="s">
        <v>10991</v>
      </c>
      <c r="B4676" s="139" t="s">
        <v>10989</v>
      </c>
      <c r="C4676" s="139" t="s">
        <v>44</v>
      </c>
      <c r="D4676" s="139" t="s">
        <v>10992</v>
      </c>
    </row>
    <row r="4677" spans="1:4" x14ac:dyDescent="0.25">
      <c r="A4677" s="139" t="s">
        <v>10993</v>
      </c>
      <c r="B4677" s="139" t="s">
        <v>10994</v>
      </c>
      <c r="C4677" s="139" t="s">
        <v>44</v>
      </c>
      <c r="D4677" s="139" t="s">
        <v>10995</v>
      </c>
    </row>
    <row r="4678" spans="1:4" x14ac:dyDescent="0.25">
      <c r="A4678" s="139" t="s">
        <v>10996</v>
      </c>
      <c r="B4678" s="139" t="s">
        <v>10994</v>
      </c>
      <c r="C4678" s="139" t="s">
        <v>44</v>
      </c>
      <c r="D4678" s="139" t="s">
        <v>10997</v>
      </c>
    </row>
    <row r="4679" spans="1:4" x14ac:dyDescent="0.25">
      <c r="A4679" s="139" t="s">
        <v>10998</v>
      </c>
      <c r="B4679" s="139" t="s">
        <v>10999</v>
      </c>
      <c r="C4679" s="139" t="s">
        <v>44</v>
      </c>
      <c r="D4679" s="139" t="s">
        <v>11000</v>
      </c>
    </row>
    <row r="4680" spans="1:4" x14ac:dyDescent="0.25">
      <c r="A4680" s="139" t="s">
        <v>11001</v>
      </c>
      <c r="B4680" s="139" t="s">
        <v>10999</v>
      </c>
      <c r="C4680" s="139" t="s">
        <v>44</v>
      </c>
      <c r="D4680" s="139" t="s">
        <v>11002</v>
      </c>
    </row>
    <row r="4681" spans="1:4" x14ac:dyDescent="0.25">
      <c r="A4681" s="139" t="s">
        <v>11003</v>
      </c>
      <c r="B4681" s="139" t="s">
        <v>11004</v>
      </c>
      <c r="C4681" s="139" t="s">
        <v>44</v>
      </c>
      <c r="D4681" s="139" t="s">
        <v>11005</v>
      </c>
    </row>
    <row r="4682" spans="1:4" x14ac:dyDescent="0.25">
      <c r="A4682" s="139" t="s">
        <v>11006</v>
      </c>
      <c r="B4682" s="139" t="s">
        <v>11004</v>
      </c>
      <c r="C4682" s="139" t="s">
        <v>44</v>
      </c>
      <c r="D4682" s="139" t="s">
        <v>11007</v>
      </c>
    </row>
    <row r="4683" spans="1:4" x14ac:dyDescent="0.25">
      <c r="A4683" s="139" t="s">
        <v>11008</v>
      </c>
      <c r="B4683" s="139" t="s">
        <v>11009</v>
      </c>
      <c r="C4683" s="139" t="s">
        <v>44</v>
      </c>
      <c r="D4683" s="139" t="s">
        <v>11010</v>
      </c>
    </row>
    <row r="4684" spans="1:4" x14ac:dyDescent="0.25">
      <c r="A4684" s="139" t="s">
        <v>11011</v>
      </c>
      <c r="B4684" s="139" t="s">
        <v>11009</v>
      </c>
      <c r="C4684" s="139" t="s">
        <v>44</v>
      </c>
      <c r="D4684" s="139" t="s">
        <v>11012</v>
      </c>
    </row>
    <row r="4685" spans="1:4" x14ac:dyDescent="0.25">
      <c r="A4685" s="139" t="s">
        <v>11013</v>
      </c>
      <c r="B4685" s="139" t="s">
        <v>11014</v>
      </c>
      <c r="C4685" s="139" t="s">
        <v>44</v>
      </c>
      <c r="D4685" s="139" t="s">
        <v>11015</v>
      </c>
    </row>
    <row r="4686" spans="1:4" x14ac:dyDescent="0.25">
      <c r="A4686" s="139" t="s">
        <v>11016</v>
      </c>
      <c r="B4686" s="139" t="s">
        <v>11014</v>
      </c>
      <c r="C4686" s="139" t="s">
        <v>44</v>
      </c>
      <c r="D4686" s="139" t="s">
        <v>11017</v>
      </c>
    </row>
    <row r="4687" spans="1:4" x14ac:dyDescent="0.25">
      <c r="A4687" s="139" t="s">
        <v>11018</v>
      </c>
      <c r="B4687" s="139" t="s">
        <v>11019</v>
      </c>
      <c r="C4687" s="139" t="s">
        <v>44</v>
      </c>
      <c r="D4687" s="139" t="s">
        <v>11020</v>
      </c>
    </row>
    <row r="4688" spans="1:4" x14ac:dyDescent="0.25">
      <c r="A4688" s="139" t="s">
        <v>11021</v>
      </c>
      <c r="B4688" s="139" t="s">
        <v>11019</v>
      </c>
      <c r="C4688" s="139" t="s">
        <v>44</v>
      </c>
      <c r="D4688" s="139" t="s">
        <v>11022</v>
      </c>
    </row>
    <row r="4689" spans="1:4" x14ac:dyDescent="0.25">
      <c r="A4689" s="139" t="s">
        <v>11023</v>
      </c>
      <c r="B4689" s="139" t="s">
        <v>11024</v>
      </c>
      <c r="C4689" s="139" t="s">
        <v>44</v>
      </c>
      <c r="D4689" s="139" t="s">
        <v>11025</v>
      </c>
    </row>
    <row r="4690" spans="1:4" x14ac:dyDescent="0.25">
      <c r="A4690" s="139" t="s">
        <v>11026</v>
      </c>
      <c r="B4690" s="139" t="s">
        <v>11024</v>
      </c>
      <c r="C4690" s="139" t="s">
        <v>44</v>
      </c>
      <c r="D4690" s="139" t="s">
        <v>11027</v>
      </c>
    </row>
    <row r="4691" spans="1:4" x14ac:dyDescent="0.25">
      <c r="A4691" s="139" t="s">
        <v>11028</v>
      </c>
      <c r="B4691" s="139" t="s">
        <v>11029</v>
      </c>
      <c r="C4691" s="139" t="s">
        <v>44</v>
      </c>
      <c r="D4691" s="139" t="s">
        <v>11030</v>
      </c>
    </row>
    <row r="4692" spans="1:4" x14ac:dyDescent="0.25">
      <c r="A4692" s="139" t="s">
        <v>11031</v>
      </c>
      <c r="B4692" s="139" t="s">
        <v>11029</v>
      </c>
      <c r="C4692" s="139" t="s">
        <v>44</v>
      </c>
      <c r="D4692" s="139" t="s">
        <v>11032</v>
      </c>
    </row>
    <row r="4693" spans="1:4" x14ac:dyDescent="0.25">
      <c r="A4693" s="139" t="s">
        <v>11033</v>
      </c>
      <c r="B4693" s="139" t="s">
        <v>11034</v>
      </c>
      <c r="C4693" s="139" t="s">
        <v>44</v>
      </c>
      <c r="D4693" s="139" t="s">
        <v>11035</v>
      </c>
    </row>
    <row r="4694" spans="1:4" x14ac:dyDescent="0.25">
      <c r="A4694" s="139" t="s">
        <v>11036</v>
      </c>
      <c r="B4694" s="139" t="s">
        <v>11034</v>
      </c>
      <c r="C4694" s="139" t="s">
        <v>44</v>
      </c>
      <c r="D4694" s="139" t="s">
        <v>11037</v>
      </c>
    </row>
    <row r="4695" spans="1:4" x14ac:dyDescent="0.25">
      <c r="A4695" s="139" t="s">
        <v>11038</v>
      </c>
      <c r="B4695" s="139" t="s">
        <v>11039</v>
      </c>
      <c r="C4695" s="139" t="s">
        <v>44</v>
      </c>
      <c r="D4695" s="139" t="s">
        <v>11040</v>
      </c>
    </row>
    <row r="4696" spans="1:4" x14ac:dyDescent="0.25">
      <c r="A4696" s="139" t="s">
        <v>11041</v>
      </c>
      <c r="B4696" s="139" t="s">
        <v>11039</v>
      </c>
      <c r="C4696" s="139" t="s">
        <v>44</v>
      </c>
      <c r="D4696" s="139" t="s">
        <v>11042</v>
      </c>
    </row>
    <row r="4697" spans="1:4" x14ac:dyDescent="0.25">
      <c r="A4697" s="139" t="s">
        <v>11043</v>
      </c>
      <c r="B4697" s="139" t="s">
        <v>11044</v>
      </c>
      <c r="C4697" s="139" t="s">
        <v>5475</v>
      </c>
      <c r="D4697" s="139" t="s">
        <v>11045</v>
      </c>
    </row>
    <row r="4698" spans="1:4" x14ac:dyDescent="0.25">
      <c r="A4698" s="139" t="s">
        <v>11046</v>
      </c>
      <c r="B4698" s="139" t="s">
        <v>11044</v>
      </c>
      <c r="C4698" s="139" t="s">
        <v>5475</v>
      </c>
      <c r="D4698" s="139" t="s">
        <v>11047</v>
      </c>
    </row>
    <row r="4699" spans="1:4" x14ac:dyDescent="0.25">
      <c r="A4699" s="139" t="s">
        <v>11048</v>
      </c>
      <c r="B4699" s="139" t="s">
        <v>11049</v>
      </c>
      <c r="C4699" s="139" t="s">
        <v>127</v>
      </c>
      <c r="D4699" s="139" t="s">
        <v>11050</v>
      </c>
    </row>
    <row r="4700" spans="1:4" x14ac:dyDescent="0.25">
      <c r="A4700" s="139" t="s">
        <v>11051</v>
      </c>
      <c r="B4700" s="139" t="s">
        <v>11049</v>
      </c>
      <c r="C4700" s="139" t="s">
        <v>1820</v>
      </c>
      <c r="D4700" s="139" t="s">
        <v>11052</v>
      </c>
    </row>
    <row r="4701" spans="1:4" x14ac:dyDescent="0.25">
      <c r="A4701" s="139" t="s">
        <v>11053</v>
      </c>
      <c r="B4701" s="139" t="s">
        <v>11054</v>
      </c>
      <c r="C4701" s="139" t="s">
        <v>1820</v>
      </c>
      <c r="D4701" s="139" t="s">
        <v>11055</v>
      </c>
    </row>
    <row r="4702" spans="1:4" x14ac:dyDescent="0.25">
      <c r="A4702" s="139" t="s">
        <v>11056</v>
      </c>
      <c r="B4702" s="139" t="s">
        <v>11054</v>
      </c>
      <c r="C4702" s="139" t="s">
        <v>1820</v>
      </c>
      <c r="D4702" s="139" t="s">
        <v>11057</v>
      </c>
    </row>
    <row r="4703" spans="1:4" x14ac:dyDescent="0.25">
      <c r="A4703" s="139" t="s">
        <v>11058</v>
      </c>
      <c r="B4703" s="139" t="s">
        <v>11059</v>
      </c>
      <c r="C4703" s="139" t="s">
        <v>1820</v>
      </c>
      <c r="D4703" s="139" t="s">
        <v>11060</v>
      </c>
    </row>
    <row r="4704" spans="1:4" x14ac:dyDescent="0.25">
      <c r="A4704" s="139" t="s">
        <v>11061</v>
      </c>
      <c r="B4704" s="139" t="s">
        <v>11059</v>
      </c>
      <c r="C4704" s="139" t="s">
        <v>1820</v>
      </c>
      <c r="D4704" s="139" t="s">
        <v>11062</v>
      </c>
    </row>
    <row r="4705" spans="1:4" x14ac:dyDescent="0.25">
      <c r="A4705" s="139" t="s">
        <v>11063</v>
      </c>
      <c r="B4705" s="139" t="s">
        <v>11064</v>
      </c>
      <c r="C4705" s="139" t="s">
        <v>2884</v>
      </c>
      <c r="D4705" s="139" t="s">
        <v>11065</v>
      </c>
    </row>
    <row r="4706" spans="1:4" x14ac:dyDescent="0.25">
      <c r="A4706" s="139" t="s">
        <v>11066</v>
      </c>
      <c r="B4706" s="139" t="s">
        <v>11064</v>
      </c>
      <c r="C4706" s="139" t="s">
        <v>2884</v>
      </c>
      <c r="D4706" s="139" t="s">
        <v>11067</v>
      </c>
    </row>
    <row r="4707" spans="1:4" x14ac:dyDescent="0.25">
      <c r="A4707" s="139" t="s">
        <v>11068</v>
      </c>
      <c r="B4707" s="139" t="s">
        <v>11069</v>
      </c>
      <c r="C4707" s="139" t="s">
        <v>375</v>
      </c>
      <c r="D4707" s="139" t="s">
        <v>11070</v>
      </c>
    </row>
    <row r="4708" spans="1:4" x14ac:dyDescent="0.25">
      <c r="A4708" s="139" t="s">
        <v>11071</v>
      </c>
      <c r="B4708" s="139" t="s">
        <v>11069</v>
      </c>
      <c r="C4708" s="139" t="s">
        <v>375</v>
      </c>
      <c r="D4708" s="139" t="s">
        <v>11072</v>
      </c>
    </row>
    <row r="4709" spans="1:4" x14ac:dyDescent="0.25">
      <c r="A4709" s="139" t="s">
        <v>11073</v>
      </c>
      <c r="B4709" s="139" t="s">
        <v>11074</v>
      </c>
      <c r="C4709" s="139" t="s">
        <v>112</v>
      </c>
      <c r="D4709" s="139" t="s">
        <v>11075</v>
      </c>
    </row>
    <row r="4710" spans="1:4" x14ac:dyDescent="0.25">
      <c r="A4710" s="139" t="s">
        <v>11076</v>
      </c>
      <c r="B4710" s="139" t="s">
        <v>11074</v>
      </c>
      <c r="C4710" s="139" t="s">
        <v>112</v>
      </c>
      <c r="D4710" s="139" t="s">
        <v>11077</v>
      </c>
    </row>
    <row r="4711" spans="1:4" x14ac:dyDescent="0.25">
      <c r="A4711" s="139" t="s">
        <v>11078</v>
      </c>
      <c r="B4711" s="139" t="s">
        <v>11079</v>
      </c>
      <c r="C4711" s="139" t="s">
        <v>375</v>
      </c>
      <c r="D4711" s="139" t="s">
        <v>11080</v>
      </c>
    </row>
    <row r="4712" spans="1:4" x14ac:dyDescent="0.25">
      <c r="A4712" s="139" t="s">
        <v>11081</v>
      </c>
      <c r="B4712" s="139" t="s">
        <v>11079</v>
      </c>
      <c r="C4712" s="139" t="s">
        <v>375</v>
      </c>
      <c r="D4712" s="139" t="s">
        <v>11082</v>
      </c>
    </row>
    <row r="4713" spans="1:4" x14ac:dyDescent="0.25">
      <c r="A4713" s="139" t="s">
        <v>11083</v>
      </c>
      <c r="B4713" s="139" t="s">
        <v>11084</v>
      </c>
      <c r="C4713" s="139" t="s">
        <v>375</v>
      </c>
      <c r="D4713" s="139" t="s">
        <v>11085</v>
      </c>
    </row>
    <row r="4714" spans="1:4" x14ac:dyDescent="0.25">
      <c r="A4714" s="139" t="s">
        <v>11086</v>
      </c>
      <c r="B4714" s="139" t="s">
        <v>11084</v>
      </c>
      <c r="C4714" s="139" t="s">
        <v>375</v>
      </c>
      <c r="D4714" s="139" t="s">
        <v>11087</v>
      </c>
    </row>
    <row r="4715" spans="1:4" x14ac:dyDescent="0.25">
      <c r="A4715" s="139" t="s">
        <v>11088</v>
      </c>
      <c r="B4715" s="139" t="s">
        <v>11089</v>
      </c>
      <c r="C4715" s="139" t="s">
        <v>375</v>
      </c>
      <c r="D4715" s="139" t="s">
        <v>11090</v>
      </c>
    </row>
    <row r="4716" spans="1:4" x14ac:dyDescent="0.25">
      <c r="A4716" s="139" t="s">
        <v>11091</v>
      </c>
      <c r="B4716" s="139" t="s">
        <v>11089</v>
      </c>
      <c r="C4716" s="139" t="s">
        <v>375</v>
      </c>
      <c r="D4716" s="139" t="s">
        <v>11092</v>
      </c>
    </row>
    <row r="4717" spans="1:4" x14ac:dyDescent="0.25">
      <c r="A4717" s="139" t="s">
        <v>11093</v>
      </c>
      <c r="B4717" s="139" t="s">
        <v>11094</v>
      </c>
      <c r="C4717" s="139" t="s">
        <v>375</v>
      </c>
      <c r="D4717" s="139" t="s">
        <v>11095</v>
      </c>
    </row>
    <row r="4718" spans="1:4" x14ac:dyDescent="0.25">
      <c r="A4718" s="139" t="s">
        <v>11096</v>
      </c>
      <c r="B4718" s="139" t="s">
        <v>11094</v>
      </c>
      <c r="C4718" s="139" t="s">
        <v>375</v>
      </c>
      <c r="D4718" s="139" t="s">
        <v>11097</v>
      </c>
    </row>
    <row r="4719" spans="1:4" x14ac:dyDescent="0.25">
      <c r="A4719" s="139" t="s">
        <v>11098</v>
      </c>
      <c r="B4719" s="139" t="s">
        <v>11099</v>
      </c>
      <c r="C4719" s="139" t="s">
        <v>375</v>
      </c>
      <c r="D4719" s="139" t="s">
        <v>11100</v>
      </c>
    </row>
    <row r="4720" spans="1:4" x14ac:dyDescent="0.25">
      <c r="A4720" s="139" t="s">
        <v>11101</v>
      </c>
      <c r="B4720" s="139" t="s">
        <v>11099</v>
      </c>
      <c r="C4720" s="139" t="s">
        <v>375</v>
      </c>
      <c r="D4720" s="139" t="s">
        <v>11102</v>
      </c>
    </row>
    <row r="4721" spans="1:4" x14ac:dyDescent="0.25">
      <c r="A4721" s="139" t="s">
        <v>11103</v>
      </c>
      <c r="B4721" s="139" t="s">
        <v>11104</v>
      </c>
      <c r="C4721" s="139" t="s">
        <v>375</v>
      </c>
      <c r="D4721" s="139" t="s">
        <v>11105</v>
      </c>
    </row>
    <row r="4722" spans="1:4" x14ac:dyDescent="0.25">
      <c r="A4722" s="139" t="s">
        <v>11106</v>
      </c>
      <c r="B4722" s="139" t="s">
        <v>11104</v>
      </c>
      <c r="C4722" s="139" t="s">
        <v>375</v>
      </c>
      <c r="D4722" s="139" t="s">
        <v>11107</v>
      </c>
    </row>
    <row r="4723" spans="1:4" x14ac:dyDescent="0.25">
      <c r="A4723" s="139" t="s">
        <v>11108</v>
      </c>
      <c r="B4723" s="139" t="s">
        <v>11109</v>
      </c>
      <c r="C4723" s="139" t="s">
        <v>375</v>
      </c>
      <c r="D4723" s="139" t="s">
        <v>11110</v>
      </c>
    </row>
    <row r="4724" spans="1:4" x14ac:dyDescent="0.25">
      <c r="A4724" s="139" t="s">
        <v>11111</v>
      </c>
      <c r="B4724" s="139" t="s">
        <v>11109</v>
      </c>
      <c r="C4724" s="139" t="s">
        <v>375</v>
      </c>
      <c r="D4724" s="139" t="s">
        <v>11112</v>
      </c>
    </row>
    <row r="4725" spans="1:4" x14ac:dyDescent="0.25">
      <c r="A4725" s="139" t="s">
        <v>11113</v>
      </c>
      <c r="B4725" s="139" t="s">
        <v>11114</v>
      </c>
      <c r="C4725" s="139" t="s">
        <v>123</v>
      </c>
      <c r="D4725" s="139" t="s">
        <v>11115</v>
      </c>
    </row>
    <row r="4726" spans="1:4" x14ac:dyDescent="0.25">
      <c r="A4726" s="139" t="s">
        <v>11116</v>
      </c>
      <c r="B4726" s="139" t="s">
        <v>11114</v>
      </c>
      <c r="C4726" s="139" t="s">
        <v>123</v>
      </c>
      <c r="D4726" s="139" t="s">
        <v>11117</v>
      </c>
    </row>
    <row r="4727" spans="1:4" x14ac:dyDescent="0.25">
      <c r="A4727" s="139" t="s">
        <v>11118</v>
      </c>
      <c r="B4727" s="139" t="s">
        <v>11119</v>
      </c>
      <c r="C4727" s="139" t="s">
        <v>123</v>
      </c>
      <c r="D4727" s="139" t="s">
        <v>11120</v>
      </c>
    </row>
    <row r="4728" spans="1:4" x14ac:dyDescent="0.25">
      <c r="A4728" s="139" t="s">
        <v>11121</v>
      </c>
      <c r="B4728" s="139" t="s">
        <v>11119</v>
      </c>
      <c r="C4728" s="139" t="s">
        <v>123</v>
      </c>
      <c r="D4728" s="139" t="s">
        <v>11122</v>
      </c>
    </row>
    <row r="4729" spans="1:4" x14ac:dyDescent="0.25">
      <c r="A4729" s="139" t="s">
        <v>11123</v>
      </c>
      <c r="B4729" s="139" t="s">
        <v>11124</v>
      </c>
      <c r="C4729" s="139" t="s">
        <v>123</v>
      </c>
      <c r="D4729" s="139" t="s">
        <v>11125</v>
      </c>
    </row>
    <row r="4730" spans="1:4" x14ac:dyDescent="0.25">
      <c r="A4730" s="139" t="s">
        <v>11126</v>
      </c>
      <c r="B4730" s="139" t="s">
        <v>11124</v>
      </c>
      <c r="C4730" s="139" t="s">
        <v>123</v>
      </c>
      <c r="D4730" s="139" t="s">
        <v>11127</v>
      </c>
    </row>
    <row r="4731" spans="1:4" x14ac:dyDescent="0.25">
      <c r="A4731" s="139" t="s">
        <v>11128</v>
      </c>
      <c r="B4731" s="139" t="s">
        <v>11129</v>
      </c>
      <c r="C4731" s="139" t="s">
        <v>112</v>
      </c>
      <c r="D4731" s="139" t="s">
        <v>11130</v>
      </c>
    </row>
    <row r="4732" spans="1:4" x14ac:dyDescent="0.25">
      <c r="A4732" s="139" t="s">
        <v>11131</v>
      </c>
      <c r="B4732" s="139" t="s">
        <v>11129</v>
      </c>
      <c r="C4732" s="139" t="s">
        <v>112</v>
      </c>
      <c r="D4732" s="139" t="s">
        <v>11132</v>
      </c>
    </row>
    <row r="4733" spans="1:4" x14ac:dyDescent="0.25">
      <c r="A4733" s="139" t="s">
        <v>11133</v>
      </c>
      <c r="B4733" s="139" t="s">
        <v>11134</v>
      </c>
      <c r="C4733" s="139" t="s">
        <v>112</v>
      </c>
      <c r="D4733" s="139" t="s">
        <v>11135</v>
      </c>
    </row>
    <row r="4734" spans="1:4" x14ac:dyDescent="0.25">
      <c r="A4734" s="139" t="s">
        <v>11136</v>
      </c>
      <c r="B4734" s="139" t="s">
        <v>11134</v>
      </c>
      <c r="C4734" s="139" t="s">
        <v>112</v>
      </c>
      <c r="D4734" s="139" t="s">
        <v>11137</v>
      </c>
    </row>
    <row r="4735" spans="1:4" x14ac:dyDescent="0.25">
      <c r="A4735" s="139" t="s">
        <v>11138</v>
      </c>
      <c r="B4735" s="139" t="s">
        <v>11139</v>
      </c>
      <c r="C4735" s="139" t="s">
        <v>112</v>
      </c>
      <c r="D4735" s="139" t="s">
        <v>11140</v>
      </c>
    </row>
    <row r="4736" spans="1:4" x14ac:dyDescent="0.25">
      <c r="A4736" s="139" t="s">
        <v>11141</v>
      </c>
      <c r="B4736" s="139" t="s">
        <v>11139</v>
      </c>
      <c r="C4736" s="139" t="s">
        <v>112</v>
      </c>
      <c r="D4736" s="139" t="s">
        <v>11142</v>
      </c>
    </row>
    <row r="4737" spans="1:4" x14ac:dyDescent="0.25">
      <c r="A4737" s="139" t="s">
        <v>11143</v>
      </c>
      <c r="B4737" s="139" t="s">
        <v>11144</v>
      </c>
      <c r="C4737" s="139" t="s">
        <v>123</v>
      </c>
      <c r="D4737" s="139" t="s">
        <v>11145</v>
      </c>
    </row>
    <row r="4738" spans="1:4" x14ac:dyDescent="0.25">
      <c r="A4738" s="139" t="s">
        <v>11143</v>
      </c>
      <c r="B4738" s="139" t="s">
        <v>11144</v>
      </c>
      <c r="C4738" s="139" t="s">
        <v>123</v>
      </c>
      <c r="D4738" s="139" t="s">
        <v>11146</v>
      </c>
    </row>
    <row r="4739" spans="1:4" x14ac:dyDescent="0.25">
      <c r="A4739" s="139" t="s">
        <v>11147</v>
      </c>
      <c r="B4739" s="139" t="s">
        <v>11148</v>
      </c>
      <c r="C4739" s="139" t="s">
        <v>535</v>
      </c>
      <c r="D4739" s="139" t="s">
        <v>11149</v>
      </c>
    </row>
    <row r="4740" spans="1:4" x14ac:dyDescent="0.25">
      <c r="A4740" s="139" t="s">
        <v>11150</v>
      </c>
      <c r="B4740" s="139" t="s">
        <v>11148</v>
      </c>
      <c r="C4740" s="139" t="s">
        <v>535</v>
      </c>
      <c r="D4740" s="139" t="s">
        <v>11151</v>
      </c>
    </row>
    <row r="4741" spans="1:4" x14ac:dyDescent="0.25">
      <c r="A4741" s="139" t="s">
        <v>11152</v>
      </c>
      <c r="B4741" s="139" t="s">
        <v>11153</v>
      </c>
      <c r="C4741" s="139" t="s">
        <v>123</v>
      </c>
      <c r="D4741" s="139" t="s">
        <v>11154</v>
      </c>
    </row>
    <row r="4742" spans="1:4" x14ac:dyDescent="0.25">
      <c r="A4742" s="139" t="s">
        <v>11155</v>
      </c>
      <c r="B4742" s="139" t="s">
        <v>11153</v>
      </c>
      <c r="C4742" s="139" t="s">
        <v>123</v>
      </c>
      <c r="D4742" s="139" t="s">
        <v>11156</v>
      </c>
    </row>
    <row r="4743" spans="1:4" x14ac:dyDescent="0.25">
      <c r="A4743" s="139" t="s">
        <v>11157</v>
      </c>
      <c r="B4743" s="139" t="s">
        <v>11158</v>
      </c>
      <c r="C4743" s="139" t="s">
        <v>123</v>
      </c>
      <c r="D4743" s="139" t="s">
        <v>11159</v>
      </c>
    </row>
    <row r="4744" spans="1:4" x14ac:dyDescent="0.25">
      <c r="A4744" s="139" t="s">
        <v>11160</v>
      </c>
      <c r="B4744" s="139" t="s">
        <v>11158</v>
      </c>
      <c r="C4744" s="139" t="s">
        <v>123</v>
      </c>
      <c r="D4744" s="139" t="s">
        <v>11161</v>
      </c>
    </row>
    <row r="4745" spans="1:4" x14ac:dyDescent="0.25">
      <c r="A4745" s="139" t="s">
        <v>11162</v>
      </c>
      <c r="B4745" s="139" t="s">
        <v>11163</v>
      </c>
      <c r="C4745" s="139" t="s">
        <v>535</v>
      </c>
      <c r="D4745" s="139" t="s">
        <v>11164</v>
      </c>
    </row>
    <row r="4746" spans="1:4" x14ac:dyDescent="0.25">
      <c r="A4746" s="139" t="s">
        <v>11165</v>
      </c>
      <c r="B4746" s="139" t="s">
        <v>11163</v>
      </c>
      <c r="C4746" s="139" t="s">
        <v>535</v>
      </c>
      <c r="D4746" s="139" t="s">
        <v>11166</v>
      </c>
    </row>
    <row r="4747" spans="1:4" x14ac:dyDescent="0.25">
      <c r="A4747" s="139" t="s">
        <v>11167</v>
      </c>
      <c r="B4747" s="139" t="s">
        <v>11168</v>
      </c>
      <c r="C4747" s="139" t="s">
        <v>535</v>
      </c>
      <c r="D4747" s="139" t="s">
        <v>11169</v>
      </c>
    </row>
    <row r="4748" spans="1:4" x14ac:dyDescent="0.25">
      <c r="A4748" s="139" t="s">
        <v>11170</v>
      </c>
      <c r="B4748" s="139" t="s">
        <v>11168</v>
      </c>
      <c r="C4748" s="139" t="s">
        <v>535</v>
      </c>
      <c r="D4748" s="139" t="s">
        <v>11171</v>
      </c>
    </row>
    <row r="4749" spans="1:4" x14ac:dyDescent="0.25">
      <c r="A4749" s="139" t="s">
        <v>11172</v>
      </c>
      <c r="B4749" s="139" t="s">
        <v>11173</v>
      </c>
      <c r="C4749" s="139" t="s">
        <v>535</v>
      </c>
      <c r="D4749" s="139" t="s">
        <v>11174</v>
      </c>
    </row>
    <row r="4750" spans="1:4" x14ac:dyDescent="0.25">
      <c r="A4750" s="139" t="s">
        <v>11175</v>
      </c>
      <c r="B4750" s="139" t="s">
        <v>11173</v>
      </c>
      <c r="C4750" s="139" t="s">
        <v>535</v>
      </c>
      <c r="D4750" s="139" t="s">
        <v>11176</v>
      </c>
    </row>
    <row r="4751" spans="1:4" x14ac:dyDescent="0.25">
      <c r="A4751" s="139" t="s">
        <v>11177</v>
      </c>
      <c r="B4751" s="139" t="s">
        <v>11178</v>
      </c>
      <c r="C4751" s="139" t="s">
        <v>535</v>
      </c>
      <c r="D4751" s="139" t="s">
        <v>11179</v>
      </c>
    </row>
    <row r="4752" spans="1:4" x14ac:dyDescent="0.25">
      <c r="A4752" s="139" t="s">
        <v>11180</v>
      </c>
      <c r="B4752" s="139" t="s">
        <v>11178</v>
      </c>
      <c r="C4752" s="139" t="s">
        <v>535</v>
      </c>
      <c r="D4752" s="139" t="s">
        <v>11181</v>
      </c>
    </row>
    <row r="4753" spans="1:4" x14ac:dyDescent="0.25">
      <c r="A4753" s="139" t="s">
        <v>11182</v>
      </c>
      <c r="B4753" s="139" t="s">
        <v>11183</v>
      </c>
      <c r="C4753" s="139" t="s">
        <v>535</v>
      </c>
      <c r="D4753" s="139" t="s">
        <v>11184</v>
      </c>
    </row>
    <row r="4754" spans="1:4" x14ac:dyDescent="0.25">
      <c r="A4754" s="139" t="s">
        <v>11185</v>
      </c>
      <c r="B4754" s="139" t="s">
        <v>11183</v>
      </c>
      <c r="C4754" s="139" t="s">
        <v>535</v>
      </c>
      <c r="D4754" s="139" t="s">
        <v>11186</v>
      </c>
    </row>
    <row r="4755" spans="1:4" x14ac:dyDescent="0.25">
      <c r="A4755" s="139" t="s">
        <v>11187</v>
      </c>
      <c r="B4755" s="139" t="s">
        <v>11188</v>
      </c>
      <c r="C4755" s="139" t="s">
        <v>535</v>
      </c>
      <c r="D4755" s="139" t="s">
        <v>11189</v>
      </c>
    </row>
    <row r="4756" spans="1:4" x14ac:dyDescent="0.25">
      <c r="A4756" s="139" t="s">
        <v>11190</v>
      </c>
      <c r="B4756" s="139" t="s">
        <v>11188</v>
      </c>
      <c r="C4756" s="139" t="s">
        <v>535</v>
      </c>
      <c r="D4756" s="139" t="s">
        <v>11191</v>
      </c>
    </row>
    <row r="4757" spans="1:4" x14ac:dyDescent="0.25">
      <c r="A4757" s="139" t="s">
        <v>11192</v>
      </c>
      <c r="B4757" s="139" t="s">
        <v>11193</v>
      </c>
      <c r="C4757" s="139" t="s">
        <v>535</v>
      </c>
      <c r="D4757" s="139" t="s">
        <v>11194</v>
      </c>
    </row>
    <row r="4758" spans="1:4" x14ac:dyDescent="0.25">
      <c r="A4758" s="139" t="s">
        <v>11195</v>
      </c>
      <c r="B4758" s="139" t="s">
        <v>11193</v>
      </c>
      <c r="C4758" s="139" t="s">
        <v>535</v>
      </c>
      <c r="D4758" s="139" t="s">
        <v>11196</v>
      </c>
    </row>
    <row r="4759" spans="1:4" x14ac:dyDescent="0.25">
      <c r="A4759" s="139" t="s">
        <v>11197</v>
      </c>
      <c r="B4759" s="139" t="s">
        <v>11198</v>
      </c>
      <c r="C4759" s="139" t="s">
        <v>123</v>
      </c>
      <c r="D4759" s="139" t="s">
        <v>11199</v>
      </c>
    </row>
    <row r="4760" spans="1:4" x14ac:dyDescent="0.25">
      <c r="A4760" s="139" t="s">
        <v>11200</v>
      </c>
      <c r="B4760" s="139" t="s">
        <v>11198</v>
      </c>
      <c r="C4760" s="139" t="s">
        <v>123</v>
      </c>
      <c r="D4760" s="139" t="s">
        <v>11201</v>
      </c>
    </row>
    <row r="4761" spans="1:4" x14ac:dyDescent="0.25">
      <c r="A4761" s="139" t="s">
        <v>11202</v>
      </c>
      <c r="B4761" s="139" t="s">
        <v>11203</v>
      </c>
      <c r="C4761" s="139" t="s">
        <v>535</v>
      </c>
      <c r="D4761" s="139" t="s">
        <v>11204</v>
      </c>
    </row>
    <row r="4762" spans="1:4" x14ac:dyDescent="0.25">
      <c r="A4762" s="139" t="s">
        <v>11205</v>
      </c>
      <c r="B4762" s="139" t="s">
        <v>11203</v>
      </c>
      <c r="C4762" s="139" t="s">
        <v>535</v>
      </c>
      <c r="D4762" s="139" t="s">
        <v>11206</v>
      </c>
    </row>
    <row r="4763" spans="1:4" x14ac:dyDescent="0.25">
      <c r="A4763" s="139" t="s">
        <v>11207</v>
      </c>
      <c r="B4763" s="139" t="s">
        <v>11208</v>
      </c>
      <c r="C4763" s="139" t="s">
        <v>535</v>
      </c>
      <c r="D4763" s="139" t="s">
        <v>11209</v>
      </c>
    </row>
    <row r="4764" spans="1:4" x14ac:dyDescent="0.25">
      <c r="A4764" s="139" t="s">
        <v>11210</v>
      </c>
      <c r="B4764" s="139" t="s">
        <v>11208</v>
      </c>
      <c r="C4764" s="139" t="s">
        <v>535</v>
      </c>
      <c r="D4764" s="139" t="s">
        <v>11211</v>
      </c>
    </row>
    <row r="4765" spans="1:4" x14ac:dyDescent="0.25">
      <c r="A4765" s="139" t="s">
        <v>11212</v>
      </c>
      <c r="B4765" s="139" t="s">
        <v>2018</v>
      </c>
      <c r="C4765" s="139" t="s">
        <v>123</v>
      </c>
      <c r="D4765" s="139" t="s">
        <v>11213</v>
      </c>
    </row>
    <row r="4766" spans="1:4" x14ac:dyDescent="0.25">
      <c r="A4766" s="139" t="s">
        <v>11214</v>
      </c>
      <c r="B4766" s="139" t="s">
        <v>2018</v>
      </c>
      <c r="C4766" s="139" t="s">
        <v>123</v>
      </c>
      <c r="D4766" s="139" t="s">
        <v>11215</v>
      </c>
    </row>
    <row r="4767" spans="1:4" x14ac:dyDescent="0.25">
      <c r="A4767" s="139" t="s">
        <v>11216</v>
      </c>
      <c r="B4767" s="139" t="s">
        <v>11217</v>
      </c>
      <c r="C4767" s="139" t="s">
        <v>123</v>
      </c>
      <c r="D4767" s="139" t="s">
        <v>11218</v>
      </c>
    </row>
    <row r="4768" spans="1:4" x14ac:dyDescent="0.25">
      <c r="A4768" s="139" t="s">
        <v>11219</v>
      </c>
      <c r="B4768" s="139" t="s">
        <v>11217</v>
      </c>
      <c r="C4768" s="139" t="s">
        <v>123</v>
      </c>
      <c r="D4768" s="139" t="s">
        <v>11220</v>
      </c>
    </row>
    <row r="4769" spans="1:4" x14ac:dyDescent="0.25">
      <c r="A4769" s="139" t="s">
        <v>11221</v>
      </c>
      <c r="B4769" s="139" t="s">
        <v>11222</v>
      </c>
      <c r="C4769" s="139" t="s">
        <v>123</v>
      </c>
      <c r="D4769" s="139" t="s">
        <v>11223</v>
      </c>
    </row>
    <row r="4770" spans="1:4" x14ac:dyDescent="0.25">
      <c r="A4770" s="139" t="s">
        <v>11224</v>
      </c>
      <c r="B4770" s="139" t="s">
        <v>11222</v>
      </c>
      <c r="C4770" s="139" t="s">
        <v>123</v>
      </c>
      <c r="D4770" s="139" t="s">
        <v>11225</v>
      </c>
    </row>
    <row r="4771" spans="1:4" x14ac:dyDescent="0.25">
      <c r="A4771" s="139" t="s">
        <v>11226</v>
      </c>
      <c r="B4771" s="139" t="s">
        <v>11227</v>
      </c>
      <c r="C4771" s="139" t="s">
        <v>65</v>
      </c>
      <c r="D4771" s="139" t="s">
        <v>11228</v>
      </c>
    </row>
    <row r="4772" spans="1:4" x14ac:dyDescent="0.25">
      <c r="A4772" s="139" t="s">
        <v>11229</v>
      </c>
      <c r="B4772" s="139" t="s">
        <v>11227</v>
      </c>
      <c r="C4772" s="139" t="s">
        <v>65</v>
      </c>
      <c r="D4772" s="139" t="s">
        <v>11230</v>
      </c>
    </row>
    <row r="4773" spans="1:4" x14ac:dyDescent="0.25">
      <c r="A4773" s="139" t="s">
        <v>11231</v>
      </c>
      <c r="B4773" s="139" t="s">
        <v>11232</v>
      </c>
      <c r="C4773" s="139" t="s">
        <v>33</v>
      </c>
      <c r="D4773" s="139" t="s">
        <v>11233</v>
      </c>
    </row>
    <row r="4774" spans="1:4" x14ac:dyDescent="0.25">
      <c r="A4774" s="139" t="s">
        <v>11234</v>
      </c>
      <c r="B4774" s="139" t="s">
        <v>11232</v>
      </c>
      <c r="C4774" s="139" t="s">
        <v>33</v>
      </c>
      <c r="D4774" s="139" t="s">
        <v>11235</v>
      </c>
    </row>
    <row r="4775" spans="1:4" x14ac:dyDescent="0.25">
      <c r="A4775" s="139" t="s">
        <v>11236</v>
      </c>
      <c r="B4775" s="139" t="s">
        <v>11237</v>
      </c>
      <c r="C4775" s="139" t="s">
        <v>33</v>
      </c>
      <c r="D4775" s="139" t="s">
        <v>11238</v>
      </c>
    </row>
    <row r="4776" spans="1:4" x14ac:dyDescent="0.25">
      <c r="A4776" s="139" t="s">
        <v>11239</v>
      </c>
      <c r="B4776" s="139" t="s">
        <v>11237</v>
      </c>
      <c r="C4776" s="139" t="s">
        <v>33</v>
      </c>
      <c r="D4776" s="139" t="s">
        <v>11240</v>
      </c>
    </row>
    <row r="4777" spans="1:4" x14ac:dyDescent="0.25">
      <c r="A4777" s="139" t="s">
        <v>11241</v>
      </c>
      <c r="B4777" s="139" t="s">
        <v>11242</v>
      </c>
      <c r="C4777" s="139" t="s">
        <v>33</v>
      </c>
      <c r="D4777" s="139" t="s">
        <v>11243</v>
      </c>
    </row>
    <row r="4778" spans="1:4" x14ac:dyDescent="0.25">
      <c r="A4778" s="139" t="s">
        <v>11244</v>
      </c>
      <c r="B4778" s="139" t="s">
        <v>11242</v>
      </c>
      <c r="C4778" s="139" t="s">
        <v>33</v>
      </c>
      <c r="D4778" s="139" t="s">
        <v>11245</v>
      </c>
    </row>
    <row r="4779" spans="1:4" x14ac:dyDescent="0.25">
      <c r="A4779" s="139" t="s">
        <v>11246</v>
      </c>
      <c r="B4779" s="139" t="s">
        <v>11247</v>
      </c>
      <c r="C4779" s="139" t="s">
        <v>33</v>
      </c>
      <c r="D4779" s="139" t="s">
        <v>11248</v>
      </c>
    </row>
    <row r="4780" spans="1:4" x14ac:dyDescent="0.25">
      <c r="A4780" s="139" t="s">
        <v>11249</v>
      </c>
      <c r="B4780" s="139" t="s">
        <v>11247</v>
      </c>
      <c r="C4780" s="139" t="s">
        <v>33</v>
      </c>
      <c r="D4780" s="139" t="s">
        <v>11250</v>
      </c>
    </row>
    <row r="4781" spans="1:4" x14ac:dyDescent="0.25">
      <c r="A4781" s="139" t="s">
        <v>11251</v>
      </c>
      <c r="B4781" s="139" t="s">
        <v>11252</v>
      </c>
      <c r="C4781" s="139" t="s">
        <v>33</v>
      </c>
      <c r="D4781" s="139" t="s">
        <v>11253</v>
      </c>
    </row>
    <row r="4782" spans="1:4" x14ac:dyDescent="0.25">
      <c r="A4782" s="139" t="s">
        <v>11254</v>
      </c>
      <c r="B4782" s="139" t="s">
        <v>11252</v>
      </c>
      <c r="C4782" s="139" t="s">
        <v>33</v>
      </c>
      <c r="D4782" s="139" t="s">
        <v>11255</v>
      </c>
    </row>
    <row r="4783" spans="1:4" x14ac:dyDescent="0.25">
      <c r="A4783" s="139" t="s">
        <v>11256</v>
      </c>
      <c r="B4783" s="139" t="s">
        <v>11257</v>
      </c>
      <c r="C4783" s="139" t="s">
        <v>65</v>
      </c>
      <c r="D4783" s="139" t="s">
        <v>11258</v>
      </c>
    </row>
    <row r="4784" spans="1:4" x14ac:dyDescent="0.25">
      <c r="A4784" s="139" t="s">
        <v>11259</v>
      </c>
      <c r="B4784" s="139" t="s">
        <v>11257</v>
      </c>
      <c r="C4784" s="139" t="s">
        <v>65</v>
      </c>
      <c r="D4784" s="139" t="s">
        <v>11260</v>
      </c>
    </row>
    <row r="4785" spans="1:4" x14ac:dyDescent="0.25">
      <c r="A4785" s="139" t="s">
        <v>11261</v>
      </c>
      <c r="B4785" s="139" t="s">
        <v>11024</v>
      </c>
      <c r="C4785" s="139" t="s">
        <v>65</v>
      </c>
      <c r="D4785" s="139" t="s">
        <v>11262</v>
      </c>
    </row>
    <row r="4786" spans="1:4" x14ac:dyDescent="0.25">
      <c r="A4786" s="139" t="s">
        <v>11263</v>
      </c>
      <c r="B4786" s="139" t="s">
        <v>11024</v>
      </c>
      <c r="C4786" s="139" t="s">
        <v>65</v>
      </c>
      <c r="D4786" s="139" t="s">
        <v>11264</v>
      </c>
    </row>
    <row r="4787" spans="1:4" x14ac:dyDescent="0.25">
      <c r="A4787" s="139" t="s">
        <v>11265</v>
      </c>
      <c r="B4787" s="139" t="s">
        <v>11266</v>
      </c>
      <c r="C4787" s="139" t="s">
        <v>65</v>
      </c>
      <c r="D4787" s="139" t="s">
        <v>11267</v>
      </c>
    </row>
    <row r="4788" spans="1:4" x14ac:dyDescent="0.25">
      <c r="A4788" s="139" t="s">
        <v>11268</v>
      </c>
      <c r="B4788" s="139" t="s">
        <v>11266</v>
      </c>
      <c r="C4788" s="139" t="s">
        <v>65</v>
      </c>
      <c r="D4788" s="139" t="s">
        <v>11269</v>
      </c>
    </row>
    <row r="4789" spans="1:4" x14ac:dyDescent="0.25">
      <c r="A4789" s="139" t="s">
        <v>11270</v>
      </c>
      <c r="B4789" s="139" t="s">
        <v>11271</v>
      </c>
      <c r="C4789" s="139" t="s">
        <v>65</v>
      </c>
      <c r="D4789" s="139" t="s">
        <v>11272</v>
      </c>
    </row>
    <row r="4790" spans="1:4" x14ac:dyDescent="0.25">
      <c r="A4790" s="139" t="s">
        <v>11273</v>
      </c>
      <c r="B4790" s="139" t="s">
        <v>11271</v>
      </c>
      <c r="C4790" s="139" t="s">
        <v>65</v>
      </c>
      <c r="D4790" s="139" t="s">
        <v>11274</v>
      </c>
    </row>
    <row r="4791" spans="1:4" x14ac:dyDescent="0.25">
      <c r="A4791" s="139" t="s">
        <v>11275</v>
      </c>
      <c r="B4791" s="139" t="s">
        <v>1828</v>
      </c>
      <c r="C4791" s="139" t="s">
        <v>65</v>
      </c>
      <c r="D4791" s="139" t="s">
        <v>11276</v>
      </c>
    </row>
    <row r="4792" spans="1:4" x14ac:dyDescent="0.25">
      <c r="A4792" s="139" t="s">
        <v>11277</v>
      </c>
      <c r="B4792" s="139" t="s">
        <v>1828</v>
      </c>
      <c r="C4792" s="139" t="s">
        <v>65</v>
      </c>
      <c r="D4792" s="139" t="s">
        <v>11278</v>
      </c>
    </row>
    <row r="4793" spans="1:4" x14ac:dyDescent="0.25">
      <c r="A4793" s="139" t="s">
        <v>11279</v>
      </c>
      <c r="B4793" s="139" t="s">
        <v>3255</v>
      </c>
      <c r="C4793" s="139" t="s">
        <v>65</v>
      </c>
      <c r="D4793" s="139" t="s">
        <v>11280</v>
      </c>
    </row>
    <row r="4794" spans="1:4" x14ac:dyDescent="0.25">
      <c r="A4794" s="139" t="s">
        <v>11281</v>
      </c>
      <c r="B4794" s="139" t="s">
        <v>3255</v>
      </c>
      <c r="C4794" s="139" t="s">
        <v>65</v>
      </c>
      <c r="D4794" s="139" t="s">
        <v>11282</v>
      </c>
    </row>
    <row r="4795" spans="1:4" x14ac:dyDescent="0.25">
      <c r="A4795" s="139" t="s">
        <v>11283</v>
      </c>
      <c r="B4795" s="139" t="s">
        <v>11284</v>
      </c>
      <c r="C4795" s="139" t="s">
        <v>65</v>
      </c>
      <c r="D4795" s="139" t="s">
        <v>11285</v>
      </c>
    </row>
    <row r="4796" spans="1:4" x14ac:dyDescent="0.25">
      <c r="A4796" s="139" t="s">
        <v>11286</v>
      </c>
      <c r="B4796" s="139" t="s">
        <v>11284</v>
      </c>
      <c r="C4796" s="139" t="s">
        <v>65</v>
      </c>
      <c r="D4796" s="139" t="s">
        <v>11287</v>
      </c>
    </row>
    <row r="4797" spans="1:4" x14ac:dyDescent="0.25">
      <c r="A4797" s="139" t="s">
        <v>11288</v>
      </c>
      <c r="B4797" s="139" t="s">
        <v>11289</v>
      </c>
      <c r="C4797" s="139" t="s">
        <v>65</v>
      </c>
      <c r="D4797" s="139" t="s">
        <v>11290</v>
      </c>
    </row>
    <row r="4798" spans="1:4" x14ac:dyDescent="0.25">
      <c r="A4798" s="139" t="s">
        <v>11291</v>
      </c>
      <c r="B4798" s="139" t="s">
        <v>11289</v>
      </c>
      <c r="C4798" s="139" t="s">
        <v>65</v>
      </c>
      <c r="D4798" s="139" t="s">
        <v>11292</v>
      </c>
    </row>
    <row r="4799" spans="1:4" x14ac:dyDescent="0.25">
      <c r="A4799" s="139" t="s">
        <v>11293</v>
      </c>
      <c r="B4799" s="139" t="s">
        <v>11294</v>
      </c>
      <c r="C4799" s="139" t="s">
        <v>65</v>
      </c>
      <c r="D4799" s="139" t="s">
        <v>11295</v>
      </c>
    </row>
    <row r="4800" spans="1:4" x14ac:dyDescent="0.25">
      <c r="A4800" s="139" t="s">
        <v>11296</v>
      </c>
      <c r="B4800" s="139" t="s">
        <v>11294</v>
      </c>
      <c r="C4800" s="139" t="s">
        <v>65</v>
      </c>
      <c r="D4800" s="139" t="s">
        <v>11297</v>
      </c>
    </row>
    <row r="4801" spans="1:4" x14ac:dyDescent="0.25">
      <c r="A4801" s="139" t="s">
        <v>11298</v>
      </c>
      <c r="B4801" s="139" t="s">
        <v>11299</v>
      </c>
      <c r="C4801" s="139" t="s">
        <v>65</v>
      </c>
      <c r="D4801" s="139" t="s">
        <v>11300</v>
      </c>
    </row>
    <row r="4802" spans="1:4" x14ac:dyDescent="0.25">
      <c r="A4802" s="139" t="s">
        <v>11301</v>
      </c>
      <c r="B4802" s="139" t="s">
        <v>11299</v>
      </c>
      <c r="C4802" s="139" t="s">
        <v>65</v>
      </c>
      <c r="D4802" s="139" t="s">
        <v>11302</v>
      </c>
    </row>
    <row r="4803" spans="1:4" x14ac:dyDescent="0.25">
      <c r="A4803" s="139" t="s">
        <v>11303</v>
      </c>
      <c r="B4803" s="139" t="s">
        <v>11304</v>
      </c>
      <c r="C4803" s="139" t="s">
        <v>65</v>
      </c>
      <c r="D4803" s="139" t="s">
        <v>11305</v>
      </c>
    </row>
    <row r="4804" spans="1:4" x14ac:dyDescent="0.25">
      <c r="A4804" s="139" t="s">
        <v>11306</v>
      </c>
      <c r="B4804" s="139" t="s">
        <v>11304</v>
      </c>
      <c r="C4804" s="139" t="s">
        <v>65</v>
      </c>
      <c r="D4804" s="139" t="s">
        <v>11307</v>
      </c>
    </row>
    <row r="4805" spans="1:4" x14ac:dyDescent="0.25">
      <c r="A4805" s="139" t="s">
        <v>11308</v>
      </c>
      <c r="B4805" s="139" t="s">
        <v>11309</v>
      </c>
      <c r="C4805" s="139" t="s">
        <v>65</v>
      </c>
      <c r="D4805" s="139" t="s">
        <v>11310</v>
      </c>
    </row>
    <row r="4806" spans="1:4" x14ac:dyDescent="0.25">
      <c r="A4806" s="139" t="s">
        <v>11311</v>
      </c>
      <c r="B4806" s="139" t="s">
        <v>11309</v>
      </c>
      <c r="C4806" s="139" t="s">
        <v>65</v>
      </c>
      <c r="D4806" s="139" t="s">
        <v>11312</v>
      </c>
    </row>
    <row r="4807" spans="1:4" x14ac:dyDescent="0.25">
      <c r="A4807" s="139" t="s">
        <v>11313</v>
      </c>
      <c r="B4807" s="139" t="s">
        <v>11314</v>
      </c>
      <c r="C4807" s="139" t="s">
        <v>65</v>
      </c>
      <c r="D4807" s="139" t="s">
        <v>11315</v>
      </c>
    </row>
    <row r="4808" spans="1:4" x14ac:dyDescent="0.25">
      <c r="A4808" s="139" t="s">
        <v>11316</v>
      </c>
      <c r="B4808" s="139" t="s">
        <v>11314</v>
      </c>
      <c r="C4808" s="139" t="s">
        <v>65</v>
      </c>
      <c r="D4808" s="139" t="s">
        <v>11317</v>
      </c>
    </row>
    <row r="4809" spans="1:4" x14ac:dyDescent="0.25">
      <c r="A4809" s="139" t="s">
        <v>11318</v>
      </c>
      <c r="B4809" s="139" t="s">
        <v>3255</v>
      </c>
      <c r="C4809" s="139" t="s">
        <v>44</v>
      </c>
      <c r="D4809" s="139" t="s">
        <v>11319</v>
      </c>
    </row>
    <row r="4810" spans="1:4" x14ac:dyDescent="0.25">
      <c r="A4810" s="139" t="s">
        <v>11320</v>
      </c>
      <c r="B4810" s="139" t="s">
        <v>3255</v>
      </c>
      <c r="C4810" s="139" t="s">
        <v>44</v>
      </c>
      <c r="D4810" s="139" t="s">
        <v>11321</v>
      </c>
    </row>
    <row r="4811" spans="1:4" x14ac:dyDescent="0.25">
      <c r="A4811" s="139" t="s">
        <v>11322</v>
      </c>
      <c r="B4811" s="139" t="s">
        <v>11271</v>
      </c>
      <c r="C4811" s="139" t="s">
        <v>44</v>
      </c>
      <c r="D4811" s="139" t="s">
        <v>11323</v>
      </c>
    </row>
    <row r="4812" spans="1:4" x14ac:dyDescent="0.25">
      <c r="A4812" s="139" t="s">
        <v>11324</v>
      </c>
      <c r="B4812" s="139" t="s">
        <v>11271</v>
      </c>
      <c r="C4812" s="139" t="s">
        <v>44</v>
      </c>
      <c r="D4812" s="139" t="s">
        <v>11325</v>
      </c>
    </row>
    <row r="4813" spans="1:4" x14ac:dyDescent="0.25">
      <c r="A4813" s="139" t="s">
        <v>11326</v>
      </c>
      <c r="B4813" s="139" t="s">
        <v>11327</v>
      </c>
      <c r="C4813" s="139" t="s">
        <v>33</v>
      </c>
      <c r="D4813" s="139" t="s">
        <v>11328</v>
      </c>
    </row>
    <row r="4814" spans="1:4" x14ac:dyDescent="0.25">
      <c r="A4814" s="139" t="s">
        <v>11329</v>
      </c>
      <c r="B4814" s="139" t="s">
        <v>11327</v>
      </c>
      <c r="C4814" s="139" t="s">
        <v>33</v>
      </c>
      <c r="D4814" s="139" t="s">
        <v>11330</v>
      </c>
    </row>
    <row r="4815" spans="1:4" x14ac:dyDescent="0.25">
      <c r="A4815" s="139" t="s">
        <v>11331</v>
      </c>
      <c r="B4815" s="139" t="s">
        <v>11332</v>
      </c>
      <c r="C4815" s="139" t="s">
        <v>33</v>
      </c>
      <c r="D4815" s="139" t="s">
        <v>11333</v>
      </c>
    </row>
    <row r="4816" spans="1:4" x14ac:dyDescent="0.25">
      <c r="A4816" s="139" t="s">
        <v>11334</v>
      </c>
      <c r="B4816" s="139" t="s">
        <v>11332</v>
      </c>
      <c r="C4816" s="139" t="s">
        <v>33</v>
      </c>
      <c r="D4816" s="139" t="s">
        <v>11335</v>
      </c>
    </row>
    <row r="4817" spans="1:4" x14ac:dyDescent="0.25">
      <c r="A4817" s="139" t="s">
        <v>11336</v>
      </c>
      <c r="B4817" s="139" t="s">
        <v>10172</v>
      </c>
      <c r="C4817" s="139" t="s">
        <v>33</v>
      </c>
      <c r="D4817" s="139" t="s">
        <v>11337</v>
      </c>
    </row>
    <row r="4818" spans="1:4" x14ac:dyDescent="0.25">
      <c r="A4818" s="139" t="s">
        <v>11338</v>
      </c>
      <c r="B4818" s="139" t="s">
        <v>10172</v>
      </c>
      <c r="C4818" s="139" t="s">
        <v>33</v>
      </c>
      <c r="D4818" s="139" t="s">
        <v>11339</v>
      </c>
    </row>
    <row r="4819" spans="1:4" x14ac:dyDescent="0.25">
      <c r="A4819" s="139" t="s">
        <v>11340</v>
      </c>
      <c r="B4819" s="139" t="s">
        <v>10259</v>
      </c>
      <c r="C4819" s="139" t="s">
        <v>65</v>
      </c>
      <c r="D4819" s="139" t="s">
        <v>11341</v>
      </c>
    </row>
    <row r="4820" spans="1:4" x14ac:dyDescent="0.25">
      <c r="A4820" s="139" t="s">
        <v>11342</v>
      </c>
      <c r="B4820" s="139" t="s">
        <v>11343</v>
      </c>
      <c r="C4820" s="139" t="s">
        <v>65</v>
      </c>
      <c r="D4820" s="139" t="s">
        <v>11344</v>
      </c>
    </row>
    <row r="4821" spans="1:4" x14ac:dyDescent="0.25">
      <c r="A4821" s="139" t="s">
        <v>11345</v>
      </c>
      <c r="B4821" s="139" t="s">
        <v>11343</v>
      </c>
      <c r="C4821" s="139" t="s">
        <v>65</v>
      </c>
      <c r="D4821" s="139" t="s">
        <v>11346</v>
      </c>
    </row>
    <row r="4822" spans="1:4" x14ac:dyDescent="0.25">
      <c r="A4822" s="139" t="s">
        <v>11347</v>
      </c>
      <c r="B4822" s="139" t="s">
        <v>10259</v>
      </c>
      <c r="C4822" s="139" t="s">
        <v>65</v>
      </c>
      <c r="D4822" s="139" t="s">
        <v>11348</v>
      </c>
    </row>
    <row r="4823" spans="1:4" x14ac:dyDescent="0.25">
      <c r="A4823" s="139" t="s">
        <v>11349</v>
      </c>
      <c r="B4823" s="139" t="s">
        <v>11350</v>
      </c>
      <c r="C4823" s="139" t="s">
        <v>535</v>
      </c>
      <c r="D4823" s="139" t="s">
        <v>11351</v>
      </c>
    </row>
    <row r="4824" spans="1:4" x14ac:dyDescent="0.25">
      <c r="A4824" s="139" t="s">
        <v>11352</v>
      </c>
      <c r="B4824" s="139" t="s">
        <v>11350</v>
      </c>
      <c r="C4824" s="139" t="s">
        <v>535</v>
      </c>
      <c r="D4824" s="139" t="s">
        <v>11353</v>
      </c>
    </row>
    <row r="4825" spans="1:4" x14ac:dyDescent="0.25">
      <c r="A4825" s="139" t="s">
        <v>11354</v>
      </c>
      <c r="B4825" s="139" t="s">
        <v>11355</v>
      </c>
      <c r="C4825" s="139" t="s">
        <v>44</v>
      </c>
      <c r="D4825" s="139" t="s">
        <v>11356</v>
      </c>
    </row>
    <row r="4826" spans="1:4" x14ac:dyDescent="0.25">
      <c r="A4826" s="139" t="s">
        <v>11357</v>
      </c>
      <c r="B4826" s="139" t="s">
        <v>11355</v>
      </c>
      <c r="C4826" s="139" t="s">
        <v>44</v>
      </c>
      <c r="D4826" s="139" t="s">
        <v>11358</v>
      </c>
    </row>
    <row r="4827" spans="1:4" x14ac:dyDescent="0.25">
      <c r="A4827" s="139" t="s">
        <v>11359</v>
      </c>
      <c r="B4827" s="139" t="s">
        <v>3101</v>
      </c>
      <c r="C4827" s="139" t="s">
        <v>65</v>
      </c>
      <c r="D4827" s="139" t="s">
        <v>11360</v>
      </c>
    </row>
    <row r="4828" spans="1:4" x14ac:dyDescent="0.25">
      <c r="A4828" s="139" t="s">
        <v>11361</v>
      </c>
      <c r="B4828" s="139" t="s">
        <v>3101</v>
      </c>
      <c r="C4828" s="139" t="s">
        <v>65</v>
      </c>
      <c r="D4828" s="139" t="s">
        <v>11362</v>
      </c>
    </row>
    <row r="4829" spans="1:4" x14ac:dyDescent="0.25">
      <c r="A4829" s="139" t="s">
        <v>11363</v>
      </c>
      <c r="B4829" s="139" t="s">
        <v>11364</v>
      </c>
      <c r="C4829" s="139" t="s">
        <v>535</v>
      </c>
      <c r="D4829" s="139" t="s">
        <v>11365</v>
      </c>
    </row>
    <row r="4830" spans="1:4" x14ac:dyDescent="0.25">
      <c r="A4830" s="139" t="s">
        <v>11366</v>
      </c>
      <c r="B4830" s="139" t="s">
        <v>11364</v>
      </c>
      <c r="C4830" s="139" t="s">
        <v>535</v>
      </c>
      <c r="D4830" s="139" t="s">
        <v>11367</v>
      </c>
    </row>
    <row r="4831" spans="1:4" x14ac:dyDescent="0.25">
      <c r="A4831" s="139" t="s">
        <v>11368</v>
      </c>
      <c r="B4831" s="139" t="s">
        <v>11369</v>
      </c>
      <c r="C4831" s="139" t="s">
        <v>535</v>
      </c>
      <c r="D4831" s="139" t="s">
        <v>11370</v>
      </c>
    </row>
    <row r="4832" spans="1:4" x14ac:dyDescent="0.25">
      <c r="A4832" s="139" t="s">
        <v>11371</v>
      </c>
      <c r="B4832" s="139" t="s">
        <v>11369</v>
      </c>
      <c r="C4832" s="139" t="s">
        <v>535</v>
      </c>
      <c r="D4832" s="139" t="s">
        <v>11372</v>
      </c>
    </row>
    <row r="4833" spans="1:4" x14ac:dyDescent="0.25">
      <c r="A4833" s="139" t="s">
        <v>11373</v>
      </c>
      <c r="B4833" s="139" t="s">
        <v>11374</v>
      </c>
      <c r="C4833" s="139" t="s">
        <v>123</v>
      </c>
      <c r="D4833" s="139" t="s">
        <v>11375</v>
      </c>
    </row>
    <row r="4834" spans="1:4" x14ac:dyDescent="0.25">
      <c r="A4834" s="139" t="s">
        <v>11376</v>
      </c>
      <c r="B4834" s="139" t="s">
        <v>11374</v>
      </c>
      <c r="C4834" s="139" t="s">
        <v>123</v>
      </c>
      <c r="D4834" s="139" t="s">
        <v>11377</v>
      </c>
    </row>
    <row r="4835" spans="1:4" x14ac:dyDescent="0.25">
      <c r="A4835" s="139" t="s">
        <v>11378</v>
      </c>
      <c r="B4835" s="139" t="s">
        <v>11198</v>
      </c>
      <c r="C4835" s="139" t="s">
        <v>123</v>
      </c>
      <c r="D4835" s="139" t="s">
        <v>11379</v>
      </c>
    </row>
    <row r="4836" spans="1:4" x14ac:dyDescent="0.25">
      <c r="A4836" s="139" t="s">
        <v>11380</v>
      </c>
      <c r="B4836" s="139" t="s">
        <v>11198</v>
      </c>
      <c r="C4836" s="139" t="s">
        <v>123</v>
      </c>
      <c r="D4836" s="139" t="s">
        <v>11381</v>
      </c>
    </row>
    <row r="4837" spans="1:4" x14ac:dyDescent="0.25">
      <c r="A4837" s="139" t="s">
        <v>11382</v>
      </c>
      <c r="B4837" s="139" t="s">
        <v>11374</v>
      </c>
      <c r="C4837" s="139" t="s">
        <v>123</v>
      </c>
      <c r="D4837" s="139" t="s">
        <v>11383</v>
      </c>
    </row>
    <row r="4838" spans="1:4" x14ac:dyDescent="0.25">
      <c r="A4838" s="139" t="s">
        <v>11384</v>
      </c>
      <c r="B4838" s="139" t="s">
        <v>11374</v>
      </c>
      <c r="C4838" s="139" t="s">
        <v>123</v>
      </c>
      <c r="D4838" s="139" t="s">
        <v>11385</v>
      </c>
    </row>
    <row r="4839" spans="1:4" x14ac:dyDescent="0.25">
      <c r="A4839" s="139" t="s">
        <v>11386</v>
      </c>
      <c r="B4839" s="139" t="s">
        <v>11198</v>
      </c>
      <c r="C4839" s="139" t="s">
        <v>123</v>
      </c>
      <c r="D4839" s="139" t="s">
        <v>11387</v>
      </c>
    </row>
    <row r="4840" spans="1:4" x14ac:dyDescent="0.25">
      <c r="A4840" s="139" t="s">
        <v>11388</v>
      </c>
      <c r="B4840" s="139" t="s">
        <v>11198</v>
      </c>
      <c r="C4840" s="139" t="s">
        <v>123</v>
      </c>
      <c r="D4840" s="139" t="s">
        <v>11389</v>
      </c>
    </row>
    <row r="4841" spans="1:4" x14ac:dyDescent="0.25">
      <c r="A4841" s="139" t="s">
        <v>11390</v>
      </c>
      <c r="B4841" s="139" t="s">
        <v>11158</v>
      </c>
      <c r="C4841" s="139" t="s">
        <v>123</v>
      </c>
      <c r="D4841" s="139" t="s">
        <v>11391</v>
      </c>
    </row>
    <row r="4842" spans="1:4" x14ac:dyDescent="0.25">
      <c r="A4842" s="139" t="s">
        <v>11392</v>
      </c>
      <c r="B4842" s="139" t="s">
        <v>11158</v>
      </c>
      <c r="C4842" s="139" t="s">
        <v>123</v>
      </c>
      <c r="D4842" s="139" t="s">
        <v>11393</v>
      </c>
    </row>
    <row r="4843" spans="1:4" x14ac:dyDescent="0.25">
      <c r="A4843" s="139" t="s">
        <v>11394</v>
      </c>
      <c r="B4843" s="139" t="s">
        <v>11395</v>
      </c>
      <c r="C4843" s="139" t="s">
        <v>123</v>
      </c>
      <c r="D4843" s="139" t="s">
        <v>11396</v>
      </c>
    </row>
    <row r="4844" spans="1:4" x14ac:dyDescent="0.25">
      <c r="A4844" s="139" t="s">
        <v>11394</v>
      </c>
      <c r="B4844" s="139" t="s">
        <v>11395</v>
      </c>
      <c r="C4844" s="139" t="s">
        <v>123</v>
      </c>
      <c r="D4844" s="139" t="s">
        <v>11397</v>
      </c>
    </row>
    <row r="4845" spans="1:4" x14ac:dyDescent="0.25">
      <c r="A4845" s="139" t="s">
        <v>11398</v>
      </c>
      <c r="B4845" s="139" t="s">
        <v>11158</v>
      </c>
      <c r="C4845" s="139" t="s">
        <v>123</v>
      </c>
      <c r="D4845" s="139" t="s">
        <v>11399</v>
      </c>
    </row>
    <row r="4846" spans="1:4" x14ac:dyDescent="0.25">
      <c r="A4846" s="139" t="s">
        <v>11400</v>
      </c>
      <c r="B4846" s="139" t="s">
        <v>11158</v>
      </c>
      <c r="C4846" s="139" t="s">
        <v>123</v>
      </c>
      <c r="D4846" s="139" t="s">
        <v>11401</v>
      </c>
    </row>
    <row r="4847" spans="1:4" x14ac:dyDescent="0.25">
      <c r="A4847" s="139" t="s">
        <v>11402</v>
      </c>
      <c r="B4847" s="139" t="s">
        <v>11395</v>
      </c>
      <c r="C4847" s="139" t="s">
        <v>123</v>
      </c>
      <c r="D4847" s="139" t="s">
        <v>11403</v>
      </c>
    </row>
    <row r="4848" spans="1:4" x14ac:dyDescent="0.25">
      <c r="A4848" s="139" t="s">
        <v>11402</v>
      </c>
      <c r="B4848" s="139" t="s">
        <v>11395</v>
      </c>
      <c r="C4848" s="139" t="s">
        <v>123</v>
      </c>
      <c r="D4848" s="139" t="s">
        <v>11404</v>
      </c>
    </row>
    <row r="4849" spans="1:4" x14ac:dyDescent="0.25">
      <c r="A4849" s="139" t="s">
        <v>11405</v>
      </c>
      <c r="B4849" s="139" t="s">
        <v>2018</v>
      </c>
      <c r="C4849" s="139" t="s">
        <v>123</v>
      </c>
      <c r="D4849" s="139" t="s">
        <v>11406</v>
      </c>
    </row>
    <row r="4850" spans="1:4" x14ac:dyDescent="0.25">
      <c r="A4850" s="139" t="s">
        <v>11407</v>
      </c>
      <c r="B4850" s="139" t="s">
        <v>2018</v>
      </c>
      <c r="C4850" s="139" t="s">
        <v>123</v>
      </c>
      <c r="D4850" s="139" t="s">
        <v>11408</v>
      </c>
    </row>
    <row r="4851" spans="1:4" x14ac:dyDescent="0.25">
      <c r="A4851" s="139" t="s">
        <v>11409</v>
      </c>
      <c r="B4851" s="139" t="s">
        <v>11410</v>
      </c>
      <c r="C4851" s="139" t="s">
        <v>123</v>
      </c>
      <c r="D4851" s="139" t="s">
        <v>11411</v>
      </c>
    </row>
    <row r="4852" spans="1:4" x14ac:dyDescent="0.25">
      <c r="A4852" s="139" t="s">
        <v>11409</v>
      </c>
      <c r="B4852" s="139" t="s">
        <v>11410</v>
      </c>
      <c r="C4852" s="139" t="s">
        <v>123</v>
      </c>
      <c r="D4852" s="139" t="s">
        <v>11412</v>
      </c>
    </row>
    <row r="4853" spans="1:4" x14ac:dyDescent="0.25">
      <c r="A4853" s="139" t="s">
        <v>11413</v>
      </c>
      <c r="B4853" s="139" t="s">
        <v>2018</v>
      </c>
      <c r="C4853" s="139" t="s">
        <v>123</v>
      </c>
      <c r="D4853" s="139" t="s">
        <v>11414</v>
      </c>
    </row>
    <row r="4854" spans="1:4" x14ac:dyDescent="0.25">
      <c r="A4854" s="139" t="s">
        <v>11415</v>
      </c>
      <c r="B4854" s="139" t="s">
        <v>2018</v>
      </c>
      <c r="C4854" s="139" t="s">
        <v>123</v>
      </c>
      <c r="D4854" s="139" t="s">
        <v>11416</v>
      </c>
    </row>
    <row r="4855" spans="1:4" x14ac:dyDescent="0.25">
      <c r="A4855" s="139" t="s">
        <v>11417</v>
      </c>
      <c r="B4855" s="139" t="s">
        <v>11410</v>
      </c>
      <c r="C4855" s="139" t="s">
        <v>123</v>
      </c>
      <c r="D4855" s="139" t="s">
        <v>11418</v>
      </c>
    </row>
    <row r="4856" spans="1:4" x14ac:dyDescent="0.25">
      <c r="A4856" s="139" t="s">
        <v>11417</v>
      </c>
      <c r="B4856" s="139" t="s">
        <v>11410</v>
      </c>
      <c r="C4856" s="139" t="s">
        <v>123</v>
      </c>
      <c r="D4856" s="139" t="s">
        <v>11419</v>
      </c>
    </row>
    <row r="4857" spans="1:4" x14ac:dyDescent="0.25">
      <c r="A4857" s="139" t="s">
        <v>11420</v>
      </c>
      <c r="B4857" s="139" t="s">
        <v>11421</v>
      </c>
      <c r="C4857" s="139" t="s">
        <v>664</v>
      </c>
      <c r="D4857" s="139" t="s">
        <v>11422</v>
      </c>
    </row>
    <row r="4858" spans="1:4" x14ac:dyDescent="0.25">
      <c r="A4858" s="139" t="s">
        <v>11420</v>
      </c>
      <c r="B4858" s="139" t="s">
        <v>11421</v>
      </c>
      <c r="C4858" s="139" t="s">
        <v>664</v>
      </c>
      <c r="D4858" s="139" t="s">
        <v>11423</v>
      </c>
    </row>
    <row r="4859" spans="1:4" x14ac:dyDescent="0.25">
      <c r="A4859" s="139" t="s">
        <v>11424</v>
      </c>
      <c r="B4859" s="139" t="s">
        <v>11198</v>
      </c>
      <c r="C4859" s="139" t="s">
        <v>658</v>
      </c>
      <c r="D4859" s="139" t="s">
        <v>11425</v>
      </c>
    </row>
    <row r="4860" spans="1:4" x14ac:dyDescent="0.25">
      <c r="A4860" s="139" t="s">
        <v>11426</v>
      </c>
      <c r="B4860" s="139" t="s">
        <v>11198</v>
      </c>
      <c r="C4860" s="139" t="s">
        <v>658</v>
      </c>
      <c r="D4860" s="139" t="s">
        <v>11427</v>
      </c>
    </row>
    <row r="4861" spans="1:4" x14ac:dyDescent="0.25">
      <c r="A4861" s="139" t="s">
        <v>11428</v>
      </c>
      <c r="B4861" s="139" t="s">
        <v>11429</v>
      </c>
      <c r="C4861" s="139" t="s">
        <v>11430</v>
      </c>
      <c r="D4861" s="139" t="s">
        <v>11431</v>
      </c>
    </row>
    <row r="4862" spans="1:4" x14ac:dyDescent="0.25">
      <c r="A4862" s="139" t="s">
        <v>11428</v>
      </c>
      <c r="B4862" s="139" t="s">
        <v>11429</v>
      </c>
      <c r="C4862" s="139" t="s">
        <v>11430</v>
      </c>
      <c r="D4862" s="139" t="s">
        <v>11432</v>
      </c>
    </row>
    <row r="4863" spans="1:4" x14ac:dyDescent="0.25">
      <c r="A4863" s="139" t="s">
        <v>11433</v>
      </c>
      <c r="B4863" s="139" t="s">
        <v>11434</v>
      </c>
      <c r="C4863" s="139" t="s">
        <v>33</v>
      </c>
      <c r="D4863" s="139" t="s">
        <v>11435</v>
      </c>
    </row>
    <row r="4864" spans="1:4" x14ac:dyDescent="0.25">
      <c r="A4864" s="139" t="s">
        <v>11436</v>
      </c>
      <c r="B4864" s="139" t="s">
        <v>11434</v>
      </c>
      <c r="C4864" s="139" t="s">
        <v>33</v>
      </c>
      <c r="D4864" s="139" t="s">
        <v>11437</v>
      </c>
    </row>
    <row r="4865" spans="1:4" x14ac:dyDescent="0.25">
      <c r="A4865" s="139" t="s">
        <v>11438</v>
      </c>
      <c r="B4865" s="139" t="s">
        <v>11074</v>
      </c>
      <c r="C4865" s="139" t="s">
        <v>11439</v>
      </c>
      <c r="D4865" s="139" t="s">
        <v>11440</v>
      </c>
    </row>
    <row r="4866" spans="1:4" x14ac:dyDescent="0.25">
      <c r="A4866" s="139" t="s">
        <v>11438</v>
      </c>
      <c r="B4866" s="139" t="s">
        <v>11074</v>
      </c>
      <c r="C4866" s="139" t="s">
        <v>11439</v>
      </c>
      <c r="D4866" s="139" t="s">
        <v>11441</v>
      </c>
    </row>
    <row r="4867" spans="1:4" x14ac:dyDescent="0.25">
      <c r="A4867" s="139" t="s">
        <v>11442</v>
      </c>
      <c r="B4867" s="139" t="s">
        <v>11109</v>
      </c>
      <c r="C4867" s="139" t="s">
        <v>11439</v>
      </c>
      <c r="D4867" s="139" t="s">
        <v>11443</v>
      </c>
    </row>
    <row r="4868" spans="1:4" x14ac:dyDescent="0.25">
      <c r="A4868" s="139" t="s">
        <v>11442</v>
      </c>
      <c r="B4868" s="139" t="s">
        <v>11109</v>
      </c>
      <c r="C4868" s="139" t="s">
        <v>11439</v>
      </c>
      <c r="D4868" s="139" t="s">
        <v>11444</v>
      </c>
    </row>
    <row r="4869" spans="1:4" x14ac:dyDescent="0.25">
      <c r="A4869" s="139" t="s">
        <v>11373</v>
      </c>
      <c r="B4869" s="139" t="s">
        <v>11374</v>
      </c>
      <c r="C4869" s="139" t="s">
        <v>123</v>
      </c>
      <c r="D4869" s="139" t="s">
        <v>11445</v>
      </c>
    </row>
    <row r="4870" spans="1:4" x14ac:dyDescent="0.25">
      <c r="A4870" s="139" t="s">
        <v>11376</v>
      </c>
      <c r="B4870" s="139" t="s">
        <v>11374</v>
      </c>
      <c r="C4870" s="139" t="s">
        <v>123</v>
      </c>
      <c r="D4870" s="139" t="s">
        <v>11446</v>
      </c>
    </row>
    <row r="4871" spans="1:4" x14ac:dyDescent="0.25">
      <c r="A4871" s="139" t="s">
        <v>11378</v>
      </c>
      <c r="B4871" s="139" t="s">
        <v>11198</v>
      </c>
      <c r="C4871" s="139" t="s">
        <v>123</v>
      </c>
      <c r="D4871" s="139" t="s">
        <v>11447</v>
      </c>
    </row>
    <row r="4872" spans="1:4" x14ac:dyDescent="0.25">
      <c r="A4872" s="139" t="s">
        <v>11380</v>
      </c>
      <c r="B4872" s="139" t="s">
        <v>11198</v>
      </c>
      <c r="C4872" s="139" t="s">
        <v>123</v>
      </c>
      <c r="D4872" s="139" t="s">
        <v>11448</v>
      </c>
    </row>
    <row r="4873" spans="1:4" x14ac:dyDescent="0.25">
      <c r="A4873" s="139" t="s">
        <v>11382</v>
      </c>
      <c r="B4873" s="139" t="s">
        <v>11374</v>
      </c>
      <c r="C4873" s="139" t="s">
        <v>123</v>
      </c>
      <c r="D4873" s="139" t="s">
        <v>11449</v>
      </c>
    </row>
    <row r="4874" spans="1:4" x14ac:dyDescent="0.25">
      <c r="A4874" s="139" t="s">
        <v>11450</v>
      </c>
      <c r="B4874" s="139" t="s">
        <v>11451</v>
      </c>
      <c r="C4874" s="139" t="s">
        <v>65</v>
      </c>
      <c r="D4874" s="139" t="s">
        <v>11452</v>
      </c>
    </row>
    <row r="4875" spans="1:4" x14ac:dyDescent="0.25">
      <c r="A4875" s="139" t="s">
        <v>11453</v>
      </c>
      <c r="B4875" s="139" t="s">
        <v>11451</v>
      </c>
      <c r="C4875" s="139" t="s">
        <v>65</v>
      </c>
      <c r="D4875" s="139" t="s">
        <v>11454</v>
      </c>
    </row>
    <row r="4876" spans="1:4" x14ac:dyDescent="0.25">
      <c r="A4876" s="139" t="s">
        <v>11455</v>
      </c>
      <c r="B4876" s="139" t="s">
        <v>11456</v>
      </c>
      <c r="C4876" s="139" t="s">
        <v>65</v>
      </c>
      <c r="D4876" s="139" t="s">
        <v>11457</v>
      </c>
    </row>
    <row r="4877" spans="1:4" x14ac:dyDescent="0.25">
      <c r="A4877" s="139" t="s">
        <v>11458</v>
      </c>
      <c r="B4877" s="139" t="s">
        <v>11456</v>
      </c>
      <c r="C4877" s="139" t="s">
        <v>65</v>
      </c>
      <c r="D4877" s="139" t="s">
        <v>11459</v>
      </c>
    </row>
    <row r="4878" spans="1:4" x14ac:dyDescent="0.25">
      <c r="A4878" s="139" t="s">
        <v>11460</v>
      </c>
      <c r="B4878" s="139" t="s">
        <v>11461</v>
      </c>
      <c r="C4878" s="139" t="s">
        <v>65</v>
      </c>
      <c r="D4878" s="139" t="s">
        <v>11462</v>
      </c>
    </row>
    <row r="4879" spans="1:4" x14ac:dyDescent="0.25">
      <c r="A4879" s="139" t="s">
        <v>11463</v>
      </c>
      <c r="B4879" s="139" t="s">
        <v>11461</v>
      </c>
      <c r="C4879" s="139" t="s">
        <v>65</v>
      </c>
      <c r="D4879" s="139" t="s">
        <v>11464</v>
      </c>
    </row>
    <row r="4880" spans="1:4" x14ac:dyDescent="0.25">
      <c r="A4880" s="139" t="s">
        <v>11465</v>
      </c>
      <c r="B4880" s="139" t="s">
        <v>11466</v>
      </c>
      <c r="C4880" s="139" t="s">
        <v>65</v>
      </c>
      <c r="D4880" s="139" t="s">
        <v>11467</v>
      </c>
    </row>
    <row r="4881" spans="1:4" x14ac:dyDescent="0.25">
      <c r="A4881" s="139" t="s">
        <v>11468</v>
      </c>
      <c r="B4881" s="139" t="s">
        <v>11466</v>
      </c>
      <c r="C4881" s="139" t="s">
        <v>65</v>
      </c>
      <c r="D4881" s="139" t="s">
        <v>11469</v>
      </c>
    </row>
    <row r="4882" spans="1:4" x14ac:dyDescent="0.25">
      <c r="A4882" s="139" t="s">
        <v>11470</v>
      </c>
      <c r="B4882" s="139" t="s">
        <v>11471</v>
      </c>
      <c r="C4882" s="139" t="s">
        <v>65</v>
      </c>
      <c r="D4882" s="139" t="s">
        <v>11472</v>
      </c>
    </row>
    <row r="4883" spans="1:4" x14ac:dyDescent="0.25">
      <c r="A4883" s="139" t="s">
        <v>11473</v>
      </c>
      <c r="B4883" s="139" t="s">
        <v>11471</v>
      </c>
      <c r="C4883" s="139" t="s">
        <v>65</v>
      </c>
      <c r="D4883" s="139" t="s">
        <v>11474</v>
      </c>
    </row>
    <row r="4884" spans="1:4" x14ac:dyDescent="0.25">
      <c r="A4884" s="139" t="s">
        <v>11475</v>
      </c>
      <c r="B4884" s="139" t="s">
        <v>11476</v>
      </c>
      <c r="C4884" s="139" t="s">
        <v>65</v>
      </c>
      <c r="D4884" s="139" t="s">
        <v>11477</v>
      </c>
    </row>
    <row r="4885" spans="1:4" x14ac:dyDescent="0.25">
      <c r="A4885" s="139" t="s">
        <v>11478</v>
      </c>
      <c r="B4885" s="139" t="s">
        <v>11476</v>
      </c>
      <c r="C4885" s="139" t="s">
        <v>65</v>
      </c>
      <c r="D4885" s="139" t="s">
        <v>11479</v>
      </c>
    </row>
    <row r="4886" spans="1:4" x14ac:dyDescent="0.25">
      <c r="A4886" s="139" t="s">
        <v>11480</v>
      </c>
      <c r="B4886" s="139" t="s">
        <v>11451</v>
      </c>
      <c r="C4886" s="139" t="s">
        <v>65</v>
      </c>
      <c r="D4886" s="139" t="s">
        <v>11481</v>
      </c>
    </row>
    <row r="4887" spans="1:4" x14ac:dyDescent="0.25">
      <c r="A4887" s="139" t="s">
        <v>11482</v>
      </c>
      <c r="B4887" s="139" t="s">
        <v>11451</v>
      </c>
      <c r="C4887" s="139" t="s">
        <v>65</v>
      </c>
      <c r="D4887" s="139" t="s">
        <v>11483</v>
      </c>
    </row>
    <row r="4888" spans="1:4" x14ac:dyDescent="0.25">
      <c r="A4888" s="139" t="s">
        <v>11484</v>
      </c>
      <c r="B4888" s="139" t="s">
        <v>10388</v>
      </c>
      <c r="C4888" s="139" t="s">
        <v>65</v>
      </c>
      <c r="D4888" s="139" t="s">
        <v>11485</v>
      </c>
    </row>
    <row r="4889" spans="1:4" x14ac:dyDescent="0.25">
      <c r="A4889" s="139" t="s">
        <v>11486</v>
      </c>
      <c r="B4889" s="139" t="s">
        <v>10388</v>
      </c>
      <c r="C4889" s="139" t="s">
        <v>65</v>
      </c>
      <c r="D4889" s="139" t="s">
        <v>11487</v>
      </c>
    </row>
    <row r="4890" spans="1:4" x14ac:dyDescent="0.25">
      <c r="A4890" s="139" t="s">
        <v>11488</v>
      </c>
      <c r="B4890" s="139" t="s">
        <v>11489</v>
      </c>
      <c r="C4890" s="139" t="s">
        <v>123</v>
      </c>
      <c r="D4890" s="139" t="s">
        <v>11490</v>
      </c>
    </row>
    <row r="4891" spans="1:4" x14ac:dyDescent="0.25">
      <c r="A4891" s="139" t="s">
        <v>11491</v>
      </c>
      <c r="B4891" s="139" t="s">
        <v>11489</v>
      </c>
      <c r="C4891" s="139" t="s">
        <v>123</v>
      </c>
      <c r="D4891" s="139" t="s">
        <v>11492</v>
      </c>
    </row>
    <row r="4892" spans="1:4" x14ac:dyDescent="0.25">
      <c r="A4892" s="139" t="s">
        <v>11493</v>
      </c>
      <c r="B4892" s="139" t="s">
        <v>11494</v>
      </c>
      <c r="C4892" s="139" t="s">
        <v>10363</v>
      </c>
      <c r="D4892" s="139" t="s">
        <v>11495</v>
      </c>
    </row>
    <row r="4893" spans="1:4" x14ac:dyDescent="0.25">
      <c r="A4893" s="139" t="s">
        <v>11496</v>
      </c>
      <c r="B4893" s="139" t="s">
        <v>11494</v>
      </c>
      <c r="C4893" s="139" t="s">
        <v>10363</v>
      </c>
      <c r="D4893" s="139" t="s">
        <v>11497</v>
      </c>
    </row>
    <row r="4894" spans="1:4" x14ac:dyDescent="0.25">
      <c r="A4894" s="139" t="s">
        <v>11498</v>
      </c>
      <c r="B4894" s="139" t="s">
        <v>11499</v>
      </c>
      <c r="C4894" s="139" t="s">
        <v>112</v>
      </c>
      <c r="D4894" s="139" t="s">
        <v>11500</v>
      </c>
    </row>
    <row r="4895" spans="1:4" x14ac:dyDescent="0.25">
      <c r="A4895" s="139" t="s">
        <v>11501</v>
      </c>
      <c r="B4895" s="139" t="s">
        <v>11502</v>
      </c>
      <c r="C4895" s="139" t="s">
        <v>112</v>
      </c>
      <c r="D4895" s="139" t="s">
        <v>11503</v>
      </c>
    </row>
    <row r="4896" spans="1:4" x14ac:dyDescent="0.25">
      <c r="A4896" s="139" t="s">
        <v>11504</v>
      </c>
      <c r="B4896" s="139" t="s">
        <v>11505</v>
      </c>
      <c r="C4896" s="139" t="s">
        <v>112</v>
      </c>
      <c r="D4896" s="139" t="s">
        <v>11506</v>
      </c>
    </row>
    <row r="4897" spans="1:4" x14ac:dyDescent="0.25">
      <c r="A4897" s="139" t="s">
        <v>11507</v>
      </c>
      <c r="B4897" s="139" t="s">
        <v>2153</v>
      </c>
      <c r="C4897" s="139" t="s">
        <v>127</v>
      </c>
      <c r="D4897" s="139" t="s">
        <v>11508</v>
      </c>
    </row>
    <row r="4898" spans="1:4" x14ac:dyDescent="0.25">
      <c r="A4898" s="139" t="s">
        <v>11509</v>
      </c>
      <c r="B4898" s="139" t="s">
        <v>11510</v>
      </c>
      <c r="C4898" s="139" t="s">
        <v>127</v>
      </c>
      <c r="D4898" s="139" t="s">
        <v>11511</v>
      </c>
    </row>
    <row r="4899" spans="1:4" x14ac:dyDescent="0.25">
      <c r="A4899" s="139" t="s">
        <v>11512</v>
      </c>
      <c r="B4899" s="139" t="s">
        <v>2153</v>
      </c>
      <c r="C4899" s="139" t="s">
        <v>2895</v>
      </c>
      <c r="D4899" s="139" t="s">
        <v>11513</v>
      </c>
    </row>
    <row r="4900" spans="1:4" x14ac:dyDescent="0.25">
      <c r="A4900" s="139" t="s">
        <v>11514</v>
      </c>
      <c r="B4900" s="139" t="s">
        <v>2148</v>
      </c>
      <c r="C4900" s="139" t="s">
        <v>2895</v>
      </c>
      <c r="D4900" s="139" t="s">
        <v>11515</v>
      </c>
    </row>
    <row r="4901" spans="1:4" x14ac:dyDescent="0.25">
      <c r="A4901" s="139" t="s">
        <v>11516</v>
      </c>
      <c r="B4901" s="139" t="s">
        <v>7536</v>
      </c>
      <c r="C4901" s="139" t="s">
        <v>2895</v>
      </c>
      <c r="D4901" s="139" t="s">
        <v>11517</v>
      </c>
    </row>
    <row r="4902" spans="1:4" x14ac:dyDescent="0.25">
      <c r="A4902" s="139" t="s">
        <v>11518</v>
      </c>
      <c r="B4902" s="139" t="s">
        <v>7531</v>
      </c>
      <c r="C4902" s="139" t="s">
        <v>2895</v>
      </c>
      <c r="D4902" s="139" t="s">
        <v>11519</v>
      </c>
    </row>
    <row r="4903" spans="1:4" x14ac:dyDescent="0.25">
      <c r="A4903" s="139" t="s">
        <v>11520</v>
      </c>
      <c r="B4903" s="139" t="s">
        <v>11521</v>
      </c>
      <c r="C4903" s="139" t="s">
        <v>112</v>
      </c>
      <c r="D4903" s="139" t="s">
        <v>11522</v>
      </c>
    </row>
    <row r="4904" spans="1:4" x14ac:dyDescent="0.25">
      <c r="A4904" s="139" t="s">
        <v>11523</v>
      </c>
      <c r="B4904" s="139" t="s">
        <v>11524</v>
      </c>
      <c r="C4904" s="139" t="s">
        <v>112</v>
      </c>
      <c r="D4904" s="139" t="s">
        <v>11525</v>
      </c>
    </row>
    <row r="4905" spans="1:4" x14ac:dyDescent="0.25">
      <c r="A4905" s="139" t="s">
        <v>11526</v>
      </c>
      <c r="B4905" s="139" t="s">
        <v>11527</v>
      </c>
      <c r="C4905" s="139" t="s">
        <v>112</v>
      </c>
      <c r="D4905" s="139" t="s">
        <v>11528</v>
      </c>
    </row>
    <row r="4906" spans="1:4" x14ac:dyDescent="0.25">
      <c r="A4906" s="139" t="s">
        <v>11529</v>
      </c>
      <c r="B4906" s="139" t="s">
        <v>11530</v>
      </c>
      <c r="C4906" s="139" t="s">
        <v>127</v>
      </c>
      <c r="D4906" s="139" t="s">
        <v>11531</v>
      </c>
    </row>
    <row r="4907" spans="1:4" x14ac:dyDescent="0.25">
      <c r="A4907" s="139" t="s">
        <v>11532</v>
      </c>
      <c r="B4907" s="139" t="s">
        <v>552</v>
      </c>
      <c r="C4907" s="139" t="s">
        <v>127</v>
      </c>
      <c r="D4907" s="139" t="s">
        <v>11533</v>
      </c>
    </row>
    <row r="4908" spans="1:4" x14ac:dyDescent="0.25">
      <c r="A4908" s="139" t="s">
        <v>11534</v>
      </c>
      <c r="B4908" s="139" t="s">
        <v>357</v>
      </c>
      <c r="C4908" s="139" t="s">
        <v>127</v>
      </c>
      <c r="D4908" s="139" t="s">
        <v>11535</v>
      </c>
    </row>
    <row r="4909" spans="1:4" x14ac:dyDescent="0.25">
      <c r="A4909" s="139" t="s">
        <v>11536</v>
      </c>
      <c r="B4909" s="139" t="s">
        <v>3294</v>
      </c>
      <c r="C4909" s="139" t="s">
        <v>123</v>
      </c>
      <c r="D4909" s="139" t="s">
        <v>11537</v>
      </c>
    </row>
    <row r="4910" spans="1:4" x14ac:dyDescent="0.25">
      <c r="A4910" s="139" t="s">
        <v>11538</v>
      </c>
      <c r="B4910" s="139" t="s">
        <v>11530</v>
      </c>
      <c r="C4910" s="139" t="s">
        <v>127</v>
      </c>
      <c r="D4910" s="139" t="s">
        <v>11539</v>
      </c>
    </row>
    <row r="4911" spans="1:4" x14ac:dyDescent="0.25">
      <c r="A4911" s="139" t="s">
        <v>11540</v>
      </c>
      <c r="B4911" s="139" t="s">
        <v>552</v>
      </c>
      <c r="C4911" s="139" t="s">
        <v>127</v>
      </c>
      <c r="D4911" s="139" t="s">
        <v>11541</v>
      </c>
    </row>
    <row r="4912" spans="1:4" x14ac:dyDescent="0.25">
      <c r="A4912" s="139" t="s">
        <v>11542</v>
      </c>
      <c r="B4912" s="139" t="s">
        <v>357</v>
      </c>
      <c r="C4912" s="139" t="s">
        <v>127</v>
      </c>
      <c r="D4912" s="139" t="s">
        <v>11543</v>
      </c>
    </row>
    <row r="4913" spans="1:4" x14ac:dyDescent="0.25">
      <c r="A4913" s="139" t="s">
        <v>11544</v>
      </c>
      <c r="B4913" s="139" t="s">
        <v>3294</v>
      </c>
      <c r="C4913" s="139" t="s">
        <v>123</v>
      </c>
      <c r="D4913" s="139" t="s">
        <v>11545</v>
      </c>
    </row>
    <row r="4914" spans="1:4" x14ac:dyDescent="0.25">
      <c r="A4914" s="139" t="s">
        <v>11546</v>
      </c>
      <c r="B4914" s="139" t="s">
        <v>11499</v>
      </c>
      <c r="C4914" s="139" t="s">
        <v>112</v>
      </c>
      <c r="D4914" s="139" t="s">
        <v>11547</v>
      </c>
    </row>
    <row r="4915" spans="1:4" x14ac:dyDescent="0.25">
      <c r="A4915" s="139" t="s">
        <v>11548</v>
      </c>
      <c r="B4915" s="139" t="s">
        <v>11502</v>
      </c>
      <c r="C4915" s="139" t="s">
        <v>112</v>
      </c>
      <c r="D4915" s="139" t="s">
        <v>11549</v>
      </c>
    </row>
    <row r="4916" spans="1:4" x14ac:dyDescent="0.25">
      <c r="A4916" s="139" t="s">
        <v>11550</v>
      </c>
      <c r="B4916" s="139" t="s">
        <v>11505</v>
      </c>
      <c r="C4916" s="139" t="s">
        <v>112</v>
      </c>
      <c r="D4916" s="139" t="s">
        <v>11551</v>
      </c>
    </row>
    <row r="4917" spans="1:4" x14ac:dyDescent="0.25">
      <c r="A4917" s="139" t="s">
        <v>11552</v>
      </c>
      <c r="B4917" s="139" t="s">
        <v>11521</v>
      </c>
      <c r="C4917" s="139" t="s">
        <v>112</v>
      </c>
      <c r="D4917" s="139" t="s">
        <v>11553</v>
      </c>
    </row>
    <row r="4918" spans="1:4" x14ac:dyDescent="0.25">
      <c r="A4918" s="139" t="s">
        <v>11554</v>
      </c>
      <c r="B4918" s="139" t="s">
        <v>11524</v>
      </c>
      <c r="C4918" s="139" t="s">
        <v>112</v>
      </c>
      <c r="D4918" s="139" t="s">
        <v>11555</v>
      </c>
    </row>
    <row r="4919" spans="1:4" x14ac:dyDescent="0.25">
      <c r="A4919" s="139" t="s">
        <v>11556</v>
      </c>
      <c r="B4919" s="139" t="s">
        <v>11527</v>
      </c>
      <c r="C4919" s="139" t="s">
        <v>112</v>
      </c>
      <c r="D4919" s="139" t="s">
        <v>11557</v>
      </c>
    </row>
    <row r="4920" spans="1:4" x14ac:dyDescent="0.25">
      <c r="A4920" s="139" t="s">
        <v>11558</v>
      </c>
      <c r="B4920" s="139" t="s">
        <v>2153</v>
      </c>
      <c r="C4920" s="139" t="s">
        <v>2895</v>
      </c>
      <c r="D4920" s="139" t="s">
        <v>11559</v>
      </c>
    </row>
    <row r="4921" spans="1:4" x14ac:dyDescent="0.25">
      <c r="A4921" s="139" t="s">
        <v>11560</v>
      </c>
      <c r="B4921" s="139" t="s">
        <v>2148</v>
      </c>
      <c r="C4921" s="139" t="s">
        <v>2895</v>
      </c>
      <c r="D4921" s="139" t="s">
        <v>11561</v>
      </c>
    </row>
    <row r="4922" spans="1:4" x14ac:dyDescent="0.25">
      <c r="A4922" s="139" t="s">
        <v>11562</v>
      </c>
      <c r="B4922" s="139" t="s">
        <v>7536</v>
      </c>
      <c r="C4922" s="139" t="s">
        <v>2895</v>
      </c>
      <c r="D4922" s="139" t="s">
        <v>11563</v>
      </c>
    </row>
    <row r="4923" spans="1:4" x14ac:dyDescent="0.25">
      <c r="A4923" s="139" t="s">
        <v>11564</v>
      </c>
      <c r="B4923" s="139" t="s">
        <v>7531</v>
      </c>
      <c r="C4923" s="139" t="s">
        <v>2895</v>
      </c>
      <c r="D4923" s="139" t="s">
        <v>11565</v>
      </c>
    </row>
    <row r="4924" spans="1:4" x14ac:dyDescent="0.25">
      <c r="A4924" s="139" t="s">
        <v>11566</v>
      </c>
      <c r="B4924" s="139" t="s">
        <v>2153</v>
      </c>
      <c r="C4924" s="139" t="s">
        <v>127</v>
      </c>
      <c r="D4924" s="139" t="s">
        <v>11567</v>
      </c>
    </row>
    <row r="4925" spans="1:4" x14ac:dyDescent="0.25">
      <c r="A4925" s="139" t="s">
        <v>11568</v>
      </c>
      <c r="B4925" s="139" t="s">
        <v>11510</v>
      </c>
      <c r="C4925" s="139" t="s">
        <v>127</v>
      </c>
      <c r="D4925" s="139" t="s">
        <v>11569</v>
      </c>
    </row>
    <row r="4926" spans="1:4" x14ac:dyDescent="0.25">
      <c r="A4926" s="139" t="s">
        <v>11570</v>
      </c>
      <c r="B4926" s="139" t="s">
        <v>680</v>
      </c>
      <c r="C4926" s="139" t="s">
        <v>123</v>
      </c>
      <c r="D4926" s="139" t="s">
        <v>11571</v>
      </c>
    </row>
    <row r="4927" spans="1:4" x14ac:dyDescent="0.25">
      <c r="A4927" s="139" t="s">
        <v>11572</v>
      </c>
      <c r="B4927" s="139" t="s">
        <v>680</v>
      </c>
      <c r="C4927" s="139" t="s">
        <v>123</v>
      </c>
      <c r="D4927" s="139" t="s">
        <v>11573</v>
      </c>
    </row>
    <row r="4928" spans="1:4" x14ac:dyDescent="0.25">
      <c r="A4928" s="139" t="s">
        <v>11574</v>
      </c>
      <c r="B4928" s="139" t="s">
        <v>11575</v>
      </c>
      <c r="C4928" s="139" t="s">
        <v>123</v>
      </c>
      <c r="D4928" s="139" t="s">
        <v>11576</v>
      </c>
    </row>
    <row r="4929" spans="1:4" x14ac:dyDescent="0.25">
      <c r="A4929" s="139" t="s">
        <v>11577</v>
      </c>
      <c r="B4929" s="139" t="s">
        <v>11575</v>
      </c>
      <c r="C4929" s="139" t="s">
        <v>123</v>
      </c>
      <c r="D4929" s="139" t="s">
        <v>11578</v>
      </c>
    </row>
    <row r="4930" spans="1:4" x14ac:dyDescent="0.25">
      <c r="A4930" s="139" t="s">
        <v>11579</v>
      </c>
      <c r="B4930" s="139" t="s">
        <v>11580</v>
      </c>
      <c r="C4930" s="139" t="s">
        <v>123</v>
      </c>
      <c r="D4930" s="139" t="s">
        <v>11581</v>
      </c>
    </row>
    <row r="4931" spans="1:4" x14ac:dyDescent="0.25">
      <c r="A4931" s="139" t="s">
        <v>11582</v>
      </c>
      <c r="B4931" s="139" t="s">
        <v>11580</v>
      </c>
      <c r="C4931" s="139" t="s">
        <v>123</v>
      </c>
      <c r="D4931" s="139" t="s">
        <v>11583</v>
      </c>
    </row>
    <row r="4932" spans="1:4" x14ac:dyDescent="0.25">
      <c r="A4932" s="139" t="s">
        <v>11584</v>
      </c>
      <c r="B4932" s="139" t="s">
        <v>11585</v>
      </c>
      <c r="C4932" s="139" t="s">
        <v>123</v>
      </c>
      <c r="D4932" s="139" t="s">
        <v>11586</v>
      </c>
    </row>
    <row r="4933" spans="1:4" x14ac:dyDescent="0.25">
      <c r="A4933" s="139" t="s">
        <v>11587</v>
      </c>
      <c r="B4933" s="139" t="s">
        <v>11585</v>
      </c>
      <c r="C4933" s="139" t="s">
        <v>123</v>
      </c>
      <c r="D4933" s="139" t="s">
        <v>11588</v>
      </c>
    </row>
    <row r="4934" spans="1:4" x14ac:dyDescent="0.25">
      <c r="A4934" s="139" t="s">
        <v>11589</v>
      </c>
      <c r="B4934" s="139" t="s">
        <v>3294</v>
      </c>
      <c r="C4934" s="139" t="s">
        <v>123</v>
      </c>
      <c r="D4934" s="139" t="s">
        <v>11590</v>
      </c>
    </row>
    <row r="4935" spans="1:4" x14ac:dyDescent="0.25">
      <c r="A4935" s="139" t="s">
        <v>11591</v>
      </c>
      <c r="B4935" s="139" t="s">
        <v>3294</v>
      </c>
      <c r="C4935" s="139" t="s">
        <v>123</v>
      </c>
      <c r="D4935" s="139" t="s">
        <v>11592</v>
      </c>
    </row>
    <row r="4936" spans="1:4" x14ac:dyDescent="0.25">
      <c r="A4936" s="139" t="s">
        <v>11593</v>
      </c>
      <c r="B4936" s="139" t="s">
        <v>11594</v>
      </c>
      <c r="C4936" s="139" t="s">
        <v>65</v>
      </c>
      <c r="D4936" s="139" t="s">
        <v>11595</v>
      </c>
    </row>
    <row r="4937" spans="1:4" x14ac:dyDescent="0.25">
      <c r="A4937" s="139" t="s">
        <v>11596</v>
      </c>
      <c r="B4937" s="139" t="s">
        <v>11594</v>
      </c>
      <c r="C4937" s="139" t="s">
        <v>65</v>
      </c>
      <c r="D4937" s="139" t="s">
        <v>11597</v>
      </c>
    </row>
    <row r="4938" spans="1:4" x14ac:dyDescent="0.25">
      <c r="A4938" s="139" t="s">
        <v>11598</v>
      </c>
      <c r="B4938" s="139" t="s">
        <v>346</v>
      </c>
      <c r="C4938" s="139" t="s">
        <v>65</v>
      </c>
      <c r="D4938" s="139" t="s">
        <v>11599</v>
      </c>
    </row>
    <row r="4939" spans="1:4" x14ac:dyDescent="0.25">
      <c r="A4939" s="139" t="s">
        <v>11600</v>
      </c>
      <c r="B4939" s="139" t="s">
        <v>346</v>
      </c>
      <c r="C4939" s="139" t="s">
        <v>65</v>
      </c>
      <c r="D4939" s="139" t="s">
        <v>11601</v>
      </c>
    </row>
    <row r="4940" spans="1:4" x14ac:dyDescent="0.25">
      <c r="A4940" s="139" t="s">
        <v>11602</v>
      </c>
      <c r="B4940" s="139" t="s">
        <v>9127</v>
      </c>
      <c r="C4940" s="139" t="s">
        <v>65</v>
      </c>
      <c r="D4940" s="139" t="s">
        <v>11603</v>
      </c>
    </row>
    <row r="4941" spans="1:4" x14ac:dyDescent="0.25">
      <c r="A4941" s="139" t="s">
        <v>11604</v>
      </c>
      <c r="B4941" s="139" t="s">
        <v>9127</v>
      </c>
      <c r="C4941" s="139" t="s">
        <v>65</v>
      </c>
      <c r="D4941" s="139" t="s">
        <v>11605</v>
      </c>
    </row>
    <row r="4942" spans="1:4" x14ac:dyDescent="0.25">
      <c r="A4942" s="139" t="s">
        <v>11606</v>
      </c>
      <c r="B4942" s="139" t="s">
        <v>11607</v>
      </c>
      <c r="C4942" s="139" t="s">
        <v>65</v>
      </c>
      <c r="D4942" s="139" t="s">
        <v>11608</v>
      </c>
    </row>
    <row r="4943" spans="1:4" x14ac:dyDescent="0.25">
      <c r="A4943" s="139" t="s">
        <v>11609</v>
      </c>
      <c r="B4943" s="139" t="s">
        <v>11607</v>
      </c>
      <c r="C4943" s="139" t="s">
        <v>65</v>
      </c>
      <c r="D4943" s="139" t="s">
        <v>11610</v>
      </c>
    </row>
    <row r="4944" spans="1:4" x14ac:dyDescent="0.25">
      <c r="A4944" s="139" t="s">
        <v>11611</v>
      </c>
      <c r="B4944" s="139" t="s">
        <v>11612</v>
      </c>
      <c r="C4944" s="139" t="s">
        <v>33</v>
      </c>
      <c r="D4944" s="139" t="s">
        <v>11613</v>
      </c>
    </row>
    <row r="4945" spans="1:4" x14ac:dyDescent="0.25">
      <c r="A4945" s="139" t="s">
        <v>11614</v>
      </c>
      <c r="B4945" s="139" t="s">
        <v>11612</v>
      </c>
      <c r="C4945" s="139" t="s">
        <v>33</v>
      </c>
      <c r="D4945" s="139" t="s">
        <v>11615</v>
      </c>
    </row>
    <row r="4946" spans="1:4" x14ac:dyDescent="0.25">
      <c r="A4946" s="139" t="s">
        <v>11616</v>
      </c>
      <c r="B4946" s="139" t="s">
        <v>11617</v>
      </c>
      <c r="C4946" s="139" t="s">
        <v>33</v>
      </c>
      <c r="D4946" s="139" t="s">
        <v>11618</v>
      </c>
    </row>
    <row r="4947" spans="1:4" x14ac:dyDescent="0.25">
      <c r="A4947" s="139" t="s">
        <v>11619</v>
      </c>
      <c r="B4947" s="139" t="s">
        <v>11617</v>
      </c>
      <c r="C4947" s="139" t="s">
        <v>33</v>
      </c>
      <c r="D4947" s="139" t="s">
        <v>11620</v>
      </c>
    </row>
    <row r="4948" spans="1:4" x14ac:dyDescent="0.25">
      <c r="A4948" s="139" t="s">
        <v>11621</v>
      </c>
      <c r="B4948" s="139" t="s">
        <v>11622</v>
      </c>
      <c r="C4948" s="139" t="s">
        <v>33</v>
      </c>
      <c r="D4948" s="139" t="s">
        <v>11623</v>
      </c>
    </row>
    <row r="4949" spans="1:4" x14ac:dyDescent="0.25">
      <c r="A4949" s="139" t="s">
        <v>11624</v>
      </c>
      <c r="B4949" s="139" t="s">
        <v>11622</v>
      </c>
      <c r="C4949" s="139" t="s">
        <v>33</v>
      </c>
      <c r="D4949" s="139" t="s">
        <v>11625</v>
      </c>
    </row>
    <row r="4950" spans="1:4" x14ac:dyDescent="0.25">
      <c r="A4950" s="139" t="s">
        <v>11626</v>
      </c>
      <c r="B4950" s="139" t="s">
        <v>11627</v>
      </c>
      <c r="C4950" s="139" t="s">
        <v>33</v>
      </c>
      <c r="D4950" s="139" t="s">
        <v>11628</v>
      </c>
    </row>
    <row r="4951" spans="1:4" x14ac:dyDescent="0.25">
      <c r="A4951" s="139" t="s">
        <v>11629</v>
      </c>
      <c r="B4951" s="139" t="s">
        <v>11627</v>
      </c>
      <c r="C4951" s="139" t="s">
        <v>33</v>
      </c>
      <c r="D4951" s="139" t="s">
        <v>11630</v>
      </c>
    </row>
    <row r="4952" spans="1:4" x14ac:dyDescent="0.25">
      <c r="A4952" s="139" t="s">
        <v>11631</v>
      </c>
      <c r="B4952" s="139" t="s">
        <v>11632</v>
      </c>
      <c r="C4952" s="139" t="s">
        <v>33</v>
      </c>
      <c r="D4952" s="139" t="s">
        <v>11633</v>
      </c>
    </row>
    <row r="4953" spans="1:4" x14ac:dyDescent="0.25">
      <c r="A4953" s="139" t="s">
        <v>11634</v>
      </c>
      <c r="B4953" s="139" t="s">
        <v>11632</v>
      </c>
      <c r="C4953" s="139" t="s">
        <v>33</v>
      </c>
      <c r="D4953" s="139" t="s">
        <v>11635</v>
      </c>
    </row>
    <row r="4954" spans="1:4" x14ac:dyDescent="0.25">
      <c r="A4954" s="139" t="s">
        <v>11636</v>
      </c>
      <c r="B4954" s="139" t="s">
        <v>11637</v>
      </c>
      <c r="C4954" s="139" t="s">
        <v>33</v>
      </c>
      <c r="D4954" s="139" t="s">
        <v>11638</v>
      </c>
    </row>
    <row r="4955" spans="1:4" x14ac:dyDescent="0.25">
      <c r="A4955" s="139" t="s">
        <v>11639</v>
      </c>
      <c r="B4955" s="139" t="s">
        <v>11637</v>
      </c>
      <c r="C4955" s="139" t="s">
        <v>33</v>
      </c>
      <c r="D4955" s="139" t="s">
        <v>11640</v>
      </c>
    </row>
    <row r="4956" spans="1:4" x14ac:dyDescent="0.25">
      <c r="A4956" s="139" t="s">
        <v>11641</v>
      </c>
      <c r="B4956" s="139" t="s">
        <v>11642</v>
      </c>
      <c r="C4956" s="139" t="s">
        <v>33</v>
      </c>
      <c r="D4956" s="139" t="s">
        <v>11643</v>
      </c>
    </row>
    <row r="4957" spans="1:4" x14ac:dyDescent="0.25">
      <c r="A4957" s="139" t="s">
        <v>11644</v>
      </c>
      <c r="B4957" s="139" t="s">
        <v>11642</v>
      </c>
      <c r="C4957" s="139" t="s">
        <v>33</v>
      </c>
      <c r="D4957" s="139" t="s">
        <v>11645</v>
      </c>
    </row>
    <row r="4958" spans="1:4" x14ac:dyDescent="0.25">
      <c r="A4958" s="139" t="s">
        <v>11646</v>
      </c>
      <c r="B4958" s="139" t="s">
        <v>11647</v>
      </c>
      <c r="C4958" s="139" t="s">
        <v>33</v>
      </c>
      <c r="D4958" s="139" t="s">
        <v>11648</v>
      </c>
    </row>
    <row r="4959" spans="1:4" x14ac:dyDescent="0.25">
      <c r="A4959" s="139" t="s">
        <v>11649</v>
      </c>
      <c r="B4959" s="139" t="s">
        <v>11647</v>
      </c>
      <c r="C4959" s="139" t="s">
        <v>33</v>
      </c>
      <c r="D4959" s="139" t="s">
        <v>11650</v>
      </c>
    </row>
    <row r="4960" spans="1:4" x14ac:dyDescent="0.25">
      <c r="A4960" s="139" t="s">
        <v>11651</v>
      </c>
      <c r="B4960" s="139" t="s">
        <v>11652</v>
      </c>
      <c r="C4960" s="139" t="s">
        <v>33</v>
      </c>
      <c r="D4960" s="139" t="s">
        <v>11653</v>
      </c>
    </row>
    <row r="4961" spans="1:4" x14ac:dyDescent="0.25">
      <c r="A4961" s="139" t="s">
        <v>11654</v>
      </c>
      <c r="B4961" s="139" t="s">
        <v>11652</v>
      </c>
      <c r="C4961" s="139" t="s">
        <v>33</v>
      </c>
      <c r="D4961" s="139" t="s">
        <v>11655</v>
      </c>
    </row>
    <row r="4962" spans="1:4" x14ac:dyDescent="0.25">
      <c r="A4962" s="139" t="s">
        <v>11656</v>
      </c>
      <c r="B4962" s="139" t="s">
        <v>11657</v>
      </c>
      <c r="C4962" s="139" t="s">
        <v>33</v>
      </c>
      <c r="D4962" s="139" t="s">
        <v>11658</v>
      </c>
    </row>
    <row r="4963" spans="1:4" x14ac:dyDescent="0.25">
      <c r="A4963" s="139" t="s">
        <v>11659</v>
      </c>
      <c r="B4963" s="139" t="s">
        <v>11657</v>
      </c>
      <c r="C4963" s="139" t="s">
        <v>33</v>
      </c>
      <c r="D4963" s="139" t="s">
        <v>11660</v>
      </c>
    </row>
    <row r="4964" spans="1:4" x14ac:dyDescent="0.25">
      <c r="A4964" s="139" t="s">
        <v>11661</v>
      </c>
      <c r="B4964" s="139" t="s">
        <v>11662</v>
      </c>
      <c r="C4964" s="139" t="s">
        <v>33</v>
      </c>
      <c r="D4964" s="139" t="s">
        <v>11663</v>
      </c>
    </row>
    <row r="4965" spans="1:4" x14ac:dyDescent="0.25">
      <c r="A4965" s="139" t="s">
        <v>11664</v>
      </c>
      <c r="B4965" s="139" t="s">
        <v>11662</v>
      </c>
      <c r="C4965" s="139" t="s">
        <v>33</v>
      </c>
      <c r="D4965" s="139" t="s">
        <v>11665</v>
      </c>
    </row>
    <row r="4966" spans="1:4" x14ac:dyDescent="0.25">
      <c r="A4966" s="139" t="s">
        <v>11666</v>
      </c>
      <c r="B4966" s="139" t="s">
        <v>11667</v>
      </c>
      <c r="C4966" s="139" t="s">
        <v>33</v>
      </c>
      <c r="D4966" s="139" t="s">
        <v>11668</v>
      </c>
    </row>
    <row r="4967" spans="1:4" x14ac:dyDescent="0.25">
      <c r="A4967" s="139" t="s">
        <v>11669</v>
      </c>
      <c r="B4967" s="139" t="s">
        <v>11667</v>
      </c>
      <c r="C4967" s="139" t="s">
        <v>33</v>
      </c>
      <c r="D4967" s="139" t="s">
        <v>11670</v>
      </c>
    </row>
    <row r="4968" spans="1:4" x14ac:dyDescent="0.25">
      <c r="A4968" s="139" t="s">
        <v>11671</v>
      </c>
      <c r="B4968" s="139" t="s">
        <v>11672</v>
      </c>
      <c r="C4968" s="139" t="s">
        <v>33</v>
      </c>
      <c r="D4968" s="139" t="s">
        <v>11673</v>
      </c>
    </row>
    <row r="4969" spans="1:4" x14ac:dyDescent="0.25">
      <c r="A4969" s="139" t="s">
        <v>11674</v>
      </c>
      <c r="B4969" s="139" t="s">
        <v>11672</v>
      </c>
      <c r="C4969" s="139" t="s">
        <v>33</v>
      </c>
      <c r="D4969" s="139" t="s">
        <v>11675</v>
      </c>
    </row>
    <row r="4970" spans="1:4" x14ac:dyDescent="0.25">
      <c r="A4970" s="139" t="s">
        <v>11676</v>
      </c>
      <c r="B4970" s="139" t="s">
        <v>11677</v>
      </c>
      <c r="C4970" s="139" t="s">
        <v>33</v>
      </c>
      <c r="D4970" s="139" t="s">
        <v>11678</v>
      </c>
    </row>
    <row r="4971" spans="1:4" x14ac:dyDescent="0.25">
      <c r="A4971" s="139" t="s">
        <v>11679</v>
      </c>
      <c r="B4971" s="139" t="s">
        <v>11677</v>
      </c>
      <c r="C4971" s="139" t="s">
        <v>33</v>
      </c>
      <c r="D4971" s="139" t="s">
        <v>11680</v>
      </c>
    </row>
    <row r="4972" spans="1:4" x14ac:dyDescent="0.25">
      <c r="A4972" s="139" t="s">
        <v>11681</v>
      </c>
      <c r="B4972" s="139" t="s">
        <v>11682</v>
      </c>
      <c r="C4972" s="139" t="s">
        <v>33</v>
      </c>
      <c r="D4972" s="139" t="s">
        <v>11683</v>
      </c>
    </row>
    <row r="4973" spans="1:4" x14ac:dyDescent="0.25">
      <c r="A4973" s="139" t="s">
        <v>11684</v>
      </c>
      <c r="B4973" s="139" t="s">
        <v>11682</v>
      </c>
      <c r="C4973" s="139" t="s">
        <v>33</v>
      </c>
      <c r="D4973" s="139" t="s">
        <v>11685</v>
      </c>
    </row>
    <row r="4974" spans="1:4" x14ac:dyDescent="0.25">
      <c r="A4974" s="139" t="s">
        <v>11686</v>
      </c>
      <c r="B4974" s="139" t="s">
        <v>11687</v>
      </c>
      <c r="C4974" s="139" t="s">
        <v>33</v>
      </c>
      <c r="D4974" s="139" t="s">
        <v>11688</v>
      </c>
    </row>
    <row r="4975" spans="1:4" x14ac:dyDescent="0.25">
      <c r="A4975" s="139" t="s">
        <v>11689</v>
      </c>
      <c r="B4975" s="139" t="s">
        <v>11687</v>
      </c>
      <c r="C4975" s="139" t="s">
        <v>33</v>
      </c>
      <c r="D4975" s="139" t="s">
        <v>11690</v>
      </c>
    </row>
    <row r="4976" spans="1:4" x14ac:dyDescent="0.25">
      <c r="A4976" s="139" t="s">
        <v>11691</v>
      </c>
      <c r="B4976" s="139" t="s">
        <v>1672</v>
      </c>
      <c r="C4976" s="139" t="s">
        <v>33</v>
      </c>
      <c r="D4976" s="139" t="s">
        <v>11692</v>
      </c>
    </row>
    <row r="4977" spans="1:4" x14ac:dyDescent="0.25">
      <c r="A4977" s="139" t="s">
        <v>11693</v>
      </c>
      <c r="B4977" s="139" t="s">
        <v>1672</v>
      </c>
      <c r="C4977" s="139" t="s">
        <v>33</v>
      </c>
      <c r="D4977" s="139" t="s">
        <v>11694</v>
      </c>
    </row>
    <row r="4978" spans="1:4" x14ac:dyDescent="0.25">
      <c r="A4978" s="139" t="s">
        <v>11695</v>
      </c>
      <c r="B4978" s="139" t="s">
        <v>11696</v>
      </c>
      <c r="C4978" s="139" t="s">
        <v>33</v>
      </c>
      <c r="D4978" s="139" t="s">
        <v>11697</v>
      </c>
    </row>
    <row r="4979" spans="1:4" x14ac:dyDescent="0.25">
      <c r="A4979" s="139" t="s">
        <v>11698</v>
      </c>
      <c r="B4979" s="139" t="s">
        <v>11696</v>
      </c>
      <c r="C4979" s="139" t="s">
        <v>33</v>
      </c>
      <c r="D4979" s="139" t="s">
        <v>11699</v>
      </c>
    </row>
    <row r="4980" spans="1:4" x14ac:dyDescent="0.25">
      <c r="A4980" s="139" t="s">
        <v>11700</v>
      </c>
      <c r="B4980" s="139" t="s">
        <v>11701</v>
      </c>
      <c r="C4980" s="139" t="s">
        <v>33</v>
      </c>
      <c r="D4980" s="139" t="s">
        <v>11702</v>
      </c>
    </row>
    <row r="4981" spans="1:4" x14ac:dyDescent="0.25">
      <c r="A4981" s="139" t="s">
        <v>11703</v>
      </c>
      <c r="B4981" s="139" t="s">
        <v>11701</v>
      </c>
      <c r="C4981" s="139" t="s">
        <v>33</v>
      </c>
      <c r="D4981" s="139" t="s">
        <v>11704</v>
      </c>
    </row>
    <row r="4982" spans="1:4" x14ac:dyDescent="0.25">
      <c r="A4982" s="139" t="s">
        <v>11705</v>
      </c>
      <c r="B4982" s="139" t="s">
        <v>11706</v>
      </c>
      <c r="C4982" s="139" t="s">
        <v>33</v>
      </c>
      <c r="D4982" s="139" t="s">
        <v>11707</v>
      </c>
    </row>
    <row r="4983" spans="1:4" x14ac:dyDescent="0.25">
      <c r="A4983" s="139" t="s">
        <v>11708</v>
      </c>
      <c r="B4983" s="139" t="s">
        <v>11706</v>
      </c>
      <c r="C4983" s="139" t="s">
        <v>33</v>
      </c>
      <c r="D4983" s="139" t="s">
        <v>11709</v>
      </c>
    </row>
    <row r="4984" spans="1:4" x14ac:dyDescent="0.25">
      <c r="A4984" s="139" t="s">
        <v>11710</v>
      </c>
      <c r="B4984" s="139" t="s">
        <v>11711</v>
      </c>
      <c r="C4984" s="139" t="s">
        <v>33</v>
      </c>
      <c r="D4984" s="139" t="s">
        <v>11712</v>
      </c>
    </row>
    <row r="4985" spans="1:4" x14ac:dyDescent="0.25">
      <c r="A4985" s="139" t="s">
        <v>11713</v>
      </c>
      <c r="B4985" s="139" t="s">
        <v>11711</v>
      </c>
      <c r="C4985" s="139" t="s">
        <v>33</v>
      </c>
      <c r="D4985" s="139" t="s">
        <v>11714</v>
      </c>
    </row>
    <row r="4986" spans="1:4" x14ac:dyDescent="0.25">
      <c r="A4986" s="139" t="s">
        <v>11715</v>
      </c>
      <c r="B4986" s="139" t="s">
        <v>11716</v>
      </c>
      <c r="C4986" s="139" t="s">
        <v>33</v>
      </c>
      <c r="D4986" s="139" t="s">
        <v>11717</v>
      </c>
    </row>
    <row r="4987" spans="1:4" x14ac:dyDescent="0.25">
      <c r="A4987" s="139" t="s">
        <v>11718</v>
      </c>
      <c r="B4987" s="139" t="s">
        <v>11716</v>
      </c>
      <c r="C4987" s="139" t="s">
        <v>33</v>
      </c>
      <c r="D4987" s="139" t="s">
        <v>11719</v>
      </c>
    </row>
    <row r="4988" spans="1:4" x14ac:dyDescent="0.25">
      <c r="A4988" s="139" t="s">
        <v>11720</v>
      </c>
      <c r="B4988" s="139" t="s">
        <v>11721</v>
      </c>
      <c r="C4988" s="139" t="s">
        <v>33</v>
      </c>
      <c r="D4988" s="139" t="s">
        <v>11722</v>
      </c>
    </row>
    <row r="4989" spans="1:4" x14ac:dyDescent="0.25">
      <c r="A4989" s="139" t="s">
        <v>11723</v>
      </c>
      <c r="B4989" s="139" t="s">
        <v>11721</v>
      </c>
      <c r="C4989" s="139" t="s">
        <v>33</v>
      </c>
      <c r="D4989" s="139" t="s">
        <v>11724</v>
      </c>
    </row>
    <row r="4990" spans="1:4" x14ac:dyDescent="0.25">
      <c r="A4990" s="139" t="s">
        <v>11725</v>
      </c>
      <c r="B4990" s="139" t="s">
        <v>11726</v>
      </c>
      <c r="C4990" s="139" t="s">
        <v>33</v>
      </c>
      <c r="D4990" s="139" t="s">
        <v>11727</v>
      </c>
    </row>
    <row r="4991" spans="1:4" x14ac:dyDescent="0.25">
      <c r="A4991" s="139" t="s">
        <v>11728</v>
      </c>
      <c r="B4991" s="139" t="s">
        <v>11726</v>
      </c>
      <c r="C4991" s="139" t="s">
        <v>33</v>
      </c>
      <c r="D4991" s="139" t="s">
        <v>11729</v>
      </c>
    </row>
    <row r="4992" spans="1:4" x14ac:dyDescent="0.25">
      <c r="A4992" s="139" t="s">
        <v>11730</v>
      </c>
      <c r="B4992" s="139" t="s">
        <v>11731</v>
      </c>
      <c r="C4992" s="139" t="s">
        <v>33</v>
      </c>
      <c r="D4992" s="139" t="s">
        <v>11732</v>
      </c>
    </row>
    <row r="4993" spans="1:4" x14ac:dyDescent="0.25">
      <c r="A4993" s="139" t="s">
        <v>11733</v>
      </c>
      <c r="B4993" s="139" t="s">
        <v>11731</v>
      </c>
      <c r="C4993" s="139" t="s">
        <v>33</v>
      </c>
      <c r="D4993" s="139" t="s">
        <v>11734</v>
      </c>
    </row>
    <row r="4994" spans="1:4" x14ac:dyDescent="0.25">
      <c r="A4994" s="139" t="s">
        <v>11735</v>
      </c>
      <c r="B4994" s="139" t="s">
        <v>11736</v>
      </c>
      <c r="C4994" s="139" t="s">
        <v>33</v>
      </c>
      <c r="D4994" s="139" t="s">
        <v>11737</v>
      </c>
    </row>
    <row r="4995" spans="1:4" x14ac:dyDescent="0.25">
      <c r="A4995" s="139" t="s">
        <v>11738</v>
      </c>
      <c r="B4995" s="139" t="s">
        <v>11736</v>
      </c>
      <c r="C4995" s="139" t="s">
        <v>33</v>
      </c>
      <c r="D4995" s="139" t="s">
        <v>11739</v>
      </c>
    </row>
    <row r="4996" spans="1:4" x14ac:dyDescent="0.25">
      <c r="A4996" s="139" t="s">
        <v>11740</v>
      </c>
      <c r="B4996" s="139" t="s">
        <v>534</v>
      </c>
      <c r="C4996" s="139" t="s">
        <v>127</v>
      </c>
      <c r="D4996" s="139" t="s">
        <v>11741</v>
      </c>
    </row>
    <row r="4997" spans="1:4" x14ac:dyDescent="0.25">
      <c r="A4997" s="139" t="s">
        <v>11742</v>
      </c>
      <c r="B4997" s="139" t="s">
        <v>534</v>
      </c>
      <c r="C4997" s="139" t="s">
        <v>127</v>
      </c>
      <c r="D4997" s="139" t="s">
        <v>11743</v>
      </c>
    </row>
    <row r="4998" spans="1:4" x14ac:dyDescent="0.25">
      <c r="A4998" s="139" t="s">
        <v>11744</v>
      </c>
      <c r="B4998" s="139" t="s">
        <v>371</v>
      </c>
      <c r="C4998" s="139" t="s">
        <v>127</v>
      </c>
      <c r="D4998" s="139" t="s">
        <v>11745</v>
      </c>
    </row>
    <row r="4999" spans="1:4" x14ac:dyDescent="0.25">
      <c r="A4999" s="139" t="s">
        <v>11746</v>
      </c>
      <c r="B4999" s="139" t="s">
        <v>371</v>
      </c>
      <c r="C4999" s="139" t="s">
        <v>127</v>
      </c>
      <c r="D4999" s="139" t="s">
        <v>11747</v>
      </c>
    </row>
    <row r="5000" spans="1:4" x14ac:dyDescent="0.25">
      <c r="A5000" s="139" t="s">
        <v>11748</v>
      </c>
      <c r="B5000" s="139" t="s">
        <v>6721</v>
      </c>
      <c r="C5000" s="139" t="s">
        <v>127</v>
      </c>
      <c r="D5000" s="139" t="s">
        <v>11749</v>
      </c>
    </row>
    <row r="5001" spans="1:4" x14ac:dyDescent="0.25">
      <c r="A5001" s="139" t="s">
        <v>11750</v>
      </c>
      <c r="B5001" s="139" t="s">
        <v>6721</v>
      </c>
      <c r="C5001" s="139" t="s">
        <v>127</v>
      </c>
      <c r="D5001" s="139" t="s">
        <v>11751</v>
      </c>
    </row>
    <row r="5002" spans="1:4" x14ac:dyDescent="0.25">
      <c r="A5002" s="139" t="s">
        <v>11752</v>
      </c>
      <c r="B5002" s="139" t="s">
        <v>11753</v>
      </c>
      <c r="C5002" s="139" t="s">
        <v>127</v>
      </c>
      <c r="D5002" s="139" t="s">
        <v>11754</v>
      </c>
    </row>
    <row r="5003" spans="1:4" x14ac:dyDescent="0.25">
      <c r="A5003" s="139" t="s">
        <v>11755</v>
      </c>
      <c r="B5003" s="139" t="s">
        <v>11753</v>
      </c>
      <c r="C5003" s="139" t="s">
        <v>127</v>
      </c>
      <c r="D5003" s="139" t="s">
        <v>11756</v>
      </c>
    </row>
    <row r="5004" spans="1:4" x14ac:dyDescent="0.25">
      <c r="A5004" s="139" t="s">
        <v>11757</v>
      </c>
      <c r="B5004" s="139" t="s">
        <v>541</v>
      </c>
      <c r="C5004" s="139" t="s">
        <v>127</v>
      </c>
      <c r="D5004" s="139" t="s">
        <v>11758</v>
      </c>
    </row>
    <row r="5005" spans="1:4" x14ac:dyDescent="0.25">
      <c r="A5005" s="139" t="s">
        <v>11759</v>
      </c>
      <c r="B5005" s="139" t="s">
        <v>541</v>
      </c>
      <c r="C5005" s="139" t="s">
        <v>127</v>
      </c>
      <c r="D5005" s="139" t="s">
        <v>11760</v>
      </c>
    </row>
    <row r="5006" spans="1:4" x14ac:dyDescent="0.25">
      <c r="A5006" s="139" t="s">
        <v>11761</v>
      </c>
      <c r="B5006" s="139" t="s">
        <v>552</v>
      </c>
      <c r="C5006" s="139" t="s">
        <v>127</v>
      </c>
      <c r="D5006" s="139" t="s">
        <v>11762</v>
      </c>
    </row>
    <row r="5007" spans="1:4" x14ac:dyDescent="0.25">
      <c r="A5007" s="139" t="s">
        <v>11763</v>
      </c>
      <c r="B5007" s="139" t="s">
        <v>552</v>
      </c>
      <c r="C5007" s="139" t="s">
        <v>127</v>
      </c>
      <c r="D5007" s="139" t="s">
        <v>11764</v>
      </c>
    </row>
    <row r="5008" spans="1:4" x14ac:dyDescent="0.25">
      <c r="A5008" s="139" t="s">
        <v>11765</v>
      </c>
      <c r="B5008" s="139" t="s">
        <v>11530</v>
      </c>
      <c r="C5008" s="139" t="s">
        <v>127</v>
      </c>
      <c r="D5008" s="139" t="s">
        <v>11766</v>
      </c>
    </row>
    <row r="5009" spans="1:4" x14ac:dyDescent="0.25">
      <c r="A5009" s="139" t="s">
        <v>11767</v>
      </c>
      <c r="B5009" s="139" t="s">
        <v>11530</v>
      </c>
      <c r="C5009" s="139" t="s">
        <v>127</v>
      </c>
      <c r="D5009" s="139" t="s">
        <v>11768</v>
      </c>
    </row>
    <row r="5010" spans="1:4" x14ac:dyDescent="0.25">
      <c r="A5010" s="139" t="s">
        <v>11769</v>
      </c>
      <c r="B5010" s="139" t="s">
        <v>6652</v>
      </c>
      <c r="C5010" s="139" t="s">
        <v>127</v>
      </c>
      <c r="D5010" s="139" t="s">
        <v>11770</v>
      </c>
    </row>
    <row r="5011" spans="1:4" x14ac:dyDescent="0.25">
      <c r="A5011" s="139" t="s">
        <v>11771</v>
      </c>
      <c r="B5011" s="139" t="s">
        <v>6652</v>
      </c>
      <c r="C5011" s="139" t="s">
        <v>127</v>
      </c>
      <c r="D5011" s="139" t="s">
        <v>11772</v>
      </c>
    </row>
    <row r="5012" spans="1:4" x14ac:dyDescent="0.25">
      <c r="A5012" s="139" t="s">
        <v>11773</v>
      </c>
      <c r="B5012" s="139" t="s">
        <v>11774</v>
      </c>
      <c r="C5012" s="139" t="s">
        <v>65</v>
      </c>
      <c r="D5012" s="139" t="s">
        <v>11775</v>
      </c>
    </row>
    <row r="5013" spans="1:4" x14ac:dyDescent="0.25">
      <c r="A5013" s="139" t="s">
        <v>11776</v>
      </c>
      <c r="B5013" s="139" t="s">
        <v>11774</v>
      </c>
      <c r="C5013" s="139" t="s">
        <v>65</v>
      </c>
      <c r="D5013" s="139" t="s">
        <v>11777</v>
      </c>
    </row>
    <row r="5014" spans="1:4" x14ac:dyDescent="0.25">
      <c r="A5014" s="139" t="s">
        <v>11778</v>
      </c>
      <c r="B5014" s="139" t="s">
        <v>7531</v>
      </c>
      <c r="C5014" s="139" t="s">
        <v>2895</v>
      </c>
      <c r="D5014" s="139" t="s">
        <v>11779</v>
      </c>
    </row>
    <row r="5015" spans="1:4" x14ac:dyDescent="0.25">
      <c r="A5015" s="139" t="s">
        <v>11780</v>
      </c>
      <c r="B5015" s="139" t="s">
        <v>7531</v>
      </c>
      <c r="C5015" s="139" t="s">
        <v>2895</v>
      </c>
      <c r="D5015" s="139" t="s">
        <v>11781</v>
      </c>
    </row>
    <row r="5016" spans="1:4" x14ac:dyDescent="0.25">
      <c r="A5016" s="139" t="s">
        <v>11782</v>
      </c>
      <c r="B5016" s="139" t="s">
        <v>7536</v>
      </c>
      <c r="C5016" s="139" t="s">
        <v>2895</v>
      </c>
      <c r="D5016" s="139" t="s">
        <v>11783</v>
      </c>
    </row>
    <row r="5017" spans="1:4" x14ac:dyDescent="0.25">
      <c r="A5017" s="139" t="s">
        <v>11784</v>
      </c>
      <c r="B5017" s="139" t="s">
        <v>7536</v>
      </c>
      <c r="C5017" s="139" t="s">
        <v>2895</v>
      </c>
      <c r="D5017" s="139" t="s">
        <v>11785</v>
      </c>
    </row>
    <row r="5018" spans="1:4" x14ac:dyDescent="0.25">
      <c r="A5018" s="139" t="s">
        <v>11786</v>
      </c>
      <c r="B5018" s="139" t="s">
        <v>2148</v>
      </c>
      <c r="C5018" s="139" t="s">
        <v>2895</v>
      </c>
      <c r="D5018" s="139" t="s">
        <v>11787</v>
      </c>
    </row>
    <row r="5019" spans="1:4" x14ac:dyDescent="0.25">
      <c r="A5019" s="139" t="s">
        <v>11788</v>
      </c>
      <c r="B5019" s="139" t="s">
        <v>2148</v>
      </c>
      <c r="C5019" s="139" t="s">
        <v>2895</v>
      </c>
      <c r="D5019" s="139" t="s">
        <v>11789</v>
      </c>
    </row>
    <row r="5020" spans="1:4" x14ac:dyDescent="0.25">
      <c r="A5020" s="139" t="s">
        <v>11790</v>
      </c>
      <c r="B5020" s="139" t="s">
        <v>2153</v>
      </c>
      <c r="C5020" s="139" t="s">
        <v>2895</v>
      </c>
      <c r="D5020" s="139" t="s">
        <v>11791</v>
      </c>
    </row>
    <row r="5021" spans="1:4" x14ac:dyDescent="0.25">
      <c r="A5021" s="139" t="s">
        <v>11792</v>
      </c>
      <c r="B5021" s="139" t="s">
        <v>2153</v>
      </c>
      <c r="C5021" s="139" t="s">
        <v>2895</v>
      </c>
      <c r="D5021" s="139" t="s">
        <v>11793</v>
      </c>
    </row>
    <row r="5022" spans="1:4" x14ac:dyDescent="0.25">
      <c r="A5022" s="139" t="s">
        <v>11794</v>
      </c>
      <c r="B5022" s="139" t="s">
        <v>11795</v>
      </c>
      <c r="C5022" s="139" t="s">
        <v>2895</v>
      </c>
      <c r="D5022" s="139" t="s">
        <v>11796</v>
      </c>
    </row>
    <row r="5023" spans="1:4" x14ac:dyDescent="0.25">
      <c r="A5023" s="139" t="s">
        <v>11797</v>
      </c>
      <c r="B5023" s="139" t="s">
        <v>11795</v>
      </c>
      <c r="C5023" s="139" t="s">
        <v>2895</v>
      </c>
      <c r="D5023" s="139" t="s">
        <v>11798</v>
      </c>
    </row>
    <row r="5024" spans="1:4" x14ac:dyDescent="0.25">
      <c r="A5024" s="139" t="s">
        <v>11799</v>
      </c>
      <c r="B5024" s="139" t="s">
        <v>11800</v>
      </c>
      <c r="C5024" s="139" t="s">
        <v>2895</v>
      </c>
      <c r="D5024" s="139" t="s">
        <v>11801</v>
      </c>
    </row>
    <row r="5025" spans="1:4" x14ac:dyDescent="0.25">
      <c r="A5025" s="139" t="s">
        <v>11802</v>
      </c>
      <c r="B5025" s="139" t="s">
        <v>11800</v>
      </c>
      <c r="C5025" s="139" t="s">
        <v>2895</v>
      </c>
      <c r="D5025" s="139" t="s">
        <v>11803</v>
      </c>
    </row>
    <row r="5026" spans="1:4" x14ac:dyDescent="0.25">
      <c r="A5026" s="139" t="s">
        <v>11804</v>
      </c>
      <c r="B5026" s="139" t="s">
        <v>11805</v>
      </c>
      <c r="C5026" s="139" t="s">
        <v>2895</v>
      </c>
      <c r="D5026" s="139" t="s">
        <v>11806</v>
      </c>
    </row>
    <row r="5027" spans="1:4" x14ac:dyDescent="0.25">
      <c r="A5027" s="139" t="s">
        <v>11807</v>
      </c>
      <c r="B5027" s="139" t="s">
        <v>11805</v>
      </c>
      <c r="C5027" s="139" t="s">
        <v>2895</v>
      </c>
      <c r="D5027" s="139" t="s">
        <v>11808</v>
      </c>
    </row>
    <row r="5028" spans="1:4" x14ac:dyDescent="0.25">
      <c r="A5028" s="139" t="s">
        <v>11809</v>
      </c>
      <c r="B5028" s="139" t="s">
        <v>10928</v>
      </c>
      <c r="C5028" s="139" t="s">
        <v>65</v>
      </c>
      <c r="D5028" s="139" t="s">
        <v>11810</v>
      </c>
    </row>
    <row r="5029" spans="1:4" x14ac:dyDescent="0.25">
      <c r="A5029" s="139" t="s">
        <v>11811</v>
      </c>
      <c r="B5029" s="139" t="s">
        <v>10928</v>
      </c>
      <c r="C5029" s="139" t="s">
        <v>65</v>
      </c>
      <c r="D5029" s="139" t="s">
        <v>11812</v>
      </c>
    </row>
    <row r="5030" spans="1:4" x14ac:dyDescent="0.25">
      <c r="A5030" s="139" t="s">
        <v>11813</v>
      </c>
      <c r="B5030" s="139" t="s">
        <v>3867</v>
      </c>
      <c r="C5030" s="139" t="s">
        <v>65</v>
      </c>
      <c r="D5030" s="139" t="s">
        <v>11814</v>
      </c>
    </row>
    <row r="5031" spans="1:4" x14ac:dyDescent="0.25">
      <c r="A5031" s="139" t="s">
        <v>11815</v>
      </c>
      <c r="B5031" s="139" t="s">
        <v>3867</v>
      </c>
      <c r="C5031" s="139" t="s">
        <v>65</v>
      </c>
      <c r="D5031" s="139" t="s">
        <v>11816</v>
      </c>
    </row>
    <row r="5032" spans="1:4" x14ac:dyDescent="0.25">
      <c r="A5032" s="139" t="s">
        <v>11817</v>
      </c>
      <c r="B5032" s="139" t="s">
        <v>3872</v>
      </c>
      <c r="C5032" s="139" t="s">
        <v>65</v>
      </c>
      <c r="D5032" s="139" t="s">
        <v>11818</v>
      </c>
    </row>
    <row r="5033" spans="1:4" x14ac:dyDescent="0.25">
      <c r="A5033" s="139" t="s">
        <v>11819</v>
      </c>
      <c r="B5033" s="139" t="s">
        <v>3872</v>
      </c>
      <c r="C5033" s="139" t="s">
        <v>65</v>
      </c>
      <c r="D5033" s="139" t="s">
        <v>11820</v>
      </c>
    </row>
    <row r="5034" spans="1:4" x14ac:dyDescent="0.25">
      <c r="A5034" s="139" t="s">
        <v>11821</v>
      </c>
      <c r="B5034" s="139" t="s">
        <v>5241</v>
      </c>
      <c r="C5034" s="139" t="s">
        <v>65</v>
      </c>
      <c r="D5034" s="139" t="s">
        <v>11822</v>
      </c>
    </row>
    <row r="5035" spans="1:4" x14ac:dyDescent="0.25">
      <c r="A5035" s="139" t="s">
        <v>11823</v>
      </c>
      <c r="B5035" s="139" t="s">
        <v>5241</v>
      </c>
      <c r="C5035" s="139" t="s">
        <v>65</v>
      </c>
      <c r="D5035" s="139" t="s">
        <v>11824</v>
      </c>
    </row>
    <row r="5036" spans="1:4" x14ac:dyDescent="0.25">
      <c r="A5036" s="139" t="s">
        <v>11825</v>
      </c>
      <c r="B5036" s="139" t="s">
        <v>64</v>
      </c>
      <c r="C5036" s="139" t="s">
        <v>664</v>
      </c>
      <c r="D5036" s="139" t="s">
        <v>11826</v>
      </c>
    </row>
    <row r="5037" spans="1:4" x14ac:dyDescent="0.25">
      <c r="A5037" s="139" t="s">
        <v>11827</v>
      </c>
      <c r="B5037" s="139" t="s">
        <v>64</v>
      </c>
      <c r="C5037" s="139" t="s">
        <v>664</v>
      </c>
      <c r="D5037" s="139" t="s">
        <v>11828</v>
      </c>
    </row>
    <row r="5038" spans="1:4" x14ac:dyDescent="0.25">
      <c r="A5038" s="139" t="s">
        <v>11829</v>
      </c>
      <c r="B5038" s="139" t="s">
        <v>11510</v>
      </c>
      <c r="C5038" s="139" t="s">
        <v>127</v>
      </c>
      <c r="D5038" s="139" t="s">
        <v>11830</v>
      </c>
    </row>
    <row r="5039" spans="1:4" x14ac:dyDescent="0.25">
      <c r="A5039" s="139" t="s">
        <v>11831</v>
      </c>
      <c r="B5039" s="139" t="s">
        <v>11510</v>
      </c>
      <c r="C5039" s="139" t="s">
        <v>127</v>
      </c>
      <c r="D5039" s="139" t="s">
        <v>11832</v>
      </c>
    </row>
    <row r="5040" spans="1:4" x14ac:dyDescent="0.25">
      <c r="A5040" s="139" t="s">
        <v>11833</v>
      </c>
      <c r="B5040" s="139" t="s">
        <v>2153</v>
      </c>
      <c r="C5040" s="139" t="s">
        <v>127</v>
      </c>
      <c r="D5040" s="139" t="s">
        <v>11834</v>
      </c>
    </row>
    <row r="5041" spans="1:4" x14ac:dyDescent="0.25">
      <c r="A5041" s="139" t="s">
        <v>11835</v>
      </c>
      <c r="B5041" s="139" t="s">
        <v>2153</v>
      </c>
      <c r="C5041" s="139" t="s">
        <v>127</v>
      </c>
      <c r="D5041" s="139" t="s">
        <v>11836</v>
      </c>
    </row>
    <row r="5042" spans="1:4" x14ac:dyDescent="0.25">
      <c r="A5042" s="139" t="s">
        <v>11837</v>
      </c>
      <c r="B5042" s="139" t="s">
        <v>11838</v>
      </c>
      <c r="C5042" s="139" t="s">
        <v>112</v>
      </c>
      <c r="D5042" s="139" t="s">
        <v>11839</v>
      </c>
    </row>
    <row r="5043" spans="1:4" x14ac:dyDescent="0.25">
      <c r="A5043" s="139" t="s">
        <v>11840</v>
      </c>
      <c r="B5043" s="139" t="s">
        <v>11838</v>
      </c>
      <c r="C5043" s="139" t="s">
        <v>112</v>
      </c>
      <c r="D5043" s="139" t="s">
        <v>11841</v>
      </c>
    </row>
    <row r="5044" spans="1:4" x14ac:dyDescent="0.25">
      <c r="A5044" s="139" t="s">
        <v>11842</v>
      </c>
      <c r="B5044" s="139" t="s">
        <v>11843</v>
      </c>
      <c r="C5044" s="139" t="s">
        <v>112</v>
      </c>
      <c r="D5044" s="139" t="s">
        <v>11844</v>
      </c>
    </row>
    <row r="5045" spans="1:4" x14ac:dyDescent="0.25">
      <c r="A5045" s="139" t="s">
        <v>11845</v>
      </c>
      <c r="B5045" s="139" t="s">
        <v>11843</v>
      </c>
      <c r="C5045" s="139" t="s">
        <v>112</v>
      </c>
      <c r="D5045" s="139" t="s">
        <v>11846</v>
      </c>
    </row>
    <row r="5046" spans="1:4" x14ac:dyDescent="0.25">
      <c r="A5046" s="139" t="s">
        <v>11847</v>
      </c>
      <c r="B5046" s="139" t="s">
        <v>11505</v>
      </c>
      <c r="C5046" s="139" t="s">
        <v>112</v>
      </c>
      <c r="D5046" s="139" t="s">
        <v>11848</v>
      </c>
    </row>
    <row r="5047" spans="1:4" x14ac:dyDescent="0.25">
      <c r="A5047" s="139" t="s">
        <v>11849</v>
      </c>
      <c r="B5047" s="139" t="s">
        <v>11505</v>
      </c>
      <c r="C5047" s="139" t="s">
        <v>112</v>
      </c>
      <c r="D5047" s="139" t="s">
        <v>11850</v>
      </c>
    </row>
    <row r="5048" spans="1:4" x14ac:dyDescent="0.25">
      <c r="A5048" s="139" t="s">
        <v>11851</v>
      </c>
      <c r="B5048" s="139" t="s">
        <v>11852</v>
      </c>
      <c r="C5048" s="139" t="s">
        <v>112</v>
      </c>
      <c r="D5048" s="139" t="s">
        <v>11853</v>
      </c>
    </row>
    <row r="5049" spans="1:4" x14ac:dyDescent="0.25">
      <c r="A5049" s="139" t="s">
        <v>11854</v>
      </c>
      <c r="B5049" s="139" t="s">
        <v>11852</v>
      </c>
      <c r="C5049" s="139" t="s">
        <v>112</v>
      </c>
      <c r="D5049" s="139" t="s">
        <v>11855</v>
      </c>
    </row>
    <row r="5050" spans="1:4" x14ac:dyDescent="0.25">
      <c r="A5050" s="139" t="s">
        <v>11856</v>
      </c>
      <c r="B5050" s="139" t="s">
        <v>11502</v>
      </c>
      <c r="C5050" s="139" t="s">
        <v>112</v>
      </c>
      <c r="D5050" s="139" t="s">
        <v>11857</v>
      </c>
    </row>
    <row r="5051" spans="1:4" x14ac:dyDescent="0.25">
      <c r="A5051" s="139" t="s">
        <v>11858</v>
      </c>
      <c r="B5051" s="139" t="s">
        <v>11502</v>
      </c>
      <c r="C5051" s="139" t="s">
        <v>112</v>
      </c>
      <c r="D5051" s="139" t="s">
        <v>11859</v>
      </c>
    </row>
    <row r="5052" spans="1:4" x14ac:dyDescent="0.25">
      <c r="A5052" s="139" t="s">
        <v>11860</v>
      </c>
      <c r="B5052" s="139" t="s">
        <v>11499</v>
      </c>
      <c r="C5052" s="139" t="s">
        <v>112</v>
      </c>
      <c r="D5052" s="139" t="s">
        <v>11861</v>
      </c>
    </row>
    <row r="5053" spans="1:4" x14ac:dyDescent="0.25">
      <c r="A5053" s="139" t="s">
        <v>11862</v>
      </c>
      <c r="B5053" s="139" t="s">
        <v>11499</v>
      </c>
      <c r="C5053" s="139" t="s">
        <v>112</v>
      </c>
      <c r="D5053" s="139" t="s">
        <v>11863</v>
      </c>
    </row>
    <row r="5054" spans="1:4" x14ac:dyDescent="0.25">
      <c r="A5054" s="139" t="s">
        <v>11864</v>
      </c>
      <c r="B5054" s="139" t="s">
        <v>11865</v>
      </c>
      <c r="C5054" s="139" t="s">
        <v>65</v>
      </c>
      <c r="D5054" s="139" t="s">
        <v>11866</v>
      </c>
    </row>
    <row r="5055" spans="1:4" x14ac:dyDescent="0.25">
      <c r="A5055" s="139" t="s">
        <v>11867</v>
      </c>
      <c r="B5055" s="139" t="s">
        <v>11865</v>
      </c>
      <c r="C5055" s="139" t="s">
        <v>65</v>
      </c>
      <c r="D5055" s="139" t="s">
        <v>11868</v>
      </c>
    </row>
    <row r="5056" spans="1:4" x14ac:dyDescent="0.25">
      <c r="A5056" s="139" t="s">
        <v>11869</v>
      </c>
      <c r="B5056" s="139" t="s">
        <v>6951</v>
      </c>
      <c r="C5056" s="139" t="s">
        <v>2895</v>
      </c>
      <c r="D5056" s="139" t="s">
        <v>11870</v>
      </c>
    </row>
    <row r="5057" spans="1:4" x14ac:dyDescent="0.25">
      <c r="A5057" s="139" t="s">
        <v>11871</v>
      </c>
      <c r="B5057" s="139" t="s">
        <v>6951</v>
      </c>
      <c r="C5057" s="139" t="s">
        <v>2895</v>
      </c>
      <c r="D5057" s="139" t="s">
        <v>11872</v>
      </c>
    </row>
    <row r="5058" spans="1:4" x14ac:dyDescent="0.25">
      <c r="A5058" s="139" t="s">
        <v>11873</v>
      </c>
      <c r="B5058" s="139" t="s">
        <v>211</v>
      </c>
      <c r="C5058" s="139" t="s">
        <v>2895</v>
      </c>
      <c r="D5058" s="139" t="s">
        <v>11874</v>
      </c>
    </row>
    <row r="5059" spans="1:4" x14ac:dyDescent="0.25">
      <c r="A5059" s="139" t="s">
        <v>11875</v>
      </c>
      <c r="B5059" s="139" t="s">
        <v>211</v>
      </c>
      <c r="C5059" s="139" t="s">
        <v>2895</v>
      </c>
      <c r="D5059" s="139" t="s">
        <v>11876</v>
      </c>
    </row>
    <row r="5060" spans="1:4" x14ac:dyDescent="0.25">
      <c r="A5060" s="139" t="s">
        <v>11877</v>
      </c>
      <c r="B5060" s="139" t="s">
        <v>3304</v>
      </c>
      <c r="C5060" s="139" t="s">
        <v>2895</v>
      </c>
      <c r="D5060" s="139" t="s">
        <v>11878</v>
      </c>
    </row>
    <row r="5061" spans="1:4" x14ac:dyDescent="0.25">
      <c r="A5061" s="139" t="s">
        <v>11879</v>
      </c>
      <c r="B5061" s="139" t="s">
        <v>3304</v>
      </c>
      <c r="C5061" s="139" t="s">
        <v>2895</v>
      </c>
      <c r="D5061" s="139" t="s">
        <v>11880</v>
      </c>
    </row>
    <row r="5062" spans="1:4" x14ac:dyDescent="0.25">
      <c r="A5062" s="139" t="s">
        <v>11881</v>
      </c>
      <c r="B5062" s="139" t="s">
        <v>4563</v>
      </c>
      <c r="C5062" s="139" t="s">
        <v>2895</v>
      </c>
      <c r="D5062" s="139" t="s">
        <v>11882</v>
      </c>
    </row>
    <row r="5063" spans="1:4" x14ac:dyDescent="0.25">
      <c r="A5063" s="139" t="s">
        <v>11883</v>
      </c>
      <c r="B5063" s="139" t="s">
        <v>4563</v>
      </c>
      <c r="C5063" s="139" t="s">
        <v>2895</v>
      </c>
      <c r="D5063" s="139" t="s">
        <v>11884</v>
      </c>
    </row>
    <row r="5064" spans="1:4" x14ac:dyDescent="0.25">
      <c r="A5064" s="139" t="s">
        <v>11885</v>
      </c>
      <c r="B5064" s="139" t="s">
        <v>9542</v>
      </c>
      <c r="C5064" s="139" t="s">
        <v>2895</v>
      </c>
      <c r="D5064" s="139" t="s">
        <v>11886</v>
      </c>
    </row>
    <row r="5065" spans="1:4" x14ac:dyDescent="0.25">
      <c r="A5065" s="139" t="s">
        <v>11887</v>
      </c>
      <c r="B5065" s="139" t="s">
        <v>9542</v>
      </c>
      <c r="C5065" s="139" t="s">
        <v>2895</v>
      </c>
      <c r="D5065" s="139" t="s">
        <v>11888</v>
      </c>
    </row>
    <row r="5066" spans="1:4" x14ac:dyDescent="0.25">
      <c r="A5066" s="139" t="s">
        <v>11889</v>
      </c>
      <c r="B5066" s="139" t="s">
        <v>3319</v>
      </c>
      <c r="C5066" s="139" t="s">
        <v>2895</v>
      </c>
      <c r="D5066" s="139" t="s">
        <v>11890</v>
      </c>
    </row>
    <row r="5067" spans="1:4" x14ac:dyDescent="0.25">
      <c r="A5067" s="139" t="s">
        <v>11891</v>
      </c>
      <c r="B5067" s="139" t="s">
        <v>3319</v>
      </c>
      <c r="C5067" s="139" t="s">
        <v>2895</v>
      </c>
      <c r="D5067" s="139" t="s">
        <v>11892</v>
      </c>
    </row>
    <row r="5068" spans="1:4" x14ac:dyDescent="0.25">
      <c r="A5068" s="139" t="s">
        <v>11893</v>
      </c>
      <c r="B5068" s="139" t="s">
        <v>11894</v>
      </c>
      <c r="C5068" s="139" t="s">
        <v>65</v>
      </c>
      <c r="D5068" s="139" t="s">
        <v>11895</v>
      </c>
    </row>
    <row r="5069" spans="1:4" x14ac:dyDescent="0.25">
      <c r="A5069" s="139" t="s">
        <v>11896</v>
      </c>
      <c r="B5069" s="139" t="s">
        <v>11894</v>
      </c>
      <c r="C5069" s="139" t="s">
        <v>65</v>
      </c>
      <c r="D5069" s="139" t="s">
        <v>11897</v>
      </c>
    </row>
    <row r="5070" spans="1:4" x14ac:dyDescent="0.25">
      <c r="A5070" s="139" t="s">
        <v>11898</v>
      </c>
      <c r="B5070" s="139" t="s">
        <v>11899</v>
      </c>
      <c r="C5070" s="139" t="s">
        <v>65</v>
      </c>
      <c r="D5070" s="139" t="s">
        <v>11900</v>
      </c>
    </row>
    <row r="5071" spans="1:4" x14ac:dyDescent="0.25">
      <c r="A5071" s="139" t="s">
        <v>11901</v>
      </c>
      <c r="B5071" s="139" t="s">
        <v>11899</v>
      </c>
      <c r="C5071" s="139" t="s">
        <v>65</v>
      </c>
      <c r="D5071" s="139" t="s">
        <v>11902</v>
      </c>
    </row>
    <row r="5072" spans="1:4" x14ac:dyDescent="0.25">
      <c r="A5072" s="139" t="s">
        <v>11903</v>
      </c>
      <c r="B5072" s="139" t="s">
        <v>1389</v>
      </c>
      <c r="C5072" s="139" t="s">
        <v>33</v>
      </c>
      <c r="D5072" s="139" t="s">
        <v>11904</v>
      </c>
    </row>
    <row r="5073" spans="1:4" x14ac:dyDescent="0.25">
      <c r="A5073" s="139" t="s">
        <v>11905</v>
      </c>
      <c r="B5073" s="139" t="s">
        <v>1389</v>
      </c>
      <c r="C5073" s="139" t="s">
        <v>33</v>
      </c>
      <c r="D5073" s="139" t="s">
        <v>11906</v>
      </c>
    </row>
    <row r="5074" spans="1:4" x14ac:dyDescent="0.25">
      <c r="A5074" s="139" t="s">
        <v>11907</v>
      </c>
      <c r="B5074" s="139" t="s">
        <v>11908</v>
      </c>
      <c r="C5074" s="139" t="s">
        <v>33</v>
      </c>
      <c r="D5074" s="139" t="s">
        <v>11909</v>
      </c>
    </row>
    <row r="5075" spans="1:4" x14ac:dyDescent="0.25">
      <c r="A5075" s="139" t="s">
        <v>11910</v>
      </c>
      <c r="B5075" s="139" t="s">
        <v>11908</v>
      </c>
      <c r="C5075" s="139" t="s">
        <v>33</v>
      </c>
      <c r="D5075" s="139" t="s">
        <v>11911</v>
      </c>
    </row>
    <row r="5076" spans="1:4" x14ac:dyDescent="0.25">
      <c r="A5076" s="139" t="s">
        <v>11912</v>
      </c>
      <c r="B5076" s="139" t="s">
        <v>11913</v>
      </c>
      <c r="C5076" s="139" t="s">
        <v>33</v>
      </c>
      <c r="D5076" s="139" t="s">
        <v>11914</v>
      </c>
    </row>
    <row r="5077" spans="1:4" x14ac:dyDescent="0.25">
      <c r="A5077" s="139" t="s">
        <v>11915</v>
      </c>
      <c r="B5077" s="139" t="s">
        <v>11913</v>
      </c>
      <c r="C5077" s="139" t="s">
        <v>33</v>
      </c>
      <c r="D5077" s="139" t="s">
        <v>11916</v>
      </c>
    </row>
    <row r="5078" spans="1:4" x14ac:dyDescent="0.25">
      <c r="A5078" s="139" t="s">
        <v>11917</v>
      </c>
      <c r="B5078" s="139" t="s">
        <v>11918</v>
      </c>
      <c r="C5078" s="139" t="s">
        <v>33</v>
      </c>
      <c r="D5078" s="139" t="s">
        <v>11919</v>
      </c>
    </row>
    <row r="5079" spans="1:4" x14ac:dyDescent="0.25">
      <c r="A5079" s="139" t="s">
        <v>11920</v>
      </c>
      <c r="B5079" s="139" t="s">
        <v>11918</v>
      </c>
      <c r="C5079" s="139" t="s">
        <v>33</v>
      </c>
      <c r="D5079" s="139" t="s">
        <v>11921</v>
      </c>
    </row>
    <row r="5080" spans="1:4" x14ac:dyDescent="0.25">
      <c r="A5080" s="139" t="s">
        <v>11922</v>
      </c>
      <c r="B5080" s="139" t="s">
        <v>11923</v>
      </c>
      <c r="C5080" s="139" t="s">
        <v>33</v>
      </c>
      <c r="D5080" s="139" t="s">
        <v>11924</v>
      </c>
    </row>
    <row r="5081" spans="1:4" x14ac:dyDescent="0.25">
      <c r="A5081" s="139" t="s">
        <v>11925</v>
      </c>
      <c r="B5081" s="139" t="s">
        <v>11923</v>
      </c>
      <c r="C5081" s="139" t="s">
        <v>33</v>
      </c>
      <c r="D5081" s="139" t="s">
        <v>11926</v>
      </c>
    </row>
    <row r="5082" spans="1:4" x14ac:dyDescent="0.25">
      <c r="A5082" s="139" t="s">
        <v>11927</v>
      </c>
      <c r="B5082" s="139" t="s">
        <v>11928</v>
      </c>
      <c r="C5082" s="139" t="s">
        <v>33</v>
      </c>
      <c r="D5082" s="139" t="s">
        <v>11929</v>
      </c>
    </row>
    <row r="5083" spans="1:4" x14ac:dyDescent="0.25">
      <c r="A5083" s="139" t="s">
        <v>11930</v>
      </c>
      <c r="B5083" s="139" t="s">
        <v>11928</v>
      </c>
      <c r="C5083" s="139" t="s">
        <v>33</v>
      </c>
      <c r="D5083" s="139" t="s">
        <v>11931</v>
      </c>
    </row>
    <row r="5084" spans="1:4" x14ac:dyDescent="0.25">
      <c r="A5084" s="139" t="s">
        <v>11932</v>
      </c>
      <c r="B5084" s="139" t="s">
        <v>11933</v>
      </c>
      <c r="C5084" s="139" t="s">
        <v>33</v>
      </c>
      <c r="D5084" s="139" t="s">
        <v>11934</v>
      </c>
    </row>
    <row r="5085" spans="1:4" x14ac:dyDescent="0.25">
      <c r="A5085" s="139" t="s">
        <v>11935</v>
      </c>
      <c r="B5085" s="139" t="s">
        <v>11933</v>
      </c>
      <c r="C5085" s="139" t="s">
        <v>33</v>
      </c>
      <c r="D5085" s="139" t="s">
        <v>11936</v>
      </c>
    </row>
    <row r="5086" spans="1:4" x14ac:dyDescent="0.25">
      <c r="A5086" s="139" t="s">
        <v>11937</v>
      </c>
      <c r="B5086" s="139" t="s">
        <v>11938</v>
      </c>
      <c r="C5086" s="139" t="s">
        <v>33</v>
      </c>
      <c r="D5086" s="139" t="s">
        <v>11939</v>
      </c>
    </row>
    <row r="5087" spans="1:4" x14ac:dyDescent="0.25">
      <c r="A5087" s="139" t="s">
        <v>11940</v>
      </c>
      <c r="B5087" s="139" t="s">
        <v>11938</v>
      </c>
      <c r="C5087" s="139" t="s">
        <v>33</v>
      </c>
      <c r="D5087" s="139" t="s">
        <v>11941</v>
      </c>
    </row>
    <row r="5088" spans="1:4" x14ac:dyDescent="0.25">
      <c r="A5088" s="139" t="s">
        <v>11942</v>
      </c>
      <c r="B5088" s="139" t="s">
        <v>11943</v>
      </c>
      <c r="C5088" s="139" t="s">
        <v>33</v>
      </c>
      <c r="D5088" s="139" t="s">
        <v>11944</v>
      </c>
    </row>
    <row r="5089" spans="1:4" x14ac:dyDescent="0.25">
      <c r="A5089" s="139" t="s">
        <v>11945</v>
      </c>
      <c r="B5089" s="139" t="s">
        <v>11943</v>
      </c>
      <c r="C5089" s="139" t="s">
        <v>33</v>
      </c>
      <c r="D5089" s="139" t="s">
        <v>11946</v>
      </c>
    </row>
    <row r="5090" spans="1:4" x14ac:dyDescent="0.25">
      <c r="A5090" s="139" t="s">
        <v>11947</v>
      </c>
      <c r="B5090" s="139" t="s">
        <v>1330</v>
      </c>
      <c r="C5090" s="139" t="s">
        <v>33</v>
      </c>
      <c r="D5090" s="139" t="s">
        <v>11948</v>
      </c>
    </row>
    <row r="5091" spans="1:4" x14ac:dyDescent="0.25">
      <c r="A5091" s="139" t="s">
        <v>11949</v>
      </c>
      <c r="B5091" s="139" t="s">
        <v>1330</v>
      </c>
      <c r="C5091" s="139" t="s">
        <v>33</v>
      </c>
      <c r="D5091" s="139" t="s">
        <v>11950</v>
      </c>
    </row>
    <row r="5092" spans="1:4" x14ac:dyDescent="0.25">
      <c r="A5092" s="139" t="s">
        <v>11951</v>
      </c>
      <c r="B5092" s="139" t="s">
        <v>5807</v>
      </c>
      <c r="C5092" s="139" t="s">
        <v>33</v>
      </c>
      <c r="D5092" s="139" t="s">
        <v>11952</v>
      </c>
    </row>
    <row r="5093" spans="1:4" x14ac:dyDescent="0.25">
      <c r="A5093" s="139" t="s">
        <v>11953</v>
      </c>
      <c r="B5093" s="139" t="s">
        <v>5807</v>
      </c>
      <c r="C5093" s="139" t="s">
        <v>33</v>
      </c>
      <c r="D5093" s="139" t="s">
        <v>11954</v>
      </c>
    </row>
    <row r="5094" spans="1:4" x14ac:dyDescent="0.25">
      <c r="A5094" s="139" t="s">
        <v>11955</v>
      </c>
      <c r="B5094" s="139" t="s">
        <v>11956</v>
      </c>
      <c r="C5094" s="139" t="s">
        <v>33</v>
      </c>
      <c r="D5094" s="139" t="s">
        <v>11957</v>
      </c>
    </row>
    <row r="5095" spans="1:4" x14ac:dyDescent="0.25">
      <c r="A5095" s="139" t="s">
        <v>11958</v>
      </c>
      <c r="B5095" s="139" t="s">
        <v>11956</v>
      </c>
      <c r="C5095" s="139" t="s">
        <v>33</v>
      </c>
      <c r="D5095" s="139" t="s">
        <v>11959</v>
      </c>
    </row>
    <row r="5096" spans="1:4" x14ac:dyDescent="0.25">
      <c r="A5096" s="139" t="s">
        <v>11960</v>
      </c>
      <c r="B5096" s="139" t="s">
        <v>11961</v>
      </c>
      <c r="C5096" s="139" t="s">
        <v>33</v>
      </c>
      <c r="D5096" s="139" t="s">
        <v>11962</v>
      </c>
    </row>
    <row r="5097" spans="1:4" x14ac:dyDescent="0.25">
      <c r="A5097" s="139" t="s">
        <v>11963</v>
      </c>
      <c r="B5097" s="139" t="s">
        <v>11961</v>
      </c>
      <c r="C5097" s="139" t="s">
        <v>33</v>
      </c>
      <c r="D5097" s="139" t="s">
        <v>11964</v>
      </c>
    </row>
    <row r="5098" spans="1:4" x14ac:dyDescent="0.25">
      <c r="A5098" s="139" t="s">
        <v>11965</v>
      </c>
      <c r="B5098" s="139" t="s">
        <v>11966</v>
      </c>
      <c r="C5098" s="139" t="s">
        <v>33</v>
      </c>
      <c r="D5098" s="139" t="s">
        <v>11967</v>
      </c>
    </row>
    <row r="5099" spans="1:4" x14ac:dyDescent="0.25">
      <c r="A5099" s="139" t="s">
        <v>11968</v>
      </c>
      <c r="B5099" s="139" t="s">
        <v>11966</v>
      </c>
      <c r="C5099" s="139" t="s">
        <v>33</v>
      </c>
      <c r="D5099" s="139" t="s">
        <v>11969</v>
      </c>
    </row>
    <row r="5100" spans="1:4" x14ac:dyDescent="0.25">
      <c r="A5100" s="139" t="s">
        <v>11970</v>
      </c>
      <c r="B5100" s="139" t="s">
        <v>11971</v>
      </c>
      <c r="C5100" s="139" t="s">
        <v>33</v>
      </c>
      <c r="D5100" s="139" t="s">
        <v>11972</v>
      </c>
    </row>
    <row r="5101" spans="1:4" x14ac:dyDescent="0.25">
      <c r="A5101" s="139" t="s">
        <v>11973</v>
      </c>
      <c r="B5101" s="139" t="s">
        <v>11971</v>
      </c>
      <c r="C5101" s="139" t="s">
        <v>33</v>
      </c>
      <c r="D5101" s="139" t="s">
        <v>11974</v>
      </c>
    </row>
    <row r="5102" spans="1:4" x14ac:dyDescent="0.25">
      <c r="A5102" s="139" t="s">
        <v>11975</v>
      </c>
      <c r="B5102" s="139" t="s">
        <v>11976</v>
      </c>
      <c r="C5102" s="139" t="s">
        <v>33</v>
      </c>
      <c r="D5102" s="139" t="s">
        <v>11977</v>
      </c>
    </row>
    <row r="5103" spans="1:4" x14ac:dyDescent="0.25">
      <c r="A5103" s="139" t="s">
        <v>11978</v>
      </c>
      <c r="B5103" s="139" t="s">
        <v>11976</v>
      </c>
      <c r="C5103" s="139" t="s">
        <v>33</v>
      </c>
      <c r="D5103" s="139" t="s">
        <v>11979</v>
      </c>
    </row>
    <row r="5104" spans="1:4" x14ac:dyDescent="0.25">
      <c r="A5104" s="139" t="s">
        <v>11980</v>
      </c>
      <c r="B5104" s="139" t="s">
        <v>11981</v>
      </c>
      <c r="C5104" s="139" t="s">
        <v>33</v>
      </c>
      <c r="D5104" s="139" t="s">
        <v>11982</v>
      </c>
    </row>
    <row r="5105" spans="1:4" x14ac:dyDescent="0.25">
      <c r="A5105" s="139" t="s">
        <v>11983</v>
      </c>
      <c r="B5105" s="139" t="s">
        <v>11981</v>
      </c>
      <c r="C5105" s="139" t="s">
        <v>33</v>
      </c>
      <c r="D5105" s="139" t="s">
        <v>11984</v>
      </c>
    </row>
    <row r="5106" spans="1:4" x14ac:dyDescent="0.25">
      <c r="A5106" s="139" t="s">
        <v>11985</v>
      </c>
      <c r="B5106" s="139" t="s">
        <v>11986</v>
      </c>
      <c r="C5106" s="139" t="s">
        <v>33</v>
      </c>
      <c r="D5106" s="139" t="s">
        <v>11987</v>
      </c>
    </row>
    <row r="5107" spans="1:4" x14ac:dyDescent="0.25">
      <c r="A5107" s="139" t="s">
        <v>11988</v>
      </c>
      <c r="B5107" s="139" t="s">
        <v>11986</v>
      </c>
      <c r="C5107" s="139" t="s">
        <v>33</v>
      </c>
      <c r="D5107" s="139" t="s">
        <v>11989</v>
      </c>
    </row>
    <row r="5108" spans="1:4" x14ac:dyDescent="0.25">
      <c r="A5108" s="139" t="s">
        <v>11990</v>
      </c>
      <c r="B5108" s="139" t="s">
        <v>11991</v>
      </c>
      <c r="C5108" s="139" t="s">
        <v>33</v>
      </c>
      <c r="D5108" s="139" t="s">
        <v>11992</v>
      </c>
    </row>
    <row r="5109" spans="1:4" x14ac:dyDescent="0.25">
      <c r="A5109" s="139" t="s">
        <v>11993</v>
      </c>
      <c r="B5109" s="139" t="s">
        <v>11991</v>
      </c>
      <c r="C5109" s="139" t="s">
        <v>33</v>
      </c>
      <c r="D5109" s="139" t="s">
        <v>11994</v>
      </c>
    </row>
    <row r="5110" spans="1:4" x14ac:dyDescent="0.25">
      <c r="A5110" s="139" t="s">
        <v>11995</v>
      </c>
      <c r="B5110" s="139" t="s">
        <v>11996</v>
      </c>
      <c r="C5110" s="139" t="s">
        <v>33</v>
      </c>
      <c r="D5110" s="139" t="s">
        <v>11997</v>
      </c>
    </row>
    <row r="5111" spans="1:4" x14ac:dyDescent="0.25">
      <c r="A5111" s="139" t="s">
        <v>11998</v>
      </c>
      <c r="B5111" s="139" t="s">
        <v>11996</v>
      </c>
      <c r="C5111" s="139" t="s">
        <v>33</v>
      </c>
      <c r="D5111" s="139" t="s">
        <v>11999</v>
      </c>
    </row>
    <row r="5112" spans="1:4" x14ac:dyDescent="0.25">
      <c r="A5112" s="139" t="s">
        <v>12000</v>
      </c>
      <c r="B5112" s="139" t="s">
        <v>12001</v>
      </c>
      <c r="C5112" s="139" t="s">
        <v>33</v>
      </c>
      <c r="D5112" s="139" t="s">
        <v>12002</v>
      </c>
    </row>
    <row r="5113" spans="1:4" x14ac:dyDescent="0.25">
      <c r="A5113" s="139" t="s">
        <v>12003</v>
      </c>
      <c r="B5113" s="139" t="s">
        <v>12001</v>
      </c>
      <c r="C5113" s="139" t="s">
        <v>33</v>
      </c>
      <c r="D5113" s="139" t="s">
        <v>12004</v>
      </c>
    </row>
    <row r="5114" spans="1:4" x14ac:dyDescent="0.25">
      <c r="A5114" s="139" t="s">
        <v>12005</v>
      </c>
      <c r="B5114" s="139" t="s">
        <v>12006</v>
      </c>
      <c r="C5114" s="139" t="s">
        <v>33</v>
      </c>
      <c r="D5114" s="139" t="s">
        <v>12007</v>
      </c>
    </row>
    <row r="5115" spans="1:4" x14ac:dyDescent="0.25">
      <c r="A5115" s="139" t="s">
        <v>12008</v>
      </c>
      <c r="B5115" s="139" t="s">
        <v>12006</v>
      </c>
      <c r="C5115" s="139" t="s">
        <v>33</v>
      </c>
      <c r="D5115" s="139" t="s">
        <v>12009</v>
      </c>
    </row>
    <row r="5116" spans="1:4" x14ac:dyDescent="0.25">
      <c r="A5116" s="139" t="s">
        <v>12010</v>
      </c>
      <c r="B5116" s="139" t="s">
        <v>12011</v>
      </c>
      <c r="C5116" s="139" t="s">
        <v>33</v>
      </c>
      <c r="D5116" s="139" t="s">
        <v>12012</v>
      </c>
    </row>
    <row r="5117" spans="1:4" x14ac:dyDescent="0.25">
      <c r="A5117" s="139" t="s">
        <v>12013</v>
      </c>
      <c r="B5117" s="139" t="s">
        <v>12011</v>
      </c>
      <c r="C5117" s="139" t="s">
        <v>33</v>
      </c>
      <c r="D5117" s="139" t="s">
        <v>12014</v>
      </c>
    </row>
    <row r="5118" spans="1:4" x14ac:dyDescent="0.25">
      <c r="A5118" s="139" t="s">
        <v>12015</v>
      </c>
      <c r="B5118" s="139" t="s">
        <v>12016</v>
      </c>
      <c r="C5118" s="139" t="s">
        <v>33</v>
      </c>
      <c r="D5118" s="139" t="s">
        <v>12017</v>
      </c>
    </row>
    <row r="5119" spans="1:4" x14ac:dyDescent="0.25">
      <c r="A5119" s="139" t="s">
        <v>12018</v>
      </c>
      <c r="B5119" s="139" t="s">
        <v>12016</v>
      </c>
      <c r="C5119" s="139" t="s">
        <v>33</v>
      </c>
      <c r="D5119" s="139" t="s">
        <v>12019</v>
      </c>
    </row>
    <row r="5120" spans="1:4" x14ac:dyDescent="0.25">
      <c r="A5120" s="139" t="s">
        <v>12020</v>
      </c>
      <c r="B5120" s="139" t="s">
        <v>12021</v>
      </c>
      <c r="C5120" s="139" t="s">
        <v>33</v>
      </c>
      <c r="D5120" s="139" t="s">
        <v>12022</v>
      </c>
    </row>
    <row r="5121" spans="1:4" x14ac:dyDescent="0.25">
      <c r="A5121" s="139" t="s">
        <v>12023</v>
      </c>
      <c r="B5121" s="139" t="s">
        <v>12021</v>
      </c>
      <c r="C5121" s="139" t="s">
        <v>33</v>
      </c>
      <c r="D5121" s="139" t="s">
        <v>12024</v>
      </c>
    </row>
    <row r="5122" spans="1:4" x14ac:dyDescent="0.25">
      <c r="A5122" s="139" t="s">
        <v>12025</v>
      </c>
      <c r="B5122" s="139" t="s">
        <v>12026</v>
      </c>
      <c r="C5122" s="139" t="s">
        <v>33</v>
      </c>
      <c r="D5122" s="139" t="s">
        <v>12027</v>
      </c>
    </row>
    <row r="5123" spans="1:4" x14ac:dyDescent="0.25">
      <c r="A5123" s="139" t="s">
        <v>12028</v>
      </c>
      <c r="B5123" s="139" t="s">
        <v>12026</v>
      </c>
      <c r="C5123" s="139" t="s">
        <v>33</v>
      </c>
      <c r="D5123" s="139" t="s">
        <v>12029</v>
      </c>
    </row>
    <row r="5124" spans="1:4" x14ac:dyDescent="0.25">
      <c r="A5124" s="139" t="s">
        <v>12030</v>
      </c>
      <c r="B5124" s="139" t="s">
        <v>12031</v>
      </c>
      <c r="C5124" s="139" t="s">
        <v>33</v>
      </c>
      <c r="D5124" s="139" t="s">
        <v>12032</v>
      </c>
    </row>
    <row r="5125" spans="1:4" x14ac:dyDescent="0.25">
      <c r="A5125" s="139" t="s">
        <v>12033</v>
      </c>
      <c r="B5125" s="139" t="s">
        <v>12031</v>
      </c>
      <c r="C5125" s="139" t="s">
        <v>33</v>
      </c>
      <c r="D5125" s="139" t="s">
        <v>12034</v>
      </c>
    </row>
    <row r="5126" spans="1:4" x14ac:dyDescent="0.25">
      <c r="A5126" s="139" t="s">
        <v>12035</v>
      </c>
      <c r="B5126" s="139" t="s">
        <v>12036</v>
      </c>
      <c r="C5126" s="139" t="s">
        <v>33</v>
      </c>
      <c r="D5126" s="139" t="s">
        <v>12037</v>
      </c>
    </row>
    <row r="5127" spans="1:4" x14ac:dyDescent="0.25">
      <c r="A5127" s="139" t="s">
        <v>12038</v>
      </c>
      <c r="B5127" s="139" t="s">
        <v>12036</v>
      </c>
      <c r="C5127" s="139" t="s">
        <v>33</v>
      </c>
      <c r="D5127" s="139" t="s">
        <v>12039</v>
      </c>
    </row>
    <row r="5128" spans="1:4" x14ac:dyDescent="0.25">
      <c r="A5128" s="139" t="s">
        <v>12040</v>
      </c>
      <c r="B5128" s="139" t="s">
        <v>12041</v>
      </c>
      <c r="C5128" s="139" t="s">
        <v>33</v>
      </c>
      <c r="D5128" s="139" t="s">
        <v>12042</v>
      </c>
    </row>
    <row r="5129" spans="1:4" x14ac:dyDescent="0.25">
      <c r="A5129" s="139" t="s">
        <v>12043</v>
      </c>
      <c r="B5129" s="139" t="s">
        <v>12041</v>
      </c>
      <c r="C5129" s="139" t="s">
        <v>33</v>
      </c>
      <c r="D5129" s="139" t="s">
        <v>12044</v>
      </c>
    </row>
    <row r="5130" spans="1:4" x14ac:dyDescent="0.25">
      <c r="A5130" s="139" t="s">
        <v>12045</v>
      </c>
      <c r="B5130" s="139" t="s">
        <v>12046</v>
      </c>
      <c r="C5130" s="139" t="s">
        <v>33</v>
      </c>
      <c r="D5130" s="139" t="s">
        <v>12047</v>
      </c>
    </row>
    <row r="5131" spans="1:4" x14ac:dyDescent="0.25">
      <c r="A5131" s="139" t="s">
        <v>12048</v>
      </c>
      <c r="B5131" s="139" t="s">
        <v>12046</v>
      </c>
      <c r="C5131" s="139" t="s">
        <v>33</v>
      </c>
      <c r="D5131" s="139" t="s">
        <v>12049</v>
      </c>
    </row>
    <row r="5132" spans="1:4" x14ac:dyDescent="0.25">
      <c r="A5132" s="139" t="s">
        <v>12050</v>
      </c>
      <c r="B5132" s="139" t="s">
        <v>12051</v>
      </c>
      <c r="C5132" s="139" t="s">
        <v>33</v>
      </c>
      <c r="D5132" s="139" t="s">
        <v>12052</v>
      </c>
    </row>
    <row r="5133" spans="1:4" x14ac:dyDescent="0.25">
      <c r="A5133" s="139" t="s">
        <v>12053</v>
      </c>
      <c r="B5133" s="139" t="s">
        <v>12051</v>
      </c>
      <c r="C5133" s="139" t="s">
        <v>33</v>
      </c>
      <c r="D5133" s="139" t="s">
        <v>12054</v>
      </c>
    </row>
    <row r="5134" spans="1:4" x14ac:dyDescent="0.25">
      <c r="A5134" s="139" t="s">
        <v>12055</v>
      </c>
      <c r="B5134" s="139" t="s">
        <v>12056</v>
      </c>
      <c r="C5134" s="139" t="s">
        <v>33</v>
      </c>
      <c r="D5134" s="139" t="s">
        <v>12057</v>
      </c>
    </row>
    <row r="5135" spans="1:4" x14ac:dyDescent="0.25">
      <c r="A5135" s="139" t="s">
        <v>12058</v>
      </c>
      <c r="B5135" s="139" t="s">
        <v>12056</v>
      </c>
      <c r="C5135" s="139" t="s">
        <v>33</v>
      </c>
      <c r="D5135" s="139" t="s">
        <v>12059</v>
      </c>
    </row>
    <row r="5136" spans="1:4" x14ac:dyDescent="0.25">
      <c r="A5136" s="139" t="s">
        <v>12060</v>
      </c>
      <c r="B5136" s="139" t="s">
        <v>12061</v>
      </c>
      <c r="C5136" s="139" t="s">
        <v>33</v>
      </c>
      <c r="D5136" s="139" t="s">
        <v>12062</v>
      </c>
    </row>
    <row r="5137" spans="1:4" x14ac:dyDescent="0.25">
      <c r="A5137" s="139" t="s">
        <v>12063</v>
      </c>
      <c r="B5137" s="139" t="s">
        <v>12061</v>
      </c>
      <c r="C5137" s="139" t="s">
        <v>33</v>
      </c>
      <c r="D5137" s="139" t="s">
        <v>12064</v>
      </c>
    </row>
    <row r="5138" spans="1:4" x14ac:dyDescent="0.25">
      <c r="A5138" s="139" t="s">
        <v>12065</v>
      </c>
      <c r="B5138" s="139" t="s">
        <v>12066</v>
      </c>
      <c r="C5138" s="139" t="s">
        <v>33</v>
      </c>
      <c r="D5138" s="139" t="s">
        <v>12067</v>
      </c>
    </row>
    <row r="5139" spans="1:4" x14ac:dyDescent="0.25">
      <c r="A5139" s="139" t="s">
        <v>12068</v>
      </c>
      <c r="B5139" s="139" t="s">
        <v>12066</v>
      </c>
      <c r="C5139" s="139" t="s">
        <v>33</v>
      </c>
      <c r="D5139" s="139" t="s">
        <v>12069</v>
      </c>
    </row>
    <row r="5140" spans="1:4" x14ac:dyDescent="0.25">
      <c r="A5140" s="139" t="s">
        <v>12070</v>
      </c>
      <c r="B5140" s="139" t="s">
        <v>12071</v>
      </c>
      <c r="C5140" s="139" t="s">
        <v>33</v>
      </c>
      <c r="D5140" s="139" t="s">
        <v>12072</v>
      </c>
    </row>
    <row r="5141" spans="1:4" x14ac:dyDescent="0.25">
      <c r="A5141" s="139" t="s">
        <v>12073</v>
      </c>
      <c r="B5141" s="139" t="s">
        <v>12071</v>
      </c>
      <c r="C5141" s="139" t="s">
        <v>33</v>
      </c>
      <c r="D5141" s="139" t="s">
        <v>12074</v>
      </c>
    </row>
    <row r="5142" spans="1:4" x14ac:dyDescent="0.25">
      <c r="A5142" s="139" t="s">
        <v>12075</v>
      </c>
      <c r="B5142" s="139" t="s">
        <v>12076</v>
      </c>
      <c r="C5142" s="139" t="s">
        <v>33</v>
      </c>
      <c r="D5142" s="139" t="s">
        <v>12077</v>
      </c>
    </row>
    <row r="5143" spans="1:4" x14ac:dyDescent="0.25">
      <c r="A5143" s="139" t="s">
        <v>12078</v>
      </c>
      <c r="B5143" s="139" t="s">
        <v>12076</v>
      </c>
      <c r="C5143" s="139" t="s">
        <v>33</v>
      </c>
      <c r="D5143" s="139" t="s">
        <v>12079</v>
      </c>
    </row>
    <row r="5144" spans="1:4" x14ac:dyDescent="0.25">
      <c r="A5144" s="139" t="s">
        <v>12080</v>
      </c>
      <c r="B5144" s="139" t="s">
        <v>12081</v>
      </c>
      <c r="C5144" s="139" t="s">
        <v>33</v>
      </c>
      <c r="D5144" s="139" t="s">
        <v>12082</v>
      </c>
    </row>
    <row r="5145" spans="1:4" x14ac:dyDescent="0.25">
      <c r="A5145" s="139" t="s">
        <v>12083</v>
      </c>
      <c r="B5145" s="139" t="s">
        <v>12081</v>
      </c>
      <c r="C5145" s="139" t="s">
        <v>33</v>
      </c>
      <c r="D5145" s="139" t="s">
        <v>12084</v>
      </c>
    </row>
    <row r="5146" spans="1:4" x14ac:dyDescent="0.25">
      <c r="A5146" s="139" t="s">
        <v>12085</v>
      </c>
      <c r="B5146" s="139" t="s">
        <v>9618</v>
      </c>
      <c r="C5146" s="139" t="s">
        <v>33</v>
      </c>
      <c r="D5146" s="139" t="s">
        <v>12086</v>
      </c>
    </row>
    <row r="5147" spans="1:4" x14ac:dyDescent="0.25">
      <c r="A5147" s="139" t="s">
        <v>12087</v>
      </c>
      <c r="B5147" s="139" t="s">
        <v>9618</v>
      </c>
      <c r="C5147" s="139" t="s">
        <v>33</v>
      </c>
      <c r="D5147" s="139" t="s">
        <v>12088</v>
      </c>
    </row>
    <row r="5148" spans="1:4" x14ac:dyDescent="0.25">
      <c r="A5148" s="139" t="s">
        <v>12089</v>
      </c>
      <c r="B5148" s="139" t="s">
        <v>12090</v>
      </c>
      <c r="C5148" s="139" t="s">
        <v>33</v>
      </c>
      <c r="D5148" s="139" t="s">
        <v>12091</v>
      </c>
    </row>
    <row r="5149" spans="1:4" x14ac:dyDescent="0.25">
      <c r="A5149" s="139" t="s">
        <v>12092</v>
      </c>
      <c r="B5149" s="139" t="s">
        <v>12090</v>
      </c>
      <c r="C5149" s="139" t="s">
        <v>33</v>
      </c>
      <c r="D5149" s="139" t="s">
        <v>12093</v>
      </c>
    </row>
    <row r="5150" spans="1:4" x14ac:dyDescent="0.25">
      <c r="A5150" s="139" t="s">
        <v>12094</v>
      </c>
      <c r="B5150" s="139" t="s">
        <v>5932</v>
      </c>
      <c r="C5150" s="139" t="s">
        <v>33</v>
      </c>
      <c r="D5150" s="139" t="s">
        <v>12095</v>
      </c>
    </row>
    <row r="5151" spans="1:4" x14ac:dyDescent="0.25">
      <c r="A5151" s="139" t="s">
        <v>12096</v>
      </c>
      <c r="B5151" s="139" t="s">
        <v>5932</v>
      </c>
      <c r="C5151" s="139" t="s">
        <v>33</v>
      </c>
      <c r="D5151" s="139" t="s">
        <v>12097</v>
      </c>
    </row>
    <row r="5152" spans="1:4" x14ac:dyDescent="0.25">
      <c r="A5152" s="139" t="s">
        <v>12098</v>
      </c>
      <c r="B5152" s="139" t="s">
        <v>3744</v>
      </c>
      <c r="C5152" s="139" t="s">
        <v>33</v>
      </c>
      <c r="D5152" s="139" t="s">
        <v>12099</v>
      </c>
    </row>
    <row r="5153" spans="1:4" x14ac:dyDescent="0.25">
      <c r="A5153" s="139" t="s">
        <v>12100</v>
      </c>
      <c r="B5153" s="139" t="s">
        <v>3744</v>
      </c>
      <c r="C5153" s="139" t="s">
        <v>33</v>
      </c>
      <c r="D5153" s="139" t="s">
        <v>12101</v>
      </c>
    </row>
    <row r="5154" spans="1:4" x14ac:dyDescent="0.25">
      <c r="A5154" s="139" t="s">
        <v>12102</v>
      </c>
      <c r="B5154" s="139" t="s">
        <v>12103</v>
      </c>
      <c r="C5154" s="139" t="s">
        <v>33</v>
      </c>
      <c r="D5154" s="139" t="s">
        <v>12104</v>
      </c>
    </row>
    <row r="5155" spans="1:4" x14ac:dyDescent="0.25">
      <c r="A5155" s="139" t="s">
        <v>12105</v>
      </c>
      <c r="B5155" s="139" t="s">
        <v>12103</v>
      </c>
      <c r="C5155" s="139" t="s">
        <v>33</v>
      </c>
      <c r="D5155" s="139" t="s">
        <v>12106</v>
      </c>
    </row>
    <row r="5156" spans="1:4" x14ac:dyDescent="0.25">
      <c r="A5156" s="139" t="s">
        <v>12107</v>
      </c>
      <c r="B5156" s="139" t="s">
        <v>2148</v>
      </c>
      <c r="C5156" s="139" t="s">
        <v>33</v>
      </c>
      <c r="D5156" s="139" t="s">
        <v>12108</v>
      </c>
    </row>
    <row r="5157" spans="1:4" x14ac:dyDescent="0.25">
      <c r="A5157" s="139" t="s">
        <v>12109</v>
      </c>
      <c r="B5157" s="139" t="s">
        <v>2148</v>
      </c>
      <c r="C5157" s="139" t="s">
        <v>33</v>
      </c>
      <c r="D5157" s="139" t="s">
        <v>12110</v>
      </c>
    </row>
    <row r="5158" spans="1:4" x14ac:dyDescent="0.25">
      <c r="A5158" s="139" t="s">
        <v>12111</v>
      </c>
      <c r="B5158" s="139" t="s">
        <v>11956</v>
      </c>
      <c r="C5158" s="139" t="s">
        <v>65</v>
      </c>
      <c r="D5158" s="139" t="s">
        <v>12112</v>
      </c>
    </row>
    <row r="5159" spans="1:4" x14ac:dyDescent="0.25">
      <c r="A5159" s="139" t="s">
        <v>12113</v>
      </c>
      <c r="B5159" s="139" t="s">
        <v>11956</v>
      </c>
      <c r="C5159" s="139" t="s">
        <v>65</v>
      </c>
      <c r="D5159" s="139" t="s">
        <v>12114</v>
      </c>
    </row>
    <row r="5160" spans="1:4" x14ac:dyDescent="0.25">
      <c r="A5160" s="139" t="s">
        <v>12115</v>
      </c>
      <c r="B5160" s="139" t="s">
        <v>9662</v>
      </c>
      <c r="C5160" s="139" t="s">
        <v>65</v>
      </c>
      <c r="D5160" s="139" t="s">
        <v>12116</v>
      </c>
    </row>
    <row r="5161" spans="1:4" x14ac:dyDescent="0.25">
      <c r="A5161" s="139" t="s">
        <v>12117</v>
      </c>
      <c r="B5161" s="139" t="s">
        <v>9662</v>
      </c>
      <c r="C5161" s="139" t="s">
        <v>65</v>
      </c>
      <c r="D5161" s="139" t="s">
        <v>12118</v>
      </c>
    </row>
    <row r="5162" spans="1:4" x14ac:dyDescent="0.25">
      <c r="A5162" s="139" t="s">
        <v>12119</v>
      </c>
      <c r="B5162" s="139" t="s">
        <v>11961</v>
      </c>
      <c r="C5162" s="139" t="s">
        <v>65</v>
      </c>
      <c r="D5162" s="139" t="s">
        <v>12120</v>
      </c>
    </row>
    <row r="5163" spans="1:4" x14ac:dyDescent="0.25">
      <c r="A5163" s="139" t="s">
        <v>12121</v>
      </c>
      <c r="B5163" s="139" t="s">
        <v>11961</v>
      </c>
      <c r="C5163" s="139" t="s">
        <v>65</v>
      </c>
      <c r="D5163" s="139" t="s">
        <v>12122</v>
      </c>
    </row>
    <row r="5164" spans="1:4" x14ac:dyDescent="0.25">
      <c r="A5164" s="139" t="s">
        <v>12123</v>
      </c>
      <c r="B5164" s="139" t="s">
        <v>11966</v>
      </c>
      <c r="C5164" s="139" t="s">
        <v>65</v>
      </c>
      <c r="D5164" s="139" t="s">
        <v>12124</v>
      </c>
    </row>
    <row r="5165" spans="1:4" x14ac:dyDescent="0.25">
      <c r="A5165" s="139" t="s">
        <v>12125</v>
      </c>
      <c r="B5165" s="139" t="s">
        <v>11966</v>
      </c>
      <c r="C5165" s="139" t="s">
        <v>65</v>
      </c>
      <c r="D5165" s="139" t="s">
        <v>12126</v>
      </c>
    </row>
    <row r="5166" spans="1:4" x14ac:dyDescent="0.25">
      <c r="A5166" s="139" t="s">
        <v>12127</v>
      </c>
      <c r="B5166" s="139" t="s">
        <v>11971</v>
      </c>
      <c r="C5166" s="139" t="s">
        <v>65</v>
      </c>
      <c r="D5166" s="139" t="s">
        <v>12128</v>
      </c>
    </row>
    <row r="5167" spans="1:4" x14ac:dyDescent="0.25">
      <c r="A5167" s="139" t="s">
        <v>12129</v>
      </c>
      <c r="B5167" s="139" t="s">
        <v>11971</v>
      </c>
      <c r="C5167" s="139" t="s">
        <v>65</v>
      </c>
      <c r="D5167" s="139" t="s">
        <v>12130</v>
      </c>
    </row>
    <row r="5168" spans="1:4" x14ac:dyDescent="0.25">
      <c r="A5168" s="139" t="s">
        <v>12131</v>
      </c>
      <c r="B5168" s="139" t="s">
        <v>11981</v>
      </c>
      <c r="C5168" s="139" t="s">
        <v>65</v>
      </c>
      <c r="D5168" s="139" t="s">
        <v>12132</v>
      </c>
    </row>
    <row r="5169" spans="1:4" x14ac:dyDescent="0.25">
      <c r="A5169" s="139" t="s">
        <v>12133</v>
      </c>
      <c r="B5169" s="139" t="s">
        <v>11981</v>
      </c>
      <c r="C5169" s="139" t="s">
        <v>65</v>
      </c>
      <c r="D5169" s="139" t="s">
        <v>12134</v>
      </c>
    </row>
    <row r="5170" spans="1:4" x14ac:dyDescent="0.25">
      <c r="A5170" s="139" t="s">
        <v>12135</v>
      </c>
      <c r="B5170" s="139" t="s">
        <v>11986</v>
      </c>
      <c r="C5170" s="139" t="s">
        <v>65</v>
      </c>
      <c r="D5170" s="139" t="s">
        <v>12136</v>
      </c>
    </row>
    <row r="5171" spans="1:4" x14ac:dyDescent="0.25">
      <c r="A5171" s="139" t="s">
        <v>12137</v>
      </c>
      <c r="B5171" s="139" t="s">
        <v>11986</v>
      </c>
      <c r="C5171" s="139" t="s">
        <v>65</v>
      </c>
      <c r="D5171" s="139" t="s">
        <v>12138</v>
      </c>
    </row>
    <row r="5172" spans="1:4" x14ac:dyDescent="0.25">
      <c r="A5172" s="139" t="s">
        <v>12139</v>
      </c>
      <c r="B5172" s="139" t="s">
        <v>11991</v>
      </c>
      <c r="C5172" s="139" t="s">
        <v>65</v>
      </c>
      <c r="D5172" s="139" t="s">
        <v>12140</v>
      </c>
    </row>
    <row r="5173" spans="1:4" x14ac:dyDescent="0.25">
      <c r="A5173" s="139" t="s">
        <v>12141</v>
      </c>
      <c r="B5173" s="139" t="s">
        <v>11991</v>
      </c>
      <c r="C5173" s="139" t="s">
        <v>65</v>
      </c>
      <c r="D5173" s="139" t="s">
        <v>12142</v>
      </c>
    </row>
    <row r="5174" spans="1:4" x14ac:dyDescent="0.25">
      <c r="A5174" s="139" t="s">
        <v>12143</v>
      </c>
      <c r="B5174" s="139" t="s">
        <v>11996</v>
      </c>
      <c r="C5174" s="139" t="s">
        <v>65</v>
      </c>
      <c r="D5174" s="139" t="s">
        <v>12144</v>
      </c>
    </row>
    <row r="5175" spans="1:4" x14ac:dyDescent="0.25">
      <c r="A5175" s="139" t="s">
        <v>12145</v>
      </c>
      <c r="B5175" s="139" t="s">
        <v>11996</v>
      </c>
      <c r="C5175" s="139" t="s">
        <v>65</v>
      </c>
      <c r="D5175" s="139" t="s">
        <v>12146</v>
      </c>
    </row>
    <row r="5176" spans="1:4" x14ac:dyDescent="0.25">
      <c r="A5176" s="139" t="s">
        <v>12147</v>
      </c>
      <c r="B5176" s="139" t="s">
        <v>12001</v>
      </c>
      <c r="C5176" s="139" t="s">
        <v>65</v>
      </c>
      <c r="D5176" s="139" t="s">
        <v>12148</v>
      </c>
    </row>
    <row r="5177" spans="1:4" x14ac:dyDescent="0.25">
      <c r="A5177" s="139" t="s">
        <v>12149</v>
      </c>
      <c r="B5177" s="139" t="s">
        <v>12001</v>
      </c>
      <c r="C5177" s="139" t="s">
        <v>65</v>
      </c>
      <c r="D5177" s="139" t="s">
        <v>12150</v>
      </c>
    </row>
    <row r="5178" spans="1:4" x14ac:dyDescent="0.25">
      <c r="A5178" s="139" t="s">
        <v>12151</v>
      </c>
      <c r="B5178" s="139" t="s">
        <v>12006</v>
      </c>
      <c r="C5178" s="139" t="s">
        <v>65</v>
      </c>
      <c r="D5178" s="139" t="s">
        <v>12152</v>
      </c>
    </row>
    <row r="5179" spans="1:4" x14ac:dyDescent="0.25">
      <c r="A5179" s="139" t="s">
        <v>12153</v>
      </c>
      <c r="B5179" s="139" t="s">
        <v>12006</v>
      </c>
      <c r="C5179" s="139" t="s">
        <v>65</v>
      </c>
      <c r="D5179" s="139" t="s">
        <v>12154</v>
      </c>
    </row>
    <row r="5180" spans="1:4" x14ac:dyDescent="0.25">
      <c r="A5180" s="139" t="s">
        <v>12155</v>
      </c>
      <c r="B5180" s="139" t="s">
        <v>12011</v>
      </c>
      <c r="C5180" s="139" t="s">
        <v>65</v>
      </c>
      <c r="D5180" s="139" t="s">
        <v>12156</v>
      </c>
    </row>
    <row r="5181" spans="1:4" x14ac:dyDescent="0.25">
      <c r="A5181" s="139" t="s">
        <v>12157</v>
      </c>
      <c r="B5181" s="139" t="s">
        <v>12011</v>
      </c>
      <c r="C5181" s="139" t="s">
        <v>65</v>
      </c>
      <c r="D5181" s="139" t="s">
        <v>12158</v>
      </c>
    </row>
    <row r="5182" spans="1:4" x14ac:dyDescent="0.25">
      <c r="A5182" s="139" t="s">
        <v>12159</v>
      </c>
      <c r="B5182" s="139" t="s">
        <v>12016</v>
      </c>
      <c r="C5182" s="139" t="s">
        <v>65</v>
      </c>
      <c r="D5182" s="139" t="s">
        <v>12160</v>
      </c>
    </row>
    <row r="5183" spans="1:4" x14ac:dyDescent="0.25">
      <c r="A5183" s="139" t="s">
        <v>12161</v>
      </c>
      <c r="B5183" s="139" t="s">
        <v>12016</v>
      </c>
      <c r="C5183" s="139" t="s">
        <v>65</v>
      </c>
      <c r="D5183" s="139" t="s">
        <v>12162</v>
      </c>
    </row>
    <row r="5184" spans="1:4" x14ac:dyDescent="0.25">
      <c r="A5184" s="139" t="s">
        <v>12163</v>
      </c>
      <c r="B5184" s="139" t="s">
        <v>12021</v>
      </c>
      <c r="C5184" s="139" t="s">
        <v>65</v>
      </c>
      <c r="D5184" s="139" t="s">
        <v>12164</v>
      </c>
    </row>
    <row r="5185" spans="1:4" x14ac:dyDescent="0.25">
      <c r="A5185" s="139" t="s">
        <v>12165</v>
      </c>
      <c r="B5185" s="139" t="s">
        <v>12021</v>
      </c>
      <c r="C5185" s="139" t="s">
        <v>65</v>
      </c>
      <c r="D5185" s="139" t="s">
        <v>12166</v>
      </c>
    </row>
    <row r="5186" spans="1:4" x14ac:dyDescent="0.25">
      <c r="A5186" s="139" t="s">
        <v>12167</v>
      </c>
      <c r="B5186" s="139" t="s">
        <v>12026</v>
      </c>
      <c r="C5186" s="139" t="s">
        <v>65</v>
      </c>
      <c r="D5186" s="139" t="s">
        <v>12168</v>
      </c>
    </row>
    <row r="5187" spans="1:4" x14ac:dyDescent="0.25">
      <c r="A5187" s="139" t="s">
        <v>12169</v>
      </c>
      <c r="B5187" s="139" t="s">
        <v>12026</v>
      </c>
      <c r="C5187" s="139" t="s">
        <v>65</v>
      </c>
      <c r="D5187" s="139" t="s">
        <v>12170</v>
      </c>
    </row>
    <row r="5188" spans="1:4" x14ac:dyDescent="0.25">
      <c r="A5188" s="139" t="s">
        <v>12171</v>
      </c>
      <c r="B5188" s="139" t="s">
        <v>12031</v>
      </c>
      <c r="C5188" s="139" t="s">
        <v>65</v>
      </c>
      <c r="D5188" s="139" t="s">
        <v>12172</v>
      </c>
    </row>
    <row r="5189" spans="1:4" x14ac:dyDescent="0.25">
      <c r="A5189" s="139" t="s">
        <v>12173</v>
      </c>
      <c r="B5189" s="139" t="s">
        <v>12031</v>
      </c>
      <c r="C5189" s="139" t="s">
        <v>65</v>
      </c>
      <c r="D5189" s="139" t="s">
        <v>12174</v>
      </c>
    </row>
    <row r="5190" spans="1:4" x14ac:dyDescent="0.25">
      <c r="A5190" s="139" t="s">
        <v>12175</v>
      </c>
      <c r="B5190" s="139" t="s">
        <v>12036</v>
      </c>
      <c r="C5190" s="139" t="s">
        <v>65</v>
      </c>
      <c r="D5190" s="139" t="s">
        <v>12176</v>
      </c>
    </row>
    <row r="5191" spans="1:4" x14ac:dyDescent="0.25">
      <c r="A5191" s="139" t="s">
        <v>12177</v>
      </c>
      <c r="B5191" s="139" t="s">
        <v>12036</v>
      </c>
      <c r="C5191" s="139" t="s">
        <v>65</v>
      </c>
      <c r="D5191" s="139" t="s">
        <v>12178</v>
      </c>
    </row>
    <row r="5192" spans="1:4" x14ac:dyDescent="0.25">
      <c r="A5192" s="139" t="s">
        <v>12179</v>
      </c>
      <c r="B5192" s="139" t="s">
        <v>12180</v>
      </c>
      <c r="C5192" s="139" t="s">
        <v>33</v>
      </c>
      <c r="D5192" s="139" t="s">
        <v>12181</v>
      </c>
    </row>
    <row r="5193" spans="1:4" x14ac:dyDescent="0.25">
      <c r="A5193" s="139" t="s">
        <v>12182</v>
      </c>
      <c r="B5193" s="139" t="s">
        <v>12180</v>
      </c>
      <c r="C5193" s="139" t="s">
        <v>33</v>
      </c>
      <c r="D5193" s="139" t="s">
        <v>12183</v>
      </c>
    </row>
    <row r="5194" spans="1:4" x14ac:dyDescent="0.25">
      <c r="A5194" s="139" t="s">
        <v>12184</v>
      </c>
      <c r="B5194" s="139" t="s">
        <v>12046</v>
      </c>
      <c r="C5194" s="139" t="s">
        <v>65</v>
      </c>
      <c r="D5194" s="139" t="s">
        <v>12185</v>
      </c>
    </row>
    <row r="5195" spans="1:4" x14ac:dyDescent="0.25">
      <c r="A5195" s="139" t="s">
        <v>12186</v>
      </c>
      <c r="B5195" s="139" t="s">
        <v>12046</v>
      </c>
      <c r="C5195" s="139" t="s">
        <v>65</v>
      </c>
      <c r="D5195" s="139" t="s">
        <v>12187</v>
      </c>
    </row>
    <row r="5196" spans="1:4" x14ac:dyDescent="0.25">
      <c r="A5196" s="139" t="s">
        <v>12188</v>
      </c>
      <c r="B5196" s="139" t="s">
        <v>12189</v>
      </c>
      <c r="C5196" s="139" t="s">
        <v>65</v>
      </c>
      <c r="D5196" s="139" t="s">
        <v>12190</v>
      </c>
    </row>
    <row r="5197" spans="1:4" x14ac:dyDescent="0.25">
      <c r="A5197" s="139" t="s">
        <v>12191</v>
      </c>
      <c r="B5197" s="139" t="s">
        <v>12189</v>
      </c>
      <c r="C5197" s="139" t="s">
        <v>65</v>
      </c>
      <c r="D5197" s="139" t="s">
        <v>12192</v>
      </c>
    </row>
    <row r="5198" spans="1:4" x14ac:dyDescent="0.25">
      <c r="A5198" s="139" t="s">
        <v>12193</v>
      </c>
      <c r="B5198" s="139" t="s">
        <v>12051</v>
      </c>
      <c r="C5198" s="139" t="s">
        <v>65</v>
      </c>
      <c r="D5198" s="139" t="s">
        <v>12194</v>
      </c>
    </row>
    <row r="5199" spans="1:4" x14ac:dyDescent="0.25">
      <c r="A5199" s="139" t="s">
        <v>12195</v>
      </c>
      <c r="B5199" s="139" t="s">
        <v>12051</v>
      </c>
      <c r="C5199" s="139" t="s">
        <v>65</v>
      </c>
      <c r="D5199" s="139" t="s">
        <v>12196</v>
      </c>
    </row>
    <row r="5200" spans="1:4" x14ac:dyDescent="0.25">
      <c r="A5200" s="139" t="s">
        <v>12197</v>
      </c>
      <c r="B5200" s="139" t="s">
        <v>12056</v>
      </c>
      <c r="C5200" s="139" t="s">
        <v>65</v>
      </c>
      <c r="D5200" s="139" t="s">
        <v>12198</v>
      </c>
    </row>
    <row r="5201" spans="1:4" x14ac:dyDescent="0.25">
      <c r="A5201" s="139" t="s">
        <v>12199</v>
      </c>
      <c r="B5201" s="139" t="s">
        <v>12056</v>
      </c>
      <c r="C5201" s="139" t="s">
        <v>65</v>
      </c>
      <c r="D5201" s="139" t="s">
        <v>12200</v>
      </c>
    </row>
    <row r="5202" spans="1:4" x14ac:dyDescent="0.25">
      <c r="A5202" s="139" t="s">
        <v>12201</v>
      </c>
      <c r="B5202" s="139" t="s">
        <v>12061</v>
      </c>
      <c r="C5202" s="139" t="s">
        <v>65</v>
      </c>
      <c r="D5202" s="139" t="s">
        <v>12202</v>
      </c>
    </row>
    <row r="5203" spans="1:4" x14ac:dyDescent="0.25">
      <c r="A5203" s="139" t="s">
        <v>12203</v>
      </c>
      <c r="B5203" s="139" t="s">
        <v>12061</v>
      </c>
      <c r="C5203" s="139" t="s">
        <v>65</v>
      </c>
      <c r="D5203" s="139" t="s">
        <v>12204</v>
      </c>
    </row>
    <row r="5204" spans="1:4" x14ac:dyDescent="0.25">
      <c r="A5204" s="139" t="s">
        <v>12205</v>
      </c>
      <c r="B5204" s="139" t="s">
        <v>12066</v>
      </c>
      <c r="C5204" s="139" t="s">
        <v>65</v>
      </c>
      <c r="D5204" s="139" t="s">
        <v>12206</v>
      </c>
    </row>
    <row r="5205" spans="1:4" x14ac:dyDescent="0.25">
      <c r="A5205" s="139" t="s">
        <v>12207</v>
      </c>
      <c r="B5205" s="139" t="s">
        <v>12066</v>
      </c>
      <c r="C5205" s="139" t="s">
        <v>65</v>
      </c>
      <c r="D5205" s="139" t="s">
        <v>12208</v>
      </c>
    </row>
    <row r="5206" spans="1:4" x14ac:dyDescent="0.25">
      <c r="A5206" s="139" t="s">
        <v>12209</v>
      </c>
      <c r="B5206" s="139" t="s">
        <v>12210</v>
      </c>
      <c r="C5206" s="139" t="s">
        <v>65</v>
      </c>
      <c r="D5206" s="139" t="s">
        <v>12211</v>
      </c>
    </row>
    <row r="5207" spans="1:4" x14ac:dyDescent="0.25">
      <c r="A5207" s="139" t="s">
        <v>12212</v>
      </c>
      <c r="B5207" s="139" t="s">
        <v>12210</v>
      </c>
      <c r="C5207" s="139" t="s">
        <v>65</v>
      </c>
      <c r="D5207" s="139" t="s">
        <v>12213</v>
      </c>
    </row>
    <row r="5208" spans="1:4" x14ac:dyDescent="0.25">
      <c r="A5208" s="139" t="s">
        <v>12214</v>
      </c>
      <c r="B5208" s="139" t="s">
        <v>12215</v>
      </c>
      <c r="C5208" s="139" t="s">
        <v>65</v>
      </c>
      <c r="D5208" s="139" t="s">
        <v>12216</v>
      </c>
    </row>
    <row r="5209" spans="1:4" x14ac:dyDescent="0.25">
      <c r="A5209" s="139" t="s">
        <v>12217</v>
      </c>
      <c r="B5209" s="139" t="s">
        <v>12215</v>
      </c>
      <c r="C5209" s="139" t="s">
        <v>65</v>
      </c>
      <c r="D5209" s="139" t="s">
        <v>12218</v>
      </c>
    </row>
    <row r="5210" spans="1:4" x14ac:dyDescent="0.25">
      <c r="A5210" s="139" t="s">
        <v>12219</v>
      </c>
      <c r="B5210" s="139" t="s">
        <v>12220</v>
      </c>
      <c r="C5210" s="139" t="s">
        <v>65</v>
      </c>
      <c r="D5210" s="139" t="s">
        <v>12221</v>
      </c>
    </row>
    <row r="5211" spans="1:4" x14ac:dyDescent="0.25">
      <c r="A5211" s="139" t="s">
        <v>12222</v>
      </c>
      <c r="B5211" s="139" t="s">
        <v>12220</v>
      </c>
      <c r="C5211" s="139" t="s">
        <v>65</v>
      </c>
      <c r="D5211" s="139" t="s">
        <v>12223</v>
      </c>
    </row>
    <row r="5212" spans="1:4" x14ac:dyDescent="0.25">
      <c r="A5212" s="139" t="s">
        <v>12224</v>
      </c>
      <c r="B5212" s="139" t="s">
        <v>12225</v>
      </c>
      <c r="C5212" s="139" t="s">
        <v>65</v>
      </c>
      <c r="D5212" s="139" t="s">
        <v>12226</v>
      </c>
    </row>
    <row r="5213" spans="1:4" x14ac:dyDescent="0.25">
      <c r="A5213" s="139" t="s">
        <v>12227</v>
      </c>
      <c r="B5213" s="139" t="s">
        <v>12225</v>
      </c>
      <c r="C5213" s="139" t="s">
        <v>65</v>
      </c>
      <c r="D5213" s="139" t="s">
        <v>12228</v>
      </c>
    </row>
    <row r="5214" spans="1:4" x14ac:dyDescent="0.25">
      <c r="A5214" s="139" t="s">
        <v>12229</v>
      </c>
      <c r="B5214" s="139" t="s">
        <v>12230</v>
      </c>
      <c r="C5214" s="139" t="s">
        <v>65</v>
      </c>
      <c r="D5214" s="139" t="s">
        <v>12231</v>
      </c>
    </row>
    <row r="5215" spans="1:4" x14ac:dyDescent="0.25">
      <c r="A5215" s="139" t="s">
        <v>12232</v>
      </c>
      <c r="B5215" s="139" t="s">
        <v>12230</v>
      </c>
      <c r="C5215" s="139" t="s">
        <v>65</v>
      </c>
      <c r="D5215" s="139" t="s">
        <v>12233</v>
      </c>
    </row>
    <row r="5216" spans="1:4" x14ac:dyDescent="0.25">
      <c r="A5216" s="139" t="s">
        <v>12234</v>
      </c>
      <c r="B5216" s="139" t="s">
        <v>9395</v>
      </c>
      <c r="C5216" s="139" t="s">
        <v>65</v>
      </c>
      <c r="D5216" s="139" t="s">
        <v>12235</v>
      </c>
    </row>
    <row r="5217" spans="1:4" x14ac:dyDescent="0.25">
      <c r="A5217" s="139" t="s">
        <v>12236</v>
      </c>
      <c r="B5217" s="139" t="s">
        <v>9395</v>
      </c>
      <c r="C5217" s="139" t="s">
        <v>65</v>
      </c>
      <c r="D5217" s="139" t="s">
        <v>12237</v>
      </c>
    </row>
    <row r="5218" spans="1:4" x14ac:dyDescent="0.25">
      <c r="A5218" s="139" t="s">
        <v>12238</v>
      </c>
      <c r="B5218" s="139" t="s">
        <v>5231</v>
      </c>
      <c r="C5218" s="139" t="s">
        <v>65</v>
      </c>
      <c r="D5218" s="139" t="s">
        <v>12239</v>
      </c>
    </row>
    <row r="5219" spans="1:4" x14ac:dyDescent="0.25">
      <c r="A5219" s="139" t="s">
        <v>12240</v>
      </c>
      <c r="B5219" s="139" t="s">
        <v>5231</v>
      </c>
      <c r="C5219" s="139" t="s">
        <v>65</v>
      </c>
      <c r="D5219" s="139" t="s">
        <v>12241</v>
      </c>
    </row>
    <row r="5220" spans="1:4" x14ac:dyDescent="0.25">
      <c r="A5220" s="139" t="s">
        <v>12242</v>
      </c>
      <c r="B5220" s="139" t="s">
        <v>12243</v>
      </c>
      <c r="C5220" s="139" t="s">
        <v>65</v>
      </c>
      <c r="D5220" s="139" t="s">
        <v>12244</v>
      </c>
    </row>
    <row r="5221" spans="1:4" x14ac:dyDescent="0.25">
      <c r="A5221" s="139" t="s">
        <v>12245</v>
      </c>
      <c r="B5221" s="139" t="s">
        <v>12243</v>
      </c>
      <c r="C5221" s="139" t="s">
        <v>65</v>
      </c>
      <c r="D5221" s="139" t="s">
        <v>12246</v>
      </c>
    </row>
    <row r="5222" spans="1:4" x14ac:dyDescent="0.25">
      <c r="A5222" s="139" t="s">
        <v>12247</v>
      </c>
      <c r="B5222" s="139" t="s">
        <v>4054</v>
      </c>
      <c r="C5222" s="139" t="s">
        <v>65</v>
      </c>
      <c r="D5222" s="139" t="s">
        <v>12248</v>
      </c>
    </row>
    <row r="5223" spans="1:4" x14ac:dyDescent="0.25">
      <c r="A5223" s="139" t="s">
        <v>12249</v>
      </c>
      <c r="B5223" s="139" t="s">
        <v>4054</v>
      </c>
      <c r="C5223" s="139" t="s">
        <v>65</v>
      </c>
      <c r="D5223" s="139" t="s">
        <v>12250</v>
      </c>
    </row>
    <row r="5224" spans="1:4" x14ac:dyDescent="0.25">
      <c r="A5224" s="139" t="s">
        <v>12251</v>
      </c>
      <c r="B5224" s="139" t="s">
        <v>12252</v>
      </c>
      <c r="C5224" s="139" t="s">
        <v>65</v>
      </c>
      <c r="D5224" s="139" t="s">
        <v>12253</v>
      </c>
    </row>
    <row r="5225" spans="1:4" x14ac:dyDescent="0.25">
      <c r="A5225" s="139" t="s">
        <v>12254</v>
      </c>
      <c r="B5225" s="139" t="s">
        <v>12252</v>
      </c>
      <c r="C5225" s="139" t="s">
        <v>65</v>
      </c>
      <c r="D5225" s="139" t="s">
        <v>12255</v>
      </c>
    </row>
    <row r="5226" spans="1:4" x14ac:dyDescent="0.25">
      <c r="A5226" s="139" t="s">
        <v>12256</v>
      </c>
      <c r="B5226" s="139" t="s">
        <v>12257</v>
      </c>
      <c r="C5226" s="139" t="s">
        <v>65</v>
      </c>
      <c r="D5226" s="139" t="s">
        <v>12258</v>
      </c>
    </row>
    <row r="5227" spans="1:4" x14ac:dyDescent="0.25">
      <c r="A5227" s="139" t="s">
        <v>12259</v>
      </c>
      <c r="B5227" s="139" t="s">
        <v>12257</v>
      </c>
      <c r="C5227" s="139" t="s">
        <v>65</v>
      </c>
      <c r="D5227" s="139" t="s">
        <v>12260</v>
      </c>
    </row>
    <row r="5228" spans="1:4" x14ac:dyDescent="0.25">
      <c r="A5228" s="139" t="s">
        <v>12261</v>
      </c>
      <c r="B5228" s="139" t="s">
        <v>12262</v>
      </c>
      <c r="C5228" s="139" t="s">
        <v>65</v>
      </c>
      <c r="D5228" s="139" t="s">
        <v>12263</v>
      </c>
    </row>
    <row r="5229" spans="1:4" x14ac:dyDescent="0.25">
      <c r="A5229" s="139" t="s">
        <v>12264</v>
      </c>
      <c r="B5229" s="139" t="s">
        <v>12262</v>
      </c>
      <c r="C5229" s="139" t="s">
        <v>65</v>
      </c>
      <c r="D5229" s="139" t="s">
        <v>12265</v>
      </c>
    </row>
    <row r="5230" spans="1:4" x14ac:dyDescent="0.25">
      <c r="A5230" s="139" t="s">
        <v>12266</v>
      </c>
      <c r="B5230" s="139" t="s">
        <v>12267</v>
      </c>
      <c r="C5230" s="139" t="s">
        <v>65</v>
      </c>
      <c r="D5230" s="139" t="s">
        <v>12268</v>
      </c>
    </row>
    <row r="5231" spans="1:4" x14ac:dyDescent="0.25">
      <c r="A5231" s="139" t="s">
        <v>12269</v>
      </c>
      <c r="B5231" s="139" t="s">
        <v>12267</v>
      </c>
      <c r="C5231" s="139" t="s">
        <v>65</v>
      </c>
      <c r="D5231" s="139" t="s">
        <v>12270</v>
      </c>
    </row>
    <row r="5232" spans="1:4" x14ac:dyDescent="0.25">
      <c r="A5232" s="139" t="s">
        <v>12271</v>
      </c>
      <c r="B5232" s="139" t="s">
        <v>12272</v>
      </c>
      <c r="C5232" s="139" t="s">
        <v>65</v>
      </c>
      <c r="D5232" s="139" t="s">
        <v>12273</v>
      </c>
    </row>
    <row r="5233" spans="1:4" x14ac:dyDescent="0.25">
      <c r="A5233" s="139" t="s">
        <v>12274</v>
      </c>
      <c r="B5233" s="139" t="s">
        <v>12272</v>
      </c>
      <c r="C5233" s="139" t="s">
        <v>65</v>
      </c>
      <c r="D5233" s="139" t="s">
        <v>12275</v>
      </c>
    </row>
    <row r="5234" spans="1:4" x14ac:dyDescent="0.25">
      <c r="A5234" s="139" t="s">
        <v>12276</v>
      </c>
      <c r="B5234" s="139" t="s">
        <v>4597</v>
      </c>
      <c r="C5234" s="139" t="s">
        <v>65</v>
      </c>
      <c r="D5234" s="139" t="s">
        <v>12277</v>
      </c>
    </row>
    <row r="5235" spans="1:4" x14ac:dyDescent="0.25">
      <c r="A5235" s="139" t="s">
        <v>12278</v>
      </c>
      <c r="B5235" s="139" t="s">
        <v>4597</v>
      </c>
      <c r="C5235" s="139" t="s">
        <v>65</v>
      </c>
      <c r="D5235" s="139" t="s">
        <v>12279</v>
      </c>
    </row>
    <row r="5236" spans="1:4" x14ac:dyDescent="0.25">
      <c r="A5236" s="139" t="s">
        <v>12280</v>
      </c>
      <c r="B5236" s="139" t="s">
        <v>12281</v>
      </c>
      <c r="C5236" s="139" t="s">
        <v>65</v>
      </c>
      <c r="D5236" s="139" t="s">
        <v>12282</v>
      </c>
    </row>
    <row r="5237" spans="1:4" x14ac:dyDescent="0.25">
      <c r="A5237" s="139" t="s">
        <v>12283</v>
      </c>
      <c r="B5237" s="139" t="s">
        <v>12281</v>
      </c>
      <c r="C5237" s="139" t="s">
        <v>65</v>
      </c>
      <c r="D5237" s="139" t="s">
        <v>12284</v>
      </c>
    </row>
    <row r="5238" spans="1:4" x14ac:dyDescent="0.25">
      <c r="A5238" s="139" t="s">
        <v>12285</v>
      </c>
      <c r="B5238" s="139" t="s">
        <v>12286</v>
      </c>
      <c r="C5238" s="139" t="s">
        <v>65</v>
      </c>
      <c r="D5238" s="139" t="s">
        <v>12287</v>
      </c>
    </row>
    <row r="5239" spans="1:4" x14ac:dyDescent="0.25">
      <c r="A5239" s="139" t="s">
        <v>12288</v>
      </c>
      <c r="B5239" s="139" t="s">
        <v>12286</v>
      </c>
      <c r="C5239" s="139" t="s">
        <v>65</v>
      </c>
      <c r="D5239" s="139" t="s">
        <v>12289</v>
      </c>
    </row>
    <row r="5240" spans="1:4" x14ac:dyDescent="0.25">
      <c r="A5240" s="139" t="s">
        <v>12290</v>
      </c>
      <c r="B5240" s="139" t="s">
        <v>8566</v>
      </c>
      <c r="C5240" s="139" t="s">
        <v>65</v>
      </c>
      <c r="D5240" s="139" t="s">
        <v>12291</v>
      </c>
    </row>
    <row r="5241" spans="1:4" x14ac:dyDescent="0.25">
      <c r="A5241" s="139" t="s">
        <v>12292</v>
      </c>
      <c r="B5241" s="139" t="s">
        <v>8566</v>
      </c>
      <c r="C5241" s="139" t="s">
        <v>65</v>
      </c>
      <c r="D5241" s="139" t="s">
        <v>12293</v>
      </c>
    </row>
    <row r="5242" spans="1:4" x14ac:dyDescent="0.25">
      <c r="A5242" s="139" t="s">
        <v>12294</v>
      </c>
      <c r="B5242" s="139" t="s">
        <v>12295</v>
      </c>
      <c r="C5242" s="139" t="s">
        <v>65</v>
      </c>
      <c r="D5242" s="139" t="s">
        <v>12296</v>
      </c>
    </row>
    <row r="5243" spans="1:4" x14ac:dyDescent="0.25">
      <c r="A5243" s="139" t="s">
        <v>12297</v>
      </c>
      <c r="B5243" s="139" t="s">
        <v>12295</v>
      </c>
      <c r="C5243" s="139" t="s">
        <v>65</v>
      </c>
      <c r="D5243" s="139" t="s">
        <v>12298</v>
      </c>
    </row>
    <row r="5244" spans="1:4" x14ac:dyDescent="0.25">
      <c r="A5244" s="139" t="s">
        <v>12299</v>
      </c>
      <c r="B5244" s="139" t="s">
        <v>12300</v>
      </c>
      <c r="C5244" s="139" t="s">
        <v>65</v>
      </c>
      <c r="D5244" s="139" t="s">
        <v>12301</v>
      </c>
    </row>
    <row r="5245" spans="1:4" x14ac:dyDescent="0.25">
      <c r="A5245" s="139" t="s">
        <v>12302</v>
      </c>
      <c r="B5245" s="139" t="s">
        <v>12300</v>
      </c>
      <c r="C5245" s="139" t="s">
        <v>65</v>
      </c>
      <c r="D5245" s="139" t="s">
        <v>12303</v>
      </c>
    </row>
    <row r="5246" spans="1:4" x14ac:dyDescent="0.25">
      <c r="A5246" s="139" t="s">
        <v>12304</v>
      </c>
      <c r="B5246" s="139" t="s">
        <v>12305</v>
      </c>
      <c r="C5246" s="139" t="s">
        <v>65</v>
      </c>
      <c r="D5246" s="139" t="s">
        <v>12306</v>
      </c>
    </row>
    <row r="5247" spans="1:4" x14ac:dyDescent="0.25">
      <c r="A5247" s="139" t="s">
        <v>12307</v>
      </c>
      <c r="B5247" s="139" t="s">
        <v>12305</v>
      </c>
      <c r="C5247" s="139" t="s">
        <v>65</v>
      </c>
      <c r="D5247" s="139" t="s">
        <v>12308</v>
      </c>
    </row>
    <row r="5248" spans="1:4" x14ac:dyDescent="0.25">
      <c r="A5248" s="139" t="s">
        <v>12309</v>
      </c>
      <c r="B5248" s="139" t="s">
        <v>12310</v>
      </c>
      <c r="C5248" s="139" t="s">
        <v>65</v>
      </c>
      <c r="D5248" s="139" t="s">
        <v>12311</v>
      </c>
    </row>
    <row r="5249" spans="1:4" x14ac:dyDescent="0.25">
      <c r="A5249" s="139" t="s">
        <v>12312</v>
      </c>
      <c r="B5249" s="139" t="s">
        <v>12310</v>
      </c>
      <c r="C5249" s="139" t="s">
        <v>65</v>
      </c>
      <c r="D5249" s="139" t="s">
        <v>12313</v>
      </c>
    </row>
    <row r="5250" spans="1:4" x14ac:dyDescent="0.25">
      <c r="A5250" s="139" t="s">
        <v>12314</v>
      </c>
      <c r="B5250" s="139" t="s">
        <v>3313</v>
      </c>
      <c r="C5250" s="139" t="s">
        <v>65</v>
      </c>
      <c r="D5250" s="139" t="s">
        <v>12315</v>
      </c>
    </row>
    <row r="5251" spans="1:4" x14ac:dyDescent="0.25">
      <c r="A5251" s="139" t="s">
        <v>12316</v>
      </c>
      <c r="B5251" s="139" t="s">
        <v>3313</v>
      </c>
      <c r="C5251" s="139" t="s">
        <v>65</v>
      </c>
      <c r="D5251" s="139" t="s">
        <v>12317</v>
      </c>
    </row>
    <row r="5252" spans="1:4" x14ac:dyDescent="0.25">
      <c r="A5252" s="139" t="s">
        <v>12318</v>
      </c>
      <c r="B5252" s="139" t="s">
        <v>12319</v>
      </c>
      <c r="C5252" s="139" t="s">
        <v>65</v>
      </c>
      <c r="D5252" s="139" t="s">
        <v>12320</v>
      </c>
    </row>
    <row r="5253" spans="1:4" x14ac:dyDescent="0.25">
      <c r="A5253" s="139" t="s">
        <v>12321</v>
      </c>
      <c r="B5253" s="139" t="s">
        <v>12319</v>
      </c>
      <c r="C5253" s="139" t="s">
        <v>65</v>
      </c>
      <c r="D5253" s="139" t="s">
        <v>12322</v>
      </c>
    </row>
    <row r="5254" spans="1:4" x14ac:dyDescent="0.25">
      <c r="A5254" s="139" t="s">
        <v>12323</v>
      </c>
      <c r="B5254" s="139" t="s">
        <v>12324</v>
      </c>
      <c r="C5254" s="139" t="s">
        <v>65</v>
      </c>
      <c r="D5254" s="139" t="s">
        <v>12325</v>
      </c>
    </row>
    <row r="5255" spans="1:4" x14ac:dyDescent="0.25">
      <c r="A5255" s="139" t="s">
        <v>12326</v>
      </c>
      <c r="B5255" s="139" t="s">
        <v>12324</v>
      </c>
      <c r="C5255" s="139" t="s">
        <v>65</v>
      </c>
      <c r="D5255" s="139" t="s">
        <v>12327</v>
      </c>
    </row>
    <row r="5256" spans="1:4" x14ac:dyDescent="0.25">
      <c r="A5256" s="139" t="s">
        <v>12328</v>
      </c>
      <c r="B5256" s="139" t="s">
        <v>12329</v>
      </c>
      <c r="C5256" s="139" t="s">
        <v>65</v>
      </c>
      <c r="D5256" s="139" t="s">
        <v>12330</v>
      </c>
    </row>
    <row r="5257" spans="1:4" x14ac:dyDescent="0.25">
      <c r="A5257" s="139" t="s">
        <v>12331</v>
      </c>
      <c r="B5257" s="139" t="s">
        <v>12329</v>
      </c>
      <c r="C5257" s="139" t="s">
        <v>65</v>
      </c>
      <c r="D5257" s="139" t="s">
        <v>12332</v>
      </c>
    </row>
    <row r="5258" spans="1:4" x14ac:dyDescent="0.25">
      <c r="A5258" s="139" t="s">
        <v>12333</v>
      </c>
      <c r="B5258" s="139" t="s">
        <v>12334</v>
      </c>
      <c r="C5258" s="139" t="s">
        <v>65</v>
      </c>
      <c r="D5258" s="139" t="s">
        <v>12335</v>
      </c>
    </row>
    <row r="5259" spans="1:4" x14ac:dyDescent="0.25">
      <c r="A5259" s="139" t="s">
        <v>12336</v>
      </c>
      <c r="B5259" s="139" t="s">
        <v>12334</v>
      </c>
      <c r="C5259" s="139" t="s">
        <v>65</v>
      </c>
      <c r="D5259" s="139" t="s">
        <v>12337</v>
      </c>
    </row>
    <row r="5260" spans="1:4" x14ac:dyDescent="0.25">
      <c r="A5260" s="139" t="s">
        <v>12338</v>
      </c>
      <c r="B5260" s="139" t="s">
        <v>8561</v>
      </c>
      <c r="C5260" s="139" t="s">
        <v>65</v>
      </c>
      <c r="D5260" s="139" t="s">
        <v>12339</v>
      </c>
    </row>
    <row r="5261" spans="1:4" x14ac:dyDescent="0.25">
      <c r="A5261" s="139" t="s">
        <v>12340</v>
      </c>
      <c r="B5261" s="139" t="s">
        <v>8561</v>
      </c>
      <c r="C5261" s="139" t="s">
        <v>65</v>
      </c>
      <c r="D5261" s="139" t="s">
        <v>12341</v>
      </c>
    </row>
    <row r="5262" spans="1:4" x14ac:dyDescent="0.25">
      <c r="A5262" s="139" t="s">
        <v>12342</v>
      </c>
      <c r="B5262" s="139" t="s">
        <v>12343</v>
      </c>
      <c r="C5262" s="139" t="s">
        <v>65</v>
      </c>
      <c r="D5262" s="139" t="s">
        <v>12344</v>
      </c>
    </row>
    <row r="5263" spans="1:4" x14ac:dyDescent="0.25">
      <c r="A5263" s="139" t="s">
        <v>12345</v>
      </c>
      <c r="B5263" s="139" t="s">
        <v>12343</v>
      </c>
      <c r="C5263" s="139" t="s">
        <v>65</v>
      </c>
      <c r="D5263" s="139" t="s">
        <v>12346</v>
      </c>
    </row>
    <row r="5264" spans="1:4" x14ac:dyDescent="0.25">
      <c r="A5264" s="139" t="s">
        <v>12347</v>
      </c>
      <c r="B5264" s="139" t="s">
        <v>12348</v>
      </c>
      <c r="C5264" s="139" t="s">
        <v>65</v>
      </c>
      <c r="D5264" s="139" t="s">
        <v>12349</v>
      </c>
    </row>
    <row r="5265" spans="1:4" x14ac:dyDescent="0.25">
      <c r="A5265" s="139" t="s">
        <v>12350</v>
      </c>
      <c r="B5265" s="139" t="s">
        <v>12348</v>
      </c>
      <c r="C5265" s="139" t="s">
        <v>65</v>
      </c>
      <c r="D5265" s="139" t="s">
        <v>12351</v>
      </c>
    </row>
    <row r="5266" spans="1:4" x14ac:dyDescent="0.25">
      <c r="A5266" s="139" t="s">
        <v>12352</v>
      </c>
      <c r="B5266" s="139" t="s">
        <v>12353</v>
      </c>
      <c r="C5266" s="139" t="s">
        <v>65</v>
      </c>
      <c r="D5266" s="139" t="s">
        <v>12354</v>
      </c>
    </row>
    <row r="5267" spans="1:4" x14ac:dyDescent="0.25">
      <c r="A5267" s="139" t="s">
        <v>12355</v>
      </c>
      <c r="B5267" s="139" t="s">
        <v>12353</v>
      </c>
      <c r="C5267" s="139" t="s">
        <v>65</v>
      </c>
      <c r="D5267" s="139" t="s">
        <v>12356</v>
      </c>
    </row>
    <row r="5268" spans="1:4" x14ac:dyDescent="0.25">
      <c r="A5268" s="139" t="s">
        <v>12357</v>
      </c>
      <c r="B5268" s="139" t="s">
        <v>12358</v>
      </c>
      <c r="C5268" s="139" t="s">
        <v>65</v>
      </c>
      <c r="D5268" s="139" t="s">
        <v>12359</v>
      </c>
    </row>
    <row r="5269" spans="1:4" x14ac:dyDescent="0.25">
      <c r="A5269" s="139" t="s">
        <v>12360</v>
      </c>
      <c r="B5269" s="139" t="s">
        <v>12358</v>
      </c>
      <c r="C5269" s="139" t="s">
        <v>65</v>
      </c>
      <c r="D5269" s="139" t="s">
        <v>12361</v>
      </c>
    </row>
    <row r="5270" spans="1:4" x14ac:dyDescent="0.25">
      <c r="A5270" s="139" t="s">
        <v>12362</v>
      </c>
      <c r="B5270" s="139" t="s">
        <v>12363</v>
      </c>
      <c r="C5270" s="139" t="s">
        <v>65</v>
      </c>
      <c r="D5270" s="139" t="s">
        <v>12364</v>
      </c>
    </row>
    <row r="5271" spans="1:4" x14ac:dyDescent="0.25">
      <c r="A5271" s="139" t="s">
        <v>12365</v>
      </c>
      <c r="B5271" s="139" t="s">
        <v>12363</v>
      </c>
      <c r="C5271" s="139" t="s">
        <v>65</v>
      </c>
      <c r="D5271" s="139" t="s">
        <v>12366</v>
      </c>
    </row>
    <row r="5272" spans="1:4" x14ac:dyDescent="0.25">
      <c r="A5272" s="139" t="s">
        <v>12367</v>
      </c>
      <c r="B5272" s="139" t="s">
        <v>12368</v>
      </c>
      <c r="C5272" s="139" t="s">
        <v>65</v>
      </c>
      <c r="D5272" s="139" t="s">
        <v>12369</v>
      </c>
    </row>
    <row r="5273" spans="1:4" x14ac:dyDescent="0.25">
      <c r="A5273" s="139" t="s">
        <v>12370</v>
      </c>
      <c r="B5273" s="139" t="s">
        <v>12368</v>
      </c>
      <c r="C5273" s="139" t="s">
        <v>65</v>
      </c>
      <c r="D5273" s="139" t="s">
        <v>12371</v>
      </c>
    </row>
    <row r="5274" spans="1:4" x14ac:dyDescent="0.25">
      <c r="A5274" s="139" t="s">
        <v>12372</v>
      </c>
      <c r="B5274" s="139" t="s">
        <v>12373</v>
      </c>
      <c r="C5274" s="139" t="s">
        <v>65</v>
      </c>
      <c r="D5274" s="139" t="s">
        <v>12374</v>
      </c>
    </row>
    <row r="5275" spans="1:4" x14ac:dyDescent="0.25">
      <c r="A5275" s="139" t="s">
        <v>12375</v>
      </c>
      <c r="B5275" s="139" t="s">
        <v>12373</v>
      </c>
      <c r="C5275" s="139" t="s">
        <v>65</v>
      </c>
      <c r="D5275" s="139" t="s">
        <v>12376</v>
      </c>
    </row>
    <row r="5276" spans="1:4" x14ac:dyDescent="0.25">
      <c r="A5276" s="139" t="s">
        <v>12377</v>
      </c>
      <c r="B5276" s="139" t="s">
        <v>8576</v>
      </c>
      <c r="C5276" s="139" t="s">
        <v>65</v>
      </c>
      <c r="D5276" s="139" t="s">
        <v>12378</v>
      </c>
    </row>
    <row r="5277" spans="1:4" x14ac:dyDescent="0.25">
      <c r="A5277" s="139" t="s">
        <v>12379</v>
      </c>
      <c r="B5277" s="139" t="s">
        <v>8576</v>
      </c>
      <c r="C5277" s="139" t="s">
        <v>65</v>
      </c>
      <c r="D5277" s="139" t="s">
        <v>12380</v>
      </c>
    </row>
    <row r="5278" spans="1:4" x14ac:dyDescent="0.25">
      <c r="A5278" s="139" t="s">
        <v>12381</v>
      </c>
      <c r="B5278" s="139" t="s">
        <v>3754</v>
      </c>
      <c r="C5278" s="139" t="s">
        <v>65</v>
      </c>
      <c r="D5278" s="139" t="s">
        <v>12382</v>
      </c>
    </row>
    <row r="5279" spans="1:4" x14ac:dyDescent="0.25">
      <c r="A5279" s="139" t="s">
        <v>12383</v>
      </c>
      <c r="B5279" s="139" t="s">
        <v>3754</v>
      </c>
      <c r="C5279" s="139" t="s">
        <v>65</v>
      </c>
      <c r="D5279" s="139" t="s">
        <v>12384</v>
      </c>
    </row>
    <row r="5280" spans="1:4" x14ac:dyDescent="0.25">
      <c r="A5280" s="139" t="s">
        <v>12385</v>
      </c>
      <c r="B5280" s="139" t="s">
        <v>12386</v>
      </c>
      <c r="C5280" s="139" t="s">
        <v>65</v>
      </c>
      <c r="D5280" s="139" t="s">
        <v>12387</v>
      </c>
    </row>
    <row r="5281" spans="1:4" x14ac:dyDescent="0.25">
      <c r="A5281" s="139" t="s">
        <v>12388</v>
      </c>
      <c r="B5281" s="139" t="s">
        <v>12386</v>
      </c>
      <c r="C5281" s="139" t="s">
        <v>65</v>
      </c>
      <c r="D5281" s="139" t="s">
        <v>12389</v>
      </c>
    </row>
    <row r="5282" spans="1:4" x14ac:dyDescent="0.25">
      <c r="A5282" s="139" t="s">
        <v>12390</v>
      </c>
      <c r="B5282" s="139" t="s">
        <v>12391</v>
      </c>
      <c r="C5282" s="139" t="s">
        <v>65</v>
      </c>
      <c r="D5282" s="139" t="s">
        <v>12392</v>
      </c>
    </row>
    <row r="5283" spans="1:4" x14ac:dyDescent="0.25">
      <c r="A5283" s="139" t="s">
        <v>12393</v>
      </c>
      <c r="B5283" s="139" t="s">
        <v>12391</v>
      </c>
      <c r="C5283" s="139" t="s">
        <v>65</v>
      </c>
      <c r="D5283" s="139" t="s">
        <v>12394</v>
      </c>
    </row>
    <row r="5284" spans="1:4" x14ac:dyDescent="0.25">
      <c r="A5284" s="139" t="s">
        <v>12395</v>
      </c>
      <c r="B5284" s="139" t="s">
        <v>12396</v>
      </c>
      <c r="C5284" s="139" t="s">
        <v>65</v>
      </c>
      <c r="D5284" s="139" t="s">
        <v>12397</v>
      </c>
    </row>
    <row r="5285" spans="1:4" x14ac:dyDescent="0.25">
      <c r="A5285" s="139" t="s">
        <v>12398</v>
      </c>
      <c r="B5285" s="139" t="s">
        <v>12396</v>
      </c>
      <c r="C5285" s="139" t="s">
        <v>65</v>
      </c>
      <c r="D5285" s="139" t="s">
        <v>12399</v>
      </c>
    </row>
    <row r="5286" spans="1:4" x14ac:dyDescent="0.25">
      <c r="A5286" s="139" t="s">
        <v>12400</v>
      </c>
      <c r="B5286" s="139" t="s">
        <v>12401</v>
      </c>
      <c r="C5286" s="139" t="s">
        <v>65</v>
      </c>
      <c r="D5286" s="139" t="s">
        <v>12402</v>
      </c>
    </row>
    <row r="5287" spans="1:4" x14ac:dyDescent="0.25">
      <c r="A5287" s="139" t="s">
        <v>12403</v>
      </c>
      <c r="B5287" s="139" t="s">
        <v>12401</v>
      </c>
      <c r="C5287" s="139" t="s">
        <v>65</v>
      </c>
      <c r="D5287" s="139" t="s">
        <v>12404</v>
      </c>
    </row>
    <row r="5288" spans="1:4" x14ac:dyDescent="0.25">
      <c r="A5288" s="139" t="s">
        <v>12405</v>
      </c>
      <c r="B5288" s="139" t="s">
        <v>12406</v>
      </c>
      <c r="C5288" s="139" t="s">
        <v>65</v>
      </c>
      <c r="D5288" s="139" t="s">
        <v>12407</v>
      </c>
    </row>
    <row r="5289" spans="1:4" x14ac:dyDescent="0.25">
      <c r="A5289" s="139" t="s">
        <v>12408</v>
      </c>
      <c r="B5289" s="139" t="s">
        <v>12406</v>
      </c>
      <c r="C5289" s="139" t="s">
        <v>65</v>
      </c>
      <c r="D5289" s="139" t="s">
        <v>12409</v>
      </c>
    </row>
    <row r="5290" spans="1:4" x14ac:dyDescent="0.25">
      <c r="A5290" s="139" t="s">
        <v>12410</v>
      </c>
      <c r="B5290" s="139" t="s">
        <v>12411</v>
      </c>
      <c r="C5290" s="139" t="s">
        <v>65</v>
      </c>
      <c r="D5290" s="139" t="s">
        <v>12412</v>
      </c>
    </row>
    <row r="5291" spans="1:4" x14ac:dyDescent="0.25">
      <c r="A5291" s="139" t="s">
        <v>12413</v>
      </c>
      <c r="B5291" s="139" t="s">
        <v>12411</v>
      </c>
      <c r="C5291" s="139" t="s">
        <v>65</v>
      </c>
      <c r="D5291" s="139" t="s">
        <v>12414</v>
      </c>
    </row>
    <row r="5292" spans="1:4" x14ac:dyDescent="0.25">
      <c r="A5292" s="139" t="s">
        <v>12415</v>
      </c>
      <c r="B5292" s="139" t="s">
        <v>12416</v>
      </c>
      <c r="C5292" s="139" t="s">
        <v>65</v>
      </c>
      <c r="D5292" s="139" t="s">
        <v>12417</v>
      </c>
    </row>
    <row r="5293" spans="1:4" x14ac:dyDescent="0.25">
      <c r="A5293" s="139" t="s">
        <v>12418</v>
      </c>
      <c r="B5293" s="139" t="s">
        <v>12416</v>
      </c>
      <c r="C5293" s="139" t="s">
        <v>65</v>
      </c>
      <c r="D5293" s="139" t="s">
        <v>12419</v>
      </c>
    </row>
    <row r="5294" spans="1:4" x14ac:dyDescent="0.25">
      <c r="A5294" s="139" t="s">
        <v>12420</v>
      </c>
      <c r="B5294" s="139" t="s">
        <v>12421</v>
      </c>
      <c r="C5294" s="139" t="s">
        <v>65</v>
      </c>
      <c r="D5294" s="139" t="s">
        <v>12422</v>
      </c>
    </row>
    <row r="5295" spans="1:4" x14ac:dyDescent="0.25">
      <c r="A5295" s="139" t="s">
        <v>12423</v>
      </c>
      <c r="B5295" s="139" t="s">
        <v>12421</v>
      </c>
      <c r="C5295" s="139" t="s">
        <v>65</v>
      </c>
      <c r="D5295" s="139" t="s">
        <v>12424</v>
      </c>
    </row>
    <row r="5296" spans="1:4" x14ac:dyDescent="0.25">
      <c r="A5296" s="139" t="s">
        <v>12425</v>
      </c>
      <c r="B5296" s="139" t="s">
        <v>12426</v>
      </c>
      <c r="C5296" s="139" t="s">
        <v>65</v>
      </c>
      <c r="D5296" s="139" t="s">
        <v>12427</v>
      </c>
    </row>
    <row r="5297" spans="1:4" x14ac:dyDescent="0.25">
      <c r="A5297" s="139" t="s">
        <v>12428</v>
      </c>
      <c r="B5297" s="139" t="s">
        <v>12426</v>
      </c>
      <c r="C5297" s="139" t="s">
        <v>65</v>
      </c>
      <c r="D5297" s="139" t="s">
        <v>12429</v>
      </c>
    </row>
    <row r="5298" spans="1:4" x14ac:dyDescent="0.25">
      <c r="A5298" s="139" t="s">
        <v>12430</v>
      </c>
      <c r="B5298" s="139" t="s">
        <v>12431</v>
      </c>
      <c r="C5298" s="139" t="s">
        <v>65</v>
      </c>
      <c r="D5298" s="139" t="s">
        <v>12432</v>
      </c>
    </row>
    <row r="5299" spans="1:4" x14ac:dyDescent="0.25">
      <c r="A5299" s="139" t="s">
        <v>12433</v>
      </c>
      <c r="B5299" s="139" t="s">
        <v>12431</v>
      </c>
      <c r="C5299" s="139" t="s">
        <v>65</v>
      </c>
      <c r="D5299" s="139" t="s">
        <v>12434</v>
      </c>
    </row>
    <row r="5300" spans="1:4" x14ac:dyDescent="0.25">
      <c r="A5300" s="139" t="s">
        <v>12435</v>
      </c>
      <c r="B5300" s="139" t="s">
        <v>12436</v>
      </c>
      <c r="C5300" s="139" t="s">
        <v>65</v>
      </c>
      <c r="D5300" s="139" t="s">
        <v>12437</v>
      </c>
    </row>
    <row r="5301" spans="1:4" x14ac:dyDescent="0.25">
      <c r="A5301" s="139" t="s">
        <v>12438</v>
      </c>
      <c r="B5301" s="139" t="s">
        <v>12436</v>
      </c>
      <c r="C5301" s="139" t="s">
        <v>65</v>
      </c>
      <c r="D5301" s="139" t="s">
        <v>12439</v>
      </c>
    </row>
    <row r="5302" spans="1:4" x14ac:dyDescent="0.25">
      <c r="A5302" s="139" t="s">
        <v>12440</v>
      </c>
      <c r="B5302" s="139" t="s">
        <v>12441</v>
      </c>
      <c r="C5302" s="139" t="s">
        <v>65</v>
      </c>
      <c r="D5302" s="139" t="s">
        <v>12442</v>
      </c>
    </row>
    <row r="5303" spans="1:4" x14ac:dyDescent="0.25">
      <c r="A5303" s="139" t="s">
        <v>12443</v>
      </c>
      <c r="B5303" s="139" t="s">
        <v>12441</v>
      </c>
      <c r="C5303" s="139" t="s">
        <v>65</v>
      </c>
      <c r="D5303" s="139" t="s">
        <v>12444</v>
      </c>
    </row>
    <row r="5304" spans="1:4" x14ac:dyDescent="0.25">
      <c r="A5304" s="139" t="s">
        <v>12445</v>
      </c>
      <c r="B5304" s="139" t="s">
        <v>12446</v>
      </c>
      <c r="C5304" s="139" t="s">
        <v>65</v>
      </c>
      <c r="D5304" s="139" t="s">
        <v>12447</v>
      </c>
    </row>
    <row r="5305" spans="1:4" x14ac:dyDescent="0.25">
      <c r="A5305" s="139" t="s">
        <v>12448</v>
      </c>
      <c r="B5305" s="139" t="s">
        <v>12446</v>
      </c>
      <c r="C5305" s="139" t="s">
        <v>65</v>
      </c>
      <c r="D5305" s="139" t="s">
        <v>12449</v>
      </c>
    </row>
    <row r="5306" spans="1:4" x14ac:dyDescent="0.25">
      <c r="A5306" s="139" t="s">
        <v>12450</v>
      </c>
      <c r="B5306" s="139" t="s">
        <v>12451</v>
      </c>
      <c r="C5306" s="139" t="s">
        <v>65</v>
      </c>
      <c r="D5306" s="139" t="s">
        <v>12452</v>
      </c>
    </row>
    <row r="5307" spans="1:4" x14ac:dyDescent="0.25">
      <c r="A5307" s="139" t="s">
        <v>12453</v>
      </c>
      <c r="B5307" s="139" t="s">
        <v>12451</v>
      </c>
      <c r="C5307" s="139" t="s">
        <v>65</v>
      </c>
      <c r="D5307" s="139" t="s">
        <v>12454</v>
      </c>
    </row>
    <row r="5308" spans="1:4" x14ac:dyDescent="0.25">
      <c r="A5308" s="139" t="s">
        <v>12455</v>
      </c>
      <c r="B5308" s="139" t="s">
        <v>12456</v>
      </c>
      <c r="C5308" s="139" t="s">
        <v>65</v>
      </c>
      <c r="D5308" s="139" t="s">
        <v>12457</v>
      </c>
    </row>
    <row r="5309" spans="1:4" x14ac:dyDescent="0.25">
      <c r="A5309" s="139" t="s">
        <v>12458</v>
      </c>
      <c r="B5309" s="139" t="s">
        <v>12456</v>
      </c>
      <c r="C5309" s="139" t="s">
        <v>65</v>
      </c>
      <c r="D5309" s="139" t="s">
        <v>12459</v>
      </c>
    </row>
    <row r="5310" spans="1:4" x14ac:dyDescent="0.25">
      <c r="A5310" s="139" t="s">
        <v>12460</v>
      </c>
      <c r="B5310" s="139" t="s">
        <v>12461</v>
      </c>
      <c r="C5310" s="139" t="s">
        <v>65</v>
      </c>
      <c r="D5310" s="139" t="s">
        <v>12462</v>
      </c>
    </row>
    <row r="5311" spans="1:4" x14ac:dyDescent="0.25">
      <c r="A5311" s="139" t="s">
        <v>12463</v>
      </c>
      <c r="B5311" s="139" t="s">
        <v>12461</v>
      </c>
      <c r="C5311" s="139" t="s">
        <v>65</v>
      </c>
      <c r="D5311" s="139" t="s">
        <v>12464</v>
      </c>
    </row>
    <row r="5312" spans="1:4" x14ac:dyDescent="0.25">
      <c r="A5312" s="139" t="s">
        <v>12465</v>
      </c>
      <c r="B5312" s="139" t="s">
        <v>12466</v>
      </c>
      <c r="C5312" s="139" t="s">
        <v>65</v>
      </c>
      <c r="D5312" s="139" t="s">
        <v>12467</v>
      </c>
    </row>
    <row r="5313" spans="1:4" x14ac:dyDescent="0.25">
      <c r="A5313" s="139" t="s">
        <v>12468</v>
      </c>
      <c r="B5313" s="139" t="s">
        <v>12466</v>
      </c>
      <c r="C5313" s="139" t="s">
        <v>65</v>
      </c>
      <c r="D5313" s="139" t="s">
        <v>12469</v>
      </c>
    </row>
    <row r="5314" spans="1:4" x14ac:dyDescent="0.25">
      <c r="A5314" s="139" t="s">
        <v>12470</v>
      </c>
      <c r="B5314" s="139" t="s">
        <v>12471</v>
      </c>
      <c r="C5314" s="139" t="s">
        <v>65</v>
      </c>
      <c r="D5314" s="139" t="s">
        <v>12472</v>
      </c>
    </row>
    <row r="5315" spans="1:4" x14ac:dyDescent="0.25">
      <c r="A5315" s="139" t="s">
        <v>12473</v>
      </c>
      <c r="B5315" s="139" t="s">
        <v>12471</v>
      </c>
      <c r="C5315" s="139" t="s">
        <v>65</v>
      </c>
      <c r="D5315" s="139" t="s">
        <v>12474</v>
      </c>
    </row>
    <row r="5316" spans="1:4" x14ac:dyDescent="0.25">
      <c r="A5316" s="139" t="s">
        <v>12475</v>
      </c>
      <c r="B5316" s="139" t="s">
        <v>12476</v>
      </c>
      <c r="C5316" s="139" t="s">
        <v>65</v>
      </c>
      <c r="D5316" s="139" t="s">
        <v>12477</v>
      </c>
    </row>
    <row r="5317" spans="1:4" x14ac:dyDescent="0.25">
      <c r="A5317" s="139" t="s">
        <v>12478</v>
      </c>
      <c r="B5317" s="139" t="s">
        <v>12476</v>
      </c>
      <c r="C5317" s="139" t="s">
        <v>65</v>
      </c>
      <c r="D5317" s="139" t="s">
        <v>12479</v>
      </c>
    </row>
    <row r="5318" spans="1:4" x14ac:dyDescent="0.25">
      <c r="A5318" s="139" t="s">
        <v>12480</v>
      </c>
      <c r="B5318" s="139" t="s">
        <v>12481</v>
      </c>
      <c r="C5318" s="139" t="s">
        <v>65</v>
      </c>
      <c r="D5318" s="139" t="s">
        <v>12482</v>
      </c>
    </row>
    <row r="5319" spans="1:4" x14ac:dyDescent="0.25">
      <c r="A5319" s="139" t="s">
        <v>12483</v>
      </c>
      <c r="B5319" s="139" t="s">
        <v>12481</v>
      </c>
      <c r="C5319" s="139" t="s">
        <v>65</v>
      </c>
      <c r="D5319" s="139" t="s">
        <v>12484</v>
      </c>
    </row>
    <row r="5320" spans="1:4" x14ac:dyDescent="0.25">
      <c r="A5320" s="139" t="s">
        <v>12485</v>
      </c>
      <c r="B5320" s="139" t="s">
        <v>12486</v>
      </c>
      <c r="C5320" s="139" t="s">
        <v>65</v>
      </c>
      <c r="D5320" s="139" t="s">
        <v>12487</v>
      </c>
    </row>
    <row r="5321" spans="1:4" x14ac:dyDescent="0.25">
      <c r="A5321" s="139" t="s">
        <v>12488</v>
      </c>
      <c r="B5321" s="139" t="s">
        <v>12486</v>
      </c>
      <c r="C5321" s="139" t="s">
        <v>65</v>
      </c>
      <c r="D5321" s="139" t="s">
        <v>12489</v>
      </c>
    </row>
    <row r="5322" spans="1:4" x14ac:dyDescent="0.25">
      <c r="A5322" s="139" t="s">
        <v>12490</v>
      </c>
      <c r="B5322" s="139" t="s">
        <v>11530</v>
      </c>
      <c r="C5322" s="139" t="s">
        <v>65</v>
      </c>
      <c r="D5322" s="139" t="s">
        <v>12491</v>
      </c>
    </row>
    <row r="5323" spans="1:4" x14ac:dyDescent="0.25">
      <c r="A5323" s="139" t="s">
        <v>12492</v>
      </c>
      <c r="B5323" s="139" t="s">
        <v>11530</v>
      </c>
      <c r="C5323" s="139" t="s">
        <v>65</v>
      </c>
      <c r="D5323" s="139" t="s">
        <v>12493</v>
      </c>
    </row>
    <row r="5324" spans="1:4" x14ac:dyDescent="0.25">
      <c r="A5324" s="139" t="s">
        <v>12494</v>
      </c>
      <c r="B5324" s="139" t="s">
        <v>12495</v>
      </c>
      <c r="C5324" s="139" t="s">
        <v>65</v>
      </c>
      <c r="D5324" s="139" t="s">
        <v>12496</v>
      </c>
    </row>
    <row r="5325" spans="1:4" x14ac:dyDescent="0.25">
      <c r="A5325" s="139" t="s">
        <v>12497</v>
      </c>
      <c r="B5325" s="139" t="s">
        <v>12495</v>
      </c>
      <c r="C5325" s="139" t="s">
        <v>65</v>
      </c>
      <c r="D5325" s="139" t="s">
        <v>12498</v>
      </c>
    </row>
    <row r="5326" spans="1:4" x14ac:dyDescent="0.25">
      <c r="A5326" s="139" t="s">
        <v>12499</v>
      </c>
      <c r="B5326" s="139" t="s">
        <v>10750</v>
      </c>
      <c r="C5326" s="139" t="s">
        <v>65</v>
      </c>
      <c r="D5326" s="139" t="s">
        <v>12500</v>
      </c>
    </row>
    <row r="5327" spans="1:4" x14ac:dyDescent="0.25">
      <c r="A5327" s="139" t="s">
        <v>12501</v>
      </c>
      <c r="B5327" s="139" t="s">
        <v>10750</v>
      </c>
      <c r="C5327" s="139" t="s">
        <v>65</v>
      </c>
      <c r="D5327" s="139" t="s">
        <v>12502</v>
      </c>
    </row>
    <row r="5328" spans="1:4" x14ac:dyDescent="0.25">
      <c r="A5328" s="139" t="s">
        <v>12503</v>
      </c>
      <c r="B5328" s="139" t="s">
        <v>12504</v>
      </c>
      <c r="C5328" s="139" t="s">
        <v>65</v>
      </c>
      <c r="D5328" s="139" t="s">
        <v>12505</v>
      </c>
    </row>
    <row r="5329" spans="1:4" x14ac:dyDescent="0.25">
      <c r="A5329" s="139" t="s">
        <v>12506</v>
      </c>
      <c r="B5329" s="139" t="s">
        <v>12504</v>
      </c>
      <c r="C5329" s="139" t="s">
        <v>65</v>
      </c>
      <c r="D5329" s="139" t="s">
        <v>12507</v>
      </c>
    </row>
    <row r="5330" spans="1:4" x14ac:dyDescent="0.25">
      <c r="A5330" s="139" t="s">
        <v>12508</v>
      </c>
      <c r="B5330" s="139" t="s">
        <v>12509</v>
      </c>
      <c r="C5330" s="139" t="s">
        <v>65</v>
      </c>
      <c r="D5330" s="139" t="s">
        <v>12510</v>
      </c>
    </row>
    <row r="5331" spans="1:4" x14ac:dyDescent="0.25">
      <c r="A5331" s="139" t="s">
        <v>12511</v>
      </c>
      <c r="B5331" s="139" t="s">
        <v>12509</v>
      </c>
      <c r="C5331" s="139" t="s">
        <v>65</v>
      </c>
      <c r="D5331" s="139" t="s">
        <v>12512</v>
      </c>
    </row>
    <row r="5332" spans="1:4" x14ac:dyDescent="0.25">
      <c r="A5332" s="139" t="s">
        <v>12513</v>
      </c>
      <c r="B5332" s="139" t="s">
        <v>12514</v>
      </c>
      <c r="C5332" s="139" t="s">
        <v>65</v>
      </c>
      <c r="D5332" s="139" t="s">
        <v>12515</v>
      </c>
    </row>
    <row r="5333" spans="1:4" x14ac:dyDescent="0.25">
      <c r="A5333" s="139" t="s">
        <v>12516</v>
      </c>
      <c r="B5333" s="139" t="s">
        <v>12514</v>
      </c>
      <c r="C5333" s="139" t="s">
        <v>65</v>
      </c>
      <c r="D5333" s="139" t="s">
        <v>12517</v>
      </c>
    </row>
    <row r="5334" spans="1:4" x14ac:dyDescent="0.25">
      <c r="A5334" s="139" t="s">
        <v>12518</v>
      </c>
      <c r="B5334" s="139" t="s">
        <v>12519</v>
      </c>
      <c r="C5334" s="139" t="s">
        <v>65</v>
      </c>
      <c r="D5334" s="139" t="s">
        <v>12520</v>
      </c>
    </row>
    <row r="5335" spans="1:4" x14ac:dyDescent="0.25">
      <c r="A5335" s="139" t="s">
        <v>12521</v>
      </c>
      <c r="B5335" s="139" t="s">
        <v>12519</v>
      </c>
      <c r="C5335" s="139" t="s">
        <v>65</v>
      </c>
      <c r="D5335" s="139" t="s">
        <v>12522</v>
      </c>
    </row>
    <row r="5336" spans="1:4" x14ac:dyDescent="0.25">
      <c r="A5336" s="139" t="s">
        <v>12523</v>
      </c>
      <c r="B5336" s="139" t="s">
        <v>12524</v>
      </c>
      <c r="C5336" s="139" t="s">
        <v>65</v>
      </c>
      <c r="D5336" s="139" t="s">
        <v>12525</v>
      </c>
    </row>
    <row r="5337" spans="1:4" x14ac:dyDescent="0.25">
      <c r="A5337" s="139" t="s">
        <v>12526</v>
      </c>
      <c r="B5337" s="139" t="s">
        <v>12524</v>
      </c>
      <c r="C5337" s="139" t="s">
        <v>65</v>
      </c>
      <c r="D5337" s="139" t="s">
        <v>12527</v>
      </c>
    </row>
    <row r="5338" spans="1:4" x14ac:dyDescent="0.25">
      <c r="A5338" s="139" t="s">
        <v>12528</v>
      </c>
      <c r="B5338" s="139" t="s">
        <v>12529</v>
      </c>
      <c r="C5338" s="139" t="s">
        <v>65</v>
      </c>
      <c r="D5338" s="139" t="s">
        <v>12530</v>
      </c>
    </row>
    <row r="5339" spans="1:4" x14ac:dyDescent="0.25">
      <c r="A5339" s="139" t="s">
        <v>12531</v>
      </c>
      <c r="B5339" s="139" t="s">
        <v>12529</v>
      </c>
      <c r="C5339" s="139" t="s">
        <v>65</v>
      </c>
      <c r="D5339" s="139" t="s">
        <v>12532</v>
      </c>
    </row>
    <row r="5340" spans="1:4" x14ac:dyDescent="0.25">
      <c r="A5340" s="139" t="s">
        <v>12533</v>
      </c>
      <c r="B5340" s="139" t="s">
        <v>12534</v>
      </c>
      <c r="C5340" s="139" t="s">
        <v>65</v>
      </c>
      <c r="D5340" s="139" t="s">
        <v>12535</v>
      </c>
    </row>
    <row r="5341" spans="1:4" x14ac:dyDescent="0.25">
      <c r="A5341" s="139" t="s">
        <v>12536</v>
      </c>
      <c r="B5341" s="139" t="s">
        <v>12534</v>
      </c>
      <c r="C5341" s="139" t="s">
        <v>65</v>
      </c>
      <c r="D5341" s="139" t="s">
        <v>12537</v>
      </c>
    </row>
    <row r="5342" spans="1:4" x14ac:dyDescent="0.25">
      <c r="A5342" s="139" t="s">
        <v>12538</v>
      </c>
      <c r="B5342" s="139" t="s">
        <v>12539</v>
      </c>
      <c r="C5342" s="139" t="s">
        <v>65</v>
      </c>
      <c r="D5342" s="139" t="s">
        <v>12540</v>
      </c>
    </row>
    <row r="5343" spans="1:4" x14ac:dyDescent="0.25">
      <c r="A5343" s="139" t="s">
        <v>12541</v>
      </c>
      <c r="B5343" s="139" t="s">
        <v>12539</v>
      </c>
      <c r="C5343" s="139" t="s">
        <v>65</v>
      </c>
      <c r="D5343" s="139" t="s">
        <v>12542</v>
      </c>
    </row>
    <row r="5344" spans="1:4" x14ac:dyDescent="0.25">
      <c r="A5344" s="139" t="s">
        <v>12543</v>
      </c>
      <c r="B5344" s="139" t="s">
        <v>12544</v>
      </c>
      <c r="C5344" s="139" t="s">
        <v>65</v>
      </c>
      <c r="D5344" s="139" t="s">
        <v>12545</v>
      </c>
    </row>
    <row r="5345" spans="1:4" x14ac:dyDescent="0.25">
      <c r="A5345" s="139" t="s">
        <v>12546</v>
      </c>
      <c r="B5345" s="139" t="s">
        <v>12544</v>
      </c>
      <c r="C5345" s="139" t="s">
        <v>65</v>
      </c>
      <c r="D5345" s="139" t="s">
        <v>12547</v>
      </c>
    </row>
    <row r="5346" spans="1:4" x14ac:dyDescent="0.25">
      <c r="A5346" s="139" t="s">
        <v>12548</v>
      </c>
      <c r="B5346" s="139" t="s">
        <v>12549</v>
      </c>
      <c r="C5346" s="139" t="s">
        <v>65</v>
      </c>
      <c r="D5346" s="139" t="s">
        <v>12550</v>
      </c>
    </row>
    <row r="5347" spans="1:4" x14ac:dyDescent="0.25">
      <c r="A5347" s="139" t="s">
        <v>12551</v>
      </c>
      <c r="B5347" s="139" t="s">
        <v>12549</v>
      </c>
      <c r="C5347" s="139" t="s">
        <v>65</v>
      </c>
      <c r="D5347" s="139" t="s">
        <v>12552</v>
      </c>
    </row>
    <row r="5348" spans="1:4" x14ac:dyDescent="0.25">
      <c r="A5348" s="139" t="s">
        <v>12553</v>
      </c>
      <c r="B5348" s="139" t="s">
        <v>12554</v>
      </c>
      <c r="C5348" s="139" t="s">
        <v>65</v>
      </c>
      <c r="D5348" s="139" t="s">
        <v>12555</v>
      </c>
    </row>
    <row r="5349" spans="1:4" x14ac:dyDescent="0.25">
      <c r="A5349" s="139" t="s">
        <v>12556</v>
      </c>
      <c r="B5349" s="139" t="s">
        <v>12554</v>
      </c>
      <c r="C5349" s="139" t="s">
        <v>65</v>
      </c>
      <c r="D5349" s="139" t="s">
        <v>12557</v>
      </c>
    </row>
    <row r="5350" spans="1:4" x14ac:dyDescent="0.25">
      <c r="A5350" s="139" t="s">
        <v>12558</v>
      </c>
      <c r="B5350" s="139" t="s">
        <v>12559</v>
      </c>
      <c r="C5350" s="139" t="s">
        <v>65</v>
      </c>
      <c r="D5350" s="139" t="s">
        <v>12560</v>
      </c>
    </row>
    <row r="5351" spans="1:4" x14ac:dyDescent="0.25">
      <c r="A5351" s="139" t="s">
        <v>12561</v>
      </c>
      <c r="B5351" s="139" t="s">
        <v>12559</v>
      </c>
      <c r="C5351" s="139" t="s">
        <v>65</v>
      </c>
      <c r="D5351" s="139" t="s">
        <v>12562</v>
      </c>
    </row>
    <row r="5352" spans="1:4" x14ac:dyDescent="0.25">
      <c r="A5352" s="139" t="s">
        <v>12563</v>
      </c>
      <c r="B5352" s="139" t="s">
        <v>12564</v>
      </c>
      <c r="C5352" s="139" t="s">
        <v>65</v>
      </c>
      <c r="D5352" s="139" t="s">
        <v>12565</v>
      </c>
    </row>
    <row r="5353" spans="1:4" x14ac:dyDescent="0.25">
      <c r="A5353" s="139" t="s">
        <v>12566</v>
      </c>
      <c r="B5353" s="139" t="s">
        <v>12564</v>
      </c>
      <c r="C5353" s="139" t="s">
        <v>65</v>
      </c>
      <c r="D5353" s="139" t="s">
        <v>12567</v>
      </c>
    </row>
    <row r="5354" spans="1:4" x14ac:dyDescent="0.25">
      <c r="A5354" s="139" t="s">
        <v>12568</v>
      </c>
      <c r="B5354" s="139" t="s">
        <v>10473</v>
      </c>
      <c r="C5354" s="139" t="s">
        <v>65</v>
      </c>
      <c r="D5354" s="139" t="s">
        <v>12569</v>
      </c>
    </row>
    <row r="5355" spans="1:4" x14ac:dyDescent="0.25">
      <c r="A5355" s="139" t="s">
        <v>12570</v>
      </c>
      <c r="B5355" s="139" t="s">
        <v>12571</v>
      </c>
      <c r="C5355" s="139" t="s">
        <v>65</v>
      </c>
      <c r="D5355" s="139" t="s">
        <v>12572</v>
      </c>
    </row>
    <row r="5356" spans="1:4" x14ac:dyDescent="0.25">
      <c r="A5356" s="139" t="s">
        <v>12573</v>
      </c>
      <c r="B5356" s="139" t="s">
        <v>12571</v>
      </c>
      <c r="C5356" s="139" t="s">
        <v>65</v>
      </c>
      <c r="D5356" s="139" t="s">
        <v>12574</v>
      </c>
    </row>
    <row r="5357" spans="1:4" x14ac:dyDescent="0.25">
      <c r="A5357" s="139" t="s">
        <v>12575</v>
      </c>
      <c r="B5357" s="139" t="s">
        <v>12576</v>
      </c>
      <c r="C5357" s="139" t="s">
        <v>65</v>
      </c>
      <c r="D5357" s="139" t="s">
        <v>12577</v>
      </c>
    </row>
    <row r="5358" spans="1:4" x14ac:dyDescent="0.25">
      <c r="A5358" s="139" t="s">
        <v>12578</v>
      </c>
      <c r="B5358" s="139" t="s">
        <v>12576</v>
      </c>
      <c r="C5358" s="139" t="s">
        <v>65</v>
      </c>
      <c r="D5358" s="139" t="s">
        <v>12579</v>
      </c>
    </row>
    <row r="5359" spans="1:4" x14ac:dyDescent="0.25">
      <c r="A5359" s="139" t="s">
        <v>12580</v>
      </c>
      <c r="B5359" s="139" t="s">
        <v>10546</v>
      </c>
      <c r="C5359" s="139" t="s">
        <v>65</v>
      </c>
      <c r="D5359" s="139" t="s">
        <v>12581</v>
      </c>
    </row>
    <row r="5360" spans="1:4" x14ac:dyDescent="0.25">
      <c r="A5360" s="139" t="s">
        <v>12582</v>
      </c>
      <c r="B5360" s="139" t="s">
        <v>122</v>
      </c>
      <c r="C5360" s="139" t="s">
        <v>2895</v>
      </c>
      <c r="D5360" s="139" t="s">
        <v>12583</v>
      </c>
    </row>
    <row r="5361" spans="1:4" x14ac:dyDescent="0.25">
      <c r="A5361" s="139" t="s">
        <v>12584</v>
      </c>
      <c r="B5361" s="139" t="s">
        <v>122</v>
      </c>
      <c r="C5361" s="139" t="s">
        <v>2895</v>
      </c>
      <c r="D5361" s="139" t="s">
        <v>12585</v>
      </c>
    </row>
    <row r="5362" spans="1:4" x14ac:dyDescent="0.25">
      <c r="A5362" s="139" t="s">
        <v>12586</v>
      </c>
      <c r="B5362" s="139" t="s">
        <v>1154</v>
      </c>
      <c r="C5362" s="139" t="s">
        <v>65</v>
      </c>
      <c r="D5362" s="139" t="s">
        <v>12587</v>
      </c>
    </row>
    <row r="5363" spans="1:4" x14ac:dyDescent="0.25">
      <c r="A5363" s="139" t="s">
        <v>12588</v>
      </c>
      <c r="B5363" s="139" t="s">
        <v>1154</v>
      </c>
      <c r="C5363" s="139" t="s">
        <v>65</v>
      </c>
      <c r="D5363" s="139" t="s">
        <v>12589</v>
      </c>
    </row>
    <row r="5364" spans="1:4" x14ac:dyDescent="0.25">
      <c r="A5364" s="139" t="s">
        <v>12590</v>
      </c>
      <c r="B5364" s="139" t="s">
        <v>12591</v>
      </c>
      <c r="C5364" s="139" t="s">
        <v>123</v>
      </c>
      <c r="D5364" s="139" t="s">
        <v>12592</v>
      </c>
    </row>
    <row r="5365" spans="1:4" x14ac:dyDescent="0.25">
      <c r="A5365" s="139" t="s">
        <v>12593</v>
      </c>
      <c r="B5365" s="139" t="s">
        <v>12591</v>
      </c>
      <c r="C5365" s="139" t="s">
        <v>123</v>
      </c>
      <c r="D5365" s="139" t="s">
        <v>12594</v>
      </c>
    </row>
    <row r="5366" spans="1:4" x14ac:dyDescent="0.25">
      <c r="A5366" s="139" t="s">
        <v>12595</v>
      </c>
      <c r="B5366" s="139" t="s">
        <v>989</v>
      </c>
      <c r="C5366" s="139" t="s">
        <v>2895</v>
      </c>
      <c r="D5366" s="139" t="s">
        <v>12596</v>
      </c>
    </row>
    <row r="5367" spans="1:4" x14ac:dyDescent="0.25">
      <c r="A5367" s="139" t="s">
        <v>12597</v>
      </c>
      <c r="B5367" s="139" t="s">
        <v>989</v>
      </c>
      <c r="C5367" s="139" t="s">
        <v>2895</v>
      </c>
      <c r="D5367" s="139" t="s">
        <v>12598</v>
      </c>
    </row>
    <row r="5368" spans="1:4" x14ac:dyDescent="0.25">
      <c r="A5368" s="139" t="s">
        <v>12599</v>
      </c>
      <c r="B5368" s="139" t="s">
        <v>12600</v>
      </c>
      <c r="C5368" s="139" t="s">
        <v>112</v>
      </c>
      <c r="D5368" s="139" t="s">
        <v>12601</v>
      </c>
    </row>
    <row r="5369" spans="1:4" x14ac:dyDescent="0.25">
      <c r="A5369" s="139" t="s">
        <v>12602</v>
      </c>
      <c r="B5369" s="139" t="s">
        <v>12600</v>
      </c>
      <c r="C5369" s="139" t="s">
        <v>112</v>
      </c>
      <c r="D5369" s="139" t="s">
        <v>12603</v>
      </c>
    </row>
    <row r="5370" spans="1:4" x14ac:dyDescent="0.25">
      <c r="A5370" s="139" t="s">
        <v>12604</v>
      </c>
      <c r="B5370" s="139" t="s">
        <v>12605</v>
      </c>
      <c r="C5370" s="139" t="s">
        <v>112</v>
      </c>
      <c r="D5370" s="139" t="s">
        <v>12606</v>
      </c>
    </row>
    <row r="5371" spans="1:4" x14ac:dyDescent="0.25">
      <c r="A5371" s="139" t="s">
        <v>12607</v>
      </c>
      <c r="B5371" s="139" t="s">
        <v>12605</v>
      </c>
      <c r="C5371" s="139" t="s">
        <v>112</v>
      </c>
      <c r="D5371" s="139" t="s">
        <v>12608</v>
      </c>
    </row>
    <row r="5372" spans="1:4" x14ac:dyDescent="0.25">
      <c r="A5372" s="139" t="s">
        <v>12609</v>
      </c>
      <c r="B5372" s="139" t="s">
        <v>12610</v>
      </c>
      <c r="C5372" s="139" t="s">
        <v>112</v>
      </c>
      <c r="D5372" s="139" t="s">
        <v>12611</v>
      </c>
    </row>
    <row r="5373" spans="1:4" x14ac:dyDescent="0.25">
      <c r="A5373" s="139" t="s">
        <v>12612</v>
      </c>
      <c r="B5373" s="139" t="s">
        <v>12610</v>
      </c>
      <c r="C5373" s="139" t="s">
        <v>112</v>
      </c>
      <c r="D5373" s="139" t="s">
        <v>12613</v>
      </c>
    </row>
    <row r="5374" spans="1:4" x14ac:dyDescent="0.25">
      <c r="A5374" s="139" t="s">
        <v>12614</v>
      </c>
      <c r="B5374" s="139" t="s">
        <v>12615</v>
      </c>
      <c r="C5374" s="139" t="s">
        <v>112</v>
      </c>
      <c r="D5374" s="139" t="s">
        <v>12616</v>
      </c>
    </row>
    <row r="5375" spans="1:4" x14ac:dyDescent="0.25">
      <c r="A5375" s="139" t="s">
        <v>12617</v>
      </c>
      <c r="B5375" s="139" t="s">
        <v>12615</v>
      </c>
      <c r="C5375" s="139" t="s">
        <v>112</v>
      </c>
      <c r="D5375" s="139" t="s">
        <v>12618</v>
      </c>
    </row>
    <row r="5376" spans="1:4" x14ac:dyDescent="0.25">
      <c r="A5376" s="139" t="s">
        <v>12619</v>
      </c>
      <c r="B5376" s="139" t="s">
        <v>12620</v>
      </c>
      <c r="C5376" s="139" t="s">
        <v>112</v>
      </c>
      <c r="D5376" s="139" t="s">
        <v>12621</v>
      </c>
    </row>
    <row r="5377" spans="1:4" x14ac:dyDescent="0.25">
      <c r="A5377" s="139" t="s">
        <v>12622</v>
      </c>
      <c r="B5377" s="139" t="s">
        <v>12620</v>
      </c>
      <c r="C5377" s="139" t="s">
        <v>112</v>
      </c>
      <c r="D5377" s="139" t="s">
        <v>12623</v>
      </c>
    </row>
    <row r="5378" spans="1:4" x14ac:dyDescent="0.25">
      <c r="A5378" s="139" t="s">
        <v>12624</v>
      </c>
      <c r="B5378" s="139" t="s">
        <v>2345</v>
      </c>
      <c r="C5378" s="139" t="s">
        <v>112</v>
      </c>
      <c r="D5378" s="139" t="s">
        <v>12625</v>
      </c>
    </row>
    <row r="5379" spans="1:4" x14ac:dyDescent="0.25">
      <c r="A5379" s="139" t="s">
        <v>12626</v>
      </c>
      <c r="B5379" s="139" t="s">
        <v>2345</v>
      </c>
      <c r="C5379" s="139" t="s">
        <v>112</v>
      </c>
      <c r="D5379" s="139" t="s">
        <v>12627</v>
      </c>
    </row>
    <row r="5380" spans="1:4" x14ac:dyDescent="0.25">
      <c r="A5380" s="139" t="s">
        <v>12628</v>
      </c>
      <c r="B5380" s="139" t="s">
        <v>2377</v>
      </c>
      <c r="C5380" s="139" t="s">
        <v>112</v>
      </c>
      <c r="D5380" s="139" t="s">
        <v>12629</v>
      </c>
    </row>
    <row r="5381" spans="1:4" x14ac:dyDescent="0.25">
      <c r="A5381" s="139" t="s">
        <v>12630</v>
      </c>
      <c r="B5381" s="139" t="s">
        <v>2377</v>
      </c>
      <c r="C5381" s="139" t="s">
        <v>112</v>
      </c>
      <c r="D5381" s="139" t="s">
        <v>12631</v>
      </c>
    </row>
    <row r="5382" spans="1:4" x14ac:dyDescent="0.25">
      <c r="A5382" s="139" t="s">
        <v>12632</v>
      </c>
      <c r="B5382" s="139" t="s">
        <v>12633</v>
      </c>
      <c r="C5382" s="139" t="s">
        <v>112</v>
      </c>
      <c r="D5382" s="139" t="s">
        <v>12634</v>
      </c>
    </row>
    <row r="5383" spans="1:4" x14ac:dyDescent="0.25">
      <c r="A5383" s="139" t="s">
        <v>12635</v>
      </c>
      <c r="B5383" s="139" t="s">
        <v>12633</v>
      </c>
      <c r="C5383" s="139" t="s">
        <v>112</v>
      </c>
      <c r="D5383" s="139" t="s">
        <v>12636</v>
      </c>
    </row>
    <row r="5384" spans="1:4" x14ac:dyDescent="0.25">
      <c r="A5384" s="139" t="s">
        <v>12637</v>
      </c>
      <c r="B5384" s="139" t="s">
        <v>9273</v>
      </c>
      <c r="C5384" s="139" t="s">
        <v>112</v>
      </c>
      <c r="D5384" s="139" t="s">
        <v>12638</v>
      </c>
    </row>
    <row r="5385" spans="1:4" x14ac:dyDescent="0.25">
      <c r="A5385" s="139" t="s">
        <v>12639</v>
      </c>
      <c r="B5385" s="139" t="s">
        <v>9273</v>
      </c>
      <c r="C5385" s="139" t="s">
        <v>112</v>
      </c>
      <c r="D5385" s="139" t="s">
        <v>12640</v>
      </c>
    </row>
    <row r="5386" spans="1:4" x14ac:dyDescent="0.25">
      <c r="A5386" s="139" t="s">
        <v>12641</v>
      </c>
      <c r="B5386" s="139" t="s">
        <v>12642</v>
      </c>
      <c r="C5386" s="139" t="s">
        <v>112</v>
      </c>
      <c r="D5386" s="139" t="s">
        <v>12643</v>
      </c>
    </row>
    <row r="5387" spans="1:4" x14ac:dyDescent="0.25">
      <c r="A5387" s="139" t="s">
        <v>12644</v>
      </c>
      <c r="B5387" s="139" t="s">
        <v>12642</v>
      </c>
      <c r="C5387" s="139" t="s">
        <v>112</v>
      </c>
      <c r="D5387" s="139" t="s">
        <v>12645</v>
      </c>
    </row>
    <row r="5388" spans="1:4" x14ac:dyDescent="0.25">
      <c r="A5388" s="139" t="s">
        <v>12646</v>
      </c>
      <c r="B5388" s="139" t="s">
        <v>12647</v>
      </c>
      <c r="C5388" s="139" t="s">
        <v>112</v>
      </c>
      <c r="D5388" s="139" t="s">
        <v>12648</v>
      </c>
    </row>
    <row r="5389" spans="1:4" x14ac:dyDescent="0.25">
      <c r="A5389" s="139" t="s">
        <v>12649</v>
      </c>
      <c r="B5389" s="139" t="s">
        <v>12647</v>
      </c>
      <c r="C5389" s="139" t="s">
        <v>112</v>
      </c>
      <c r="D5389" s="139" t="s">
        <v>12650</v>
      </c>
    </row>
    <row r="5390" spans="1:4" x14ac:dyDescent="0.25">
      <c r="A5390" s="139" t="s">
        <v>12651</v>
      </c>
      <c r="B5390" s="139" t="s">
        <v>12652</v>
      </c>
      <c r="C5390" s="139" t="s">
        <v>112</v>
      </c>
      <c r="D5390" s="139" t="s">
        <v>12653</v>
      </c>
    </row>
    <row r="5391" spans="1:4" x14ac:dyDescent="0.25">
      <c r="A5391" s="139" t="s">
        <v>12654</v>
      </c>
      <c r="B5391" s="139" t="s">
        <v>12652</v>
      </c>
      <c r="C5391" s="139" t="s">
        <v>112</v>
      </c>
      <c r="D5391" s="139" t="s">
        <v>12655</v>
      </c>
    </row>
    <row r="5392" spans="1:4" x14ac:dyDescent="0.25">
      <c r="A5392" s="139" t="s">
        <v>12656</v>
      </c>
      <c r="B5392" s="139" t="s">
        <v>12657</v>
      </c>
      <c r="C5392" s="139" t="s">
        <v>112</v>
      </c>
      <c r="D5392" s="139" t="s">
        <v>12658</v>
      </c>
    </row>
    <row r="5393" spans="1:4" x14ac:dyDescent="0.25">
      <c r="A5393" s="139" t="s">
        <v>12659</v>
      </c>
      <c r="B5393" s="139" t="s">
        <v>12657</v>
      </c>
      <c r="C5393" s="139" t="s">
        <v>112</v>
      </c>
      <c r="D5393" s="139" t="s">
        <v>12660</v>
      </c>
    </row>
    <row r="5394" spans="1:4" x14ac:dyDescent="0.25">
      <c r="A5394" s="139" t="s">
        <v>12661</v>
      </c>
      <c r="B5394" s="139" t="s">
        <v>2355</v>
      </c>
      <c r="C5394" s="139" t="s">
        <v>112</v>
      </c>
      <c r="D5394" s="139" t="s">
        <v>12662</v>
      </c>
    </row>
    <row r="5395" spans="1:4" x14ac:dyDescent="0.25">
      <c r="A5395" s="139" t="s">
        <v>12663</v>
      </c>
      <c r="B5395" s="139" t="s">
        <v>2355</v>
      </c>
      <c r="C5395" s="139" t="s">
        <v>112</v>
      </c>
      <c r="D5395" s="139" t="s">
        <v>12664</v>
      </c>
    </row>
    <row r="5396" spans="1:4" x14ac:dyDescent="0.25">
      <c r="A5396" s="139" t="s">
        <v>12665</v>
      </c>
      <c r="B5396" s="139" t="s">
        <v>12666</v>
      </c>
      <c r="C5396" s="139" t="s">
        <v>112</v>
      </c>
      <c r="D5396" s="139" t="s">
        <v>12667</v>
      </c>
    </row>
    <row r="5397" spans="1:4" x14ac:dyDescent="0.25">
      <c r="A5397" s="139" t="s">
        <v>12668</v>
      </c>
      <c r="B5397" s="139" t="s">
        <v>12666</v>
      </c>
      <c r="C5397" s="139" t="s">
        <v>112</v>
      </c>
      <c r="D5397" s="139" t="s">
        <v>12669</v>
      </c>
    </row>
    <row r="5398" spans="1:4" x14ac:dyDescent="0.25">
      <c r="A5398" s="139" t="s">
        <v>12670</v>
      </c>
      <c r="B5398" s="139" t="s">
        <v>4150</v>
      </c>
      <c r="C5398" s="139" t="s">
        <v>112</v>
      </c>
      <c r="D5398" s="139" t="s">
        <v>12671</v>
      </c>
    </row>
    <row r="5399" spans="1:4" x14ac:dyDescent="0.25">
      <c r="A5399" s="139" t="s">
        <v>12672</v>
      </c>
      <c r="B5399" s="139" t="s">
        <v>4150</v>
      </c>
      <c r="C5399" s="139" t="s">
        <v>112</v>
      </c>
      <c r="D5399" s="139" t="s">
        <v>12673</v>
      </c>
    </row>
    <row r="5400" spans="1:4" x14ac:dyDescent="0.25">
      <c r="A5400" s="139" t="s">
        <v>12674</v>
      </c>
      <c r="B5400" s="139" t="s">
        <v>4170</v>
      </c>
      <c r="C5400" s="139" t="s">
        <v>112</v>
      </c>
      <c r="D5400" s="139" t="s">
        <v>12675</v>
      </c>
    </row>
    <row r="5401" spans="1:4" x14ac:dyDescent="0.25">
      <c r="A5401" s="139" t="s">
        <v>12676</v>
      </c>
      <c r="B5401" s="139" t="s">
        <v>4170</v>
      </c>
      <c r="C5401" s="139" t="s">
        <v>112</v>
      </c>
      <c r="D5401" s="139" t="s">
        <v>12677</v>
      </c>
    </row>
    <row r="5402" spans="1:4" x14ac:dyDescent="0.25">
      <c r="A5402" s="139" t="s">
        <v>12678</v>
      </c>
      <c r="B5402" s="139" t="s">
        <v>4179</v>
      </c>
      <c r="C5402" s="139" t="s">
        <v>112</v>
      </c>
      <c r="D5402" s="139" t="s">
        <v>12679</v>
      </c>
    </row>
    <row r="5403" spans="1:4" x14ac:dyDescent="0.25">
      <c r="A5403" s="139" t="s">
        <v>12680</v>
      </c>
      <c r="B5403" s="139" t="s">
        <v>4179</v>
      </c>
      <c r="C5403" s="139" t="s">
        <v>112</v>
      </c>
      <c r="D5403" s="139" t="s">
        <v>12681</v>
      </c>
    </row>
    <row r="5404" spans="1:4" x14ac:dyDescent="0.25">
      <c r="A5404" s="139" t="s">
        <v>12682</v>
      </c>
      <c r="B5404" s="139" t="s">
        <v>4182</v>
      </c>
      <c r="C5404" s="139" t="s">
        <v>112</v>
      </c>
      <c r="D5404" s="139" t="s">
        <v>12683</v>
      </c>
    </row>
    <row r="5405" spans="1:4" x14ac:dyDescent="0.25">
      <c r="A5405" s="139" t="s">
        <v>12684</v>
      </c>
      <c r="B5405" s="139" t="s">
        <v>4182</v>
      </c>
      <c r="C5405" s="139" t="s">
        <v>112</v>
      </c>
      <c r="D5405" s="139" t="s">
        <v>12685</v>
      </c>
    </row>
    <row r="5406" spans="1:4" x14ac:dyDescent="0.25">
      <c r="A5406" s="139" t="s">
        <v>12686</v>
      </c>
      <c r="B5406" s="139" t="s">
        <v>4185</v>
      </c>
      <c r="C5406" s="139" t="s">
        <v>112</v>
      </c>
      <c r="D5406" s="139" t="s">
        <v>12687</v>
      </c>
    </row>
    <row r="5407" spans="1:4" x14ac:dyDescent="0.25">
      <c r="A5407" s="139" t="s">
        <v>12688</v>
      </c>
      <c r="B5407" s="139" t="s">
        <v>4185</v>
      </c>
      <c r="C5407" s="139" t="s">
        <v>112</v>
      </c>
      <c r="D5407" s="139" t="s">
        <v>12689</v>
      </c>
    </row>
    <row r="5408" spans="1:4" x14ac:dyDescent="0.25">
      <c r="A5408" s="139" t="s">
        <v>12690</v>
      </c>
      <c r="B5408" s="139" t="s">
        <v>1833</v>
      </c>
      <c r="C5408" s="139" t="s">
        <v>112</v>
      </c>
      <c r="D5408" s="139" t="s">
        <v>12691</v>
      </c>
    </row>
    <row r="5409" spans="1:4" x14ac:dyDescent="0.25">
      <c r="A5409" s="139" t="s">
        <v>12692</v>
      </c>
      <c r="B5409" s="139" t="s">
        <v>1833</v>
      </c>
      <c r="C5409" s="139" t="s">
        <v>112</v>
      </c>
      <c r="D5409" s="139" t="s">
        <v>12693</v>
      </c>
    </row>
    <row r="5410" spans="1:4" x14ac:dyDescent="0.25">
      <c r="A5410" s="139" t="s">
        <v>12694</v>
      </c>
      <c r="B5410" s="139" t="s">
        <v>4190</v>
      </c>
      <c r="C5410" s="139" t="s">
        <v>112</v>
      </c>
      <c r="D5410" s="139" t="s">
        <v>12695</v>
      </c>
    </row>
    <row r="5411" spans="1:4" x14ac:dyDescent="0.25">
      <c r="A5411" s="139" t="s">
        <v>12696</v>
      </c>
      <c r="B5411" s="139" t="s">
        <v>4190</v>
      </c>
      <c r="C5411" s="139" t="s">
        <v>112</v>
      </c>
      <c r="D5411" s="139" t="s">
        <v>12697</v>
      </c>
    </row>
    <row r="5412" spans="1:4" x14ac:dyDescent="0.25">
      <c r="A5412" s="139" t="s">
        <v>12698</v>
      </c>
      <c r="B5412" s="139" t="s">
        <v>1039</v>
      </c>
      <c r="C5412" s="139" t="s">
        <v>33</v>
      </c>
      <c r="D5412" s="139" t="s">
        <v>12699</v>
      </c>
    </row>
    <row r="5413" spans="1:4" x14ac:dyDescent="0.25">
      <c r="A5413" s="139" t="s">
        <v>12700</v>
      </c>
      <c r="B5413" s="139" t="s">
        <v>1039</v>
      </c>
      <c r="C5413" s="139" t="s">
        <v>33</v>
      </c>
      <c r="D5413" s="139" t="s">
        <v>12701</v>
      </c>
    </row>
    <row r="5414" spans="1:4" x14ac:dyDescent="0.25">
      <c r="A5414" s="139" t="s">
        <v>12702</v>
      </c>
      <c r="B5414" s="139" t="s">
        <v>675</v>
      </c>
      <c r="C5414" s="139" t="s">
        <v>658</v>
      </c>
      <c r="D5414" s="139" t="s">
        <v>12703</v>
      </c>
    </row>
    <row r="5415" spans="1:4" x14ac:dyDescent="0.25">
      <c r="A5415" s="139" t="s">
        <v>12704</v>
      </c>
      <c r="B5415" s="139" t="s">
        <v>675</v>
      </c>
      <c r="C5415" s="139" t="s">
        <v>658</v>
      </c>
      <c r="D5415" s="139" t="s">
        <v>12705</v>
      </c>
    </row>
    <row r="5416" spans="1:4" x14ac:dyDescent="0.25">
      <c r="A5416" s="139" t="s">
        <v>12706</v>
      </c>
      <c r="B5416" s="139" t="s">
        <v>4227</v>
      </c>
      <c r="C5416" s="139" t="s">
        <v>658</v>
      </c>
      <c r="D5416" s="139" t="s">
        <v>12707</v>
      </c>
    </row>
    <row r="5417" spans="1:4" x14ac:dyDescent="0.25">
      <c r="A5417" s="139" t="s">
        <v>12708</v>
      </c>
      <c r="B5417" s="139" t="s">
        <v>4227</v>
      </c>
      <c r="C5417" s="139" t="s">
        <v>658</v>
      </c>
      <c r="D5417" s="139" t="s">
        <v>12709</v>
      </c>
    </row>
    <row r="5418" spans="1:4" x14ac:dyDescent="0.25">
      <c r="A5418" s="139" t="s">
        <v>12710</v>
      </c>
      <c r="B5418" s="139" t="s">
        <v>1469</v>
      </c>
      <c r="C5418" s="139" t="s">
        <v>65</v>
      </c>
      <c r="D5418" s="139" t="s">
        <v>12711</v>
      </c>
    </row>
    <row r="5419" spans="1:4" x14ac:dyDescent="0.25">
      <c r="A5419" s="139" t="s">
        <v>12712</v>
      </c>
      <c r="B5419" s="139" t="s">
        <v>1469</v>
      </c>
      <c r="C5419" s="139" t="s">
        <v>65</v>
      </c>
      <c r="D5419" s="139" t="s">
        <v>12713</v>
      </c>
    </row>
    <row r="5420" spans="1:4" x14ac:dyDescent="0.25">
      <c r="A5420" s="139" t="s">
        <v>12714</v>
      </c>
      <c r="B5420" s="139" t="s">
        <v>354</v>
      </c>
      <c r="C5420" s="139" t="s">
        <v>1683</v>
      </c>
      <c r="D5420" s="139" t="s">
        <v>12715</v>
      </c>
    </row>
    <row r="5421" spans="1:4" x14ac:dyDescent="0.25">
      <c r="A5421" s="139" t="s">
        <v>12716</v>
      </c>
      <c r="B5421" s="139" t="s">
        <v>354</v>
      </c>
      <c r="C5421" s="139" t="s">
        <v>1683</v>
      </c>
      <c r="D5421" s="139" t="s">
        <v>12717</v>
      </c>
    </row>
    <row r="5422" spans="1:4" x14ac:dyDescent="0.25">
      <c r="A5422" s="139" t="s">
        <v>12718</v>
      </c>
      <c r="B5422" s="139" t="s">
        <v>142</v>
      </c>
      <c r="C5422" s="139" t="s">
        <v>44</v>
      </c>
      <c r="D5422" s="139" t="s">
        <v>12719</v>
      </c>
    </row>
    <row r="5423" spans="1:4" x14ac:dyDescent="0.25">
      <c r="A5423" s="139" t="s">
        <v>12720</v>
      </c>
      <c r="B5423" s="139" t="s">
        <v>142</v>
      </c>
      <c r="C5423" s="139" t="s">
        <v>44</v>
      </c>
      <c r="D5423" s="139" t="s">
        <v>12721</v>
      </c>
    </row>
    <row r="5424" spans="1:4" x14ac:dyDescent="0.25">
      <c r="A5424" s="139" t="s">
        <v>12722</v>
      </c>
      <c r="B5424" s="139" t="s">
        <v>12723</v>
      </c>
      <c r="C5424" s="139" t="s">
        <v>44</v>
      </c>
      <c r="D5424" s="139" t="s">
        <v>12724</v>
      </c>
    </row>
    <row r="5425" spans="1:4" x14ac:dyDescent="0.25">
      <c r="A5425" s="139" t="s">
        <v>12725</v>
      </c>
      <c r="B5425" s="139" t="s">
        <v>12723</v>
      </c>
      <c r="C5425" s="139" t="s">
        <v>44</v>
      </c>
      <c r="D5425" s="139" t="s">
        <v>12726</v>
      </c>
    </row>
    <row r="5426" spans="1:4" x14ac:dyDescent="0.25">
      <c r="A5426" s="139" t="s">
        <v>12727</v>
      </c>
      <c r="B5426" s="139" t="s">
        <v>12006</v>
      </c>
      <c r="C5426" s="139" t="s">
        <v>65</v>
      </c>
      <c r="D5426" s="139" t="s">
        <v>12728</v>
      </c>
    </row>
    <row r="5427" spans="1:4" x14ac:dyDescent="0.25">
      <c r="A5427" s="139" t="s">
        <v>12729</v>
      </c>
      <c r="B5427" s="139" t="s">
        <v>12006</v>
      </c>
      <c r="C5427" s="139" t="s">
        <v>65</v>
      </c>
      <c r="D5427" s="139" t="s">
        <v>12730</v>
      </c>
    </row>
    <row r="5428" spans="1:4" x14ac:dyDescent="0.25">
      <c r="A5428" s="139" t="s">
        <v>12731</v>
      </c>
      <c r="B5428" s="139" t="s">
        <v>310</v>
      </c>
      <c r="C5428" s="139" t="s">
        <v>658</v>
      </c>
      <c r="D5428" s="139" t="s">
        <v>12732</v>
      </c>
    </row>
    <row r="5429" spans="1:4" x14ac:dyDescent="0.25">
      <c r="A5429" s="139" t="s">
        <v>12733</v>
      </c>
      <c r="B5429" s="139" t="s">
        <v>310</v>
      </c>
      <c r="C5429" s="139" t="s">
        <v>658</v>
      </c>
      <c r="D5429" s="139" t="s">
        <v>12734</v>
      </c>
    </row>
    <row r="5430" spans="1:4" x14ac:dyDescent="0.25">
      <c r="A5430" s="139" t="s">
        <v>12735</v>
      </c>
      <c r="B5430" s="139" t="s">
        <v>4156</v>
      </c>
      <c r="C5430" s="139" t="s">
        <v>127</v>
      </c>
      <c r="D5430" s="139" t="s">
        <v>12736</v>
      </c>
    </row>
    <row r="5431" spans="1:4" x14ac:dyDescent="0.25">
      <c r="A5431" s="139" t="s">
        <v>12737</v>
      </c>
      <c r="B5431" s="139" t="s">
        <v>4156</v>
      </c>
      <c r="C5431" s="139" t="s">
        <v>127</v>
      </c>
      <c r="D5431" s="139" t="s">
        <v>12738</v>
      </c>
    </row>
    <row r="5432" spans="1:4" x14ac:dyDescent="0.25">
      <c r="A5432" s="139" t="s">
        <v>12739</v>
      </c>
      <c r="B5432" s="139" t="s">
        <v>12324</v>
      </c>
      <c r="C5432" s="139" t="s">
        <v>33</v>
      </c>
      <c r="D5432" s="139" t="s">
        <v>12740</v>
      </c>
    </row>
    <row r="5433" spans="1:4" x14ac:dyDescent="0.25">
      <c r="A5433" s="139" t="s">
        <v>12741</v>
      </c>
      <c r="B5433" s="139" t="s">
        <v>12324</v>
      </c>
      <c r="C5433" s="139" t="s">
        <v>33</v>
      </c>
      <c r="D5433" s="139" t="s">
        <v>12742</v>
      </c>
    </row>
    <row r="5434" spans="1:4" x14ac:dyDescent="0.25">
      <c r="A5434" s="139" t="s">
        <v>12743</v>
      </c>
      <c r="B5434" s="139" t="s">
        <v>8855</v>
      </c>
      <c r="C5434" s="139" t="s">
        <v>33</v>
      </c>
      <c r="D5434" s="139" t="s">
        <v>12744</v>
      </c>
    </row>
    <row r="5435" spans="1:4" x14ac:dyDescent="0.25">
      <c r="A5435" s="139" t="s">
        <v>12745</v>
      </c>
      <c r="B5435" s="139" t="s">
        <v>8855</v>
      </c>
      <c r="C5435" s="139" t="s">
        <v>33</v>
      </c>
      <c r="D5435" s="139" t="s">
        <v>12746</v>
      </c>
    </row>
    <row r="5436" spans="1:4" x14ac:dyDescent="0.25">
      <c r="A5436" s="139" t="s">
        <v>12747</v>
      </c>
      <c r="B5436" s="139" t="s">
        <v>11976</v>
      </c>
      <c r="C5436" s="139" t="s">
        <v>65</v>
      </c>
      <c r="D5436" s="139" t="s">
        <v>12748</v>
      </c>
    </row>
    <row r="5437" spans="1:4" x14ac:dyDescent="0.25">
      <c r="A5437" s="139" t="s">
        <v>12749</v>
      </c>
      <c r="B5437" s="139" t="s">
        <v>11976</v>
      </c>
      <c r="C5437" s="139" t="s">
        <v>65</v>
      </c>
      <c r="D5437" s="139" t="s">
        <v>12750</v>
      </c>
    </row>
    <row r="5438" spans="1:4" x14ac:dyDescent="0.25">
      <c r="A5438" s="139" t="s">
        <v>12751</v>
      </c>
      <c r="B5438" s="139" t="s">
        <v>6328</v>
      </c>
      <c r="C5438" s="139" t="s">
        <v>65</v>
      </c>
      <c r="D5438" s="139" t="s">
        <v>12752</v>
      </c>
    </row>
    <row r="5439" spans="1:4" x14ac:dyDescent="0.25">
      <c r="A5439" s="139" t="s">
        <v>12753</v>
      </c>
      <c r="B5439" s="139" t="s">
        <v>6328</v>
      </c>
      <c r="C5439" s="139" t="s">
        <v>65</v>
      </c>
      <c r="D5439" s="139" t="s">
        <v>12754</v>
      </c>
    </row>
    <row r="5440" spans="1:4" x14ac:dyDescent="0.25">
      <c r="A5440" s="139" t="s">
        <v>12755</v>
      </c>
      <c r="B5440" s="139" t="s">
        <v>12756</v>
      </c>
      <c r="C5440" s="139" t="s">
        <v>65</v>
      </c>
      <c r="D5440" s="139" t="s">
        <v>12757</v>
      </c>
    </row>
    <row r="5441" spans="1:4" x14ac:dyDescent="0.25">
      <c r="A5441" s="139" t="s">
        <v>12758</v>
      </c>
      <c r="B5441" s="139" t="s">
        <v>12756</v>
      </c>
      <c r="C5441" s="139" t="s">
        <v>65</v>
      </c>
      <c r="D5441" s="139" t="s">
        <v>12759</v>
      </c>
    </row>
    <row r="5442" spans="1:4" x14ac:dyDescent="0.25">
      <c r="A5442" s="139" t="s">
        <v>12760</v>
      </c>
      <c r="B5442" s="139" t="s">
        <v>2316</v>
      </c>
      <c r="C5442" s="139" t="s">
        <v>65</v>
      </c>
      <c r="D5442" s="139" t="s">
        <v>12761</v>
      </c>
    </row>
    <row r="5443" spans="1:4" x14ac:dyDescent="0.25">
      <c r="A5443" s="139" t="s">
        <v>12762</v>
      </c>
      <c r="B5443" s="139" t="s">
        <v>2316</v>
      </c>
      <c r="C5443" s="139" t="s">
        <v>65</v>
      </c>
      <c r="D5443" s="139" t="s">
        <v>12763</v>
      </c>
    </row>
    <row r="5444" spans="1:4" x14ac:dyDescent="0.25">
      <c r="A5444" s="139" t="s">
        <v>12764</v>
      </c>
      <c r="B5444" s="139" t="s">
        <v>137</v>
      </c>
      <c r="C5444" s="139" t="s">
        <v>65</v>
      </c>
      <c r="D5444" s="139" t="s">
        <v>12765</v>
      </c>
    </row>
    <row r="5445" spans="1:4" x14ac:dyDescent="0.25">
      <c r="A5445" s="139" t="s">
        <v>12766</v>
      </c>
      <c r="B5445" s="139" t="s">
        <v>137</v>
      </c>
      <c r="C5445" s="139" t="s">
        <v>65</v>
      </c>
      <c r="D5445" s="139" t="s">
        <v>12767</v>
      </c>
    </row>
    <row r="5446" spans="1:4" x14ac:dyDescent="0.25">
      <c r="A5446" s="139" t="s">
        <v>12768</v>
      </c>
      <c r="B5446" s="139" t="s">
        <v>4204</v>
      </c>
      <c r="C5446" s="139" t="s">
        <v>65</v>
      </c>
      <c r="D5446" s="139" t="s">
        <v>12769</v>
      </c>
    </row>
    <row r="5447" spans="1:4" x14ac:dyDescent="0.25">
      <c r="A5447" s="139" t="s">
        <v>12770</v>
      </c>
      <c r="B5447" s="139" t="s">
        <v>4204</v>
      </c>
      <c r="C5447" s="139" t="s">
        <v>65</v>
      </c>
      <c r="D5447" s="139" t="s">
        <v>12771</v>
      </c>
    </row>
    <row r="5448" spans="1:4" x14ac:dyDescent="0.25">
      <c r="A5448" s="139" t="s">
        <v>12772</v>
      </c>
      <c r="B5448" s="139" t="s">
        <v>12773</v>
      </c>
      <c r="C5448" s="139" t="s">
        <v>65</v>
      </c>
      <c r="D5448" s="139" t="s">
        <v>12774</v>
      </c>
    </row>
    <row r="5449" spans="1:4" x14ac:dyDescent="0.25">
      <c r="A5449" s="139" t="s">
        <v>12775</v>
      </c>
      <c r="B5449" s="139" t="s">
        <v>12773</v>
      </c>
      <c r="C5449" s="139" t="s">
        <v>65</v>
      </c>
      <c r="D5449" s="139" t="s">
        <v>12776</v>
      </c>
    </row>
    <row r="5450" spans="1:4" x14ac:dyDescent="0.25">
      <c r="A5450" s="139" t="s">
        <v>12777</v>
      </c>
      <c r="B5450" s="139" t="s">
        <v>12778</v>
      </c>
      <c r="C5450" s="139" t="s">
        <v>2895</v>
      </c>
      <c r="D5450" s="139" t="s">
        <v>12779</v>
      </c>
    </row>
    <row r="5451" spans="1:4" x14ac:dyDescent="0.25">
      <c r="A5451" s="139" t="s">
        <v>12780</v>
      </c>
      <c r="B5451" s="139" t="s">
        <v>12778</v>
      </c>
      <c r="C5451" s="139" t="s">
        <v>2895</v>
      </c>
      <c r="D5451" s="139" t="s">
        <v>12781</v>
      </c>
    </row>
    <row r="5452" spans="1:4" x14ac:dyDescent="0.25">
      <c r="A5452" s="139" t="s">
        <v>12782</v>
      </c>
      <c r="B5452" s="139" t="s">
        <v>12783</v>
      </c>
      <c r="C5452" s="139" t="s">
        <v>5475</v>
      </c>
      <c r="D5452" s="139" t="s">
        <v>12784</v>
      </c>
    </row>
    <row r="5453" spans="1:4" x14ac:dyDescent="0.25">
      <c r="A5453" s="139" t="s">
        <v>12785</v>
      </c>
      <c r="B5453" s="139" t="s">
        <v>12783</v>
      </c>
      <c r="C5453" s="139" t="s">
        <v>5475</v>
      </c>
      <c r="D5453" s="139" t="s">
        <v>12786</v>
      </c>
    </row>
    <row r="5454" spans="1:4" x14ac:dyDescent="0.25">
      <c r="A5454" s="139" t="s">
        <v>12787</v>
      </c>
      <c r="B5454" s="139" t="s">
        <v>12788</v>
      </c>
      <c r="C5454" s="139" t="s">
        <v>664</v>
      </c>
      <c r="D5454" s="139" t="s">
        <v>12789</v>
      </c>
    </row>
    <row r="5455" spans="1:4" x14ac:dyDescent="0.25">
      <c r="A5455" s="139" t="s">
        <v>12790</v>
      </c>
      <c r="B5455" s="139" t="s">
        <v>12788</v>
      </c>
      <c r="C5455" s="139" t="s">
        <v>664</v>
      </c>
      <c r="D5455" s="139" t="s">
        <v>12791</v>
      </c>
    </row>
    <row r="5456" spans="1:4" x14ac:dyDescent="0.25">
      <c r="A5456" s="139" t="s">
        <v>12792</v>
      </c>
      <c r="B5456" s="139" t="s">
        <v>12793</v>
      </c>
      <c r="C5456" s="139" t="s">
        <v>112</v>
      </c>
      <c r="D5456" s="139" t="s">
        <v>12794</v>
      </c>
    </row>
    <row r="5457" spans="1:4" x14ac:dyDescent="0.25">
      <c r="A5457" s="139" t="s">
        <v>12795</v>
      </c>
      <c r="B5457" s="139" t="s">
        <v>12793</v>
      </c>
      <c r="C5457" s="139" t="s">
        <v>112</v>
      </c>
      <c r="D5457" s="139" t="s">
        <v>12796</v>
      </c>
    </row>
    <row r="5458" spans="1:4" x14ac:dyDescent="0.25">
      <c r="A5458" s="139" t="s">
        <v>12797</v>
      </c>
      <c r="B5458" s="139" t="s">
        <v>12798</v>
      </c>
      <c r="C5458" s="139" t="s">
        <v>112</v>
      </c>
      <c r="D5458" s="139" t="s">
        <v>12799</v>
      </c>
    </row>
    <row r="5459" spans="1:4" x14ac:dyDescent="0.25">
      <c r="A5459" s="139" t="s">
        <v>12800</v>
      </c>
      <c r="B5459" s="139" t="s">
        <v>12798</v>
      </c>
      <c r="C5459" s="139" t="s">
        <v>112</v>
      </c>
      <c r="D5459" s="139" t="s">
        <v>12801</v>
      </c>
    </row>
    <row r="5460" spans="1:4" x14ac:dyDescent="0.25">
      <c r="A5460" s="139" t="s">
        <v>12802</v>
      </c>
      <c r="B5460" s="139" t="s">
        <v>12803</v>
      </c>
      <c r="C5460" s="139" t="s">
        <v>112</v>
      </c>
      <c r="D5460" s="139" t="s">
        <v>12804</v>
      </c>
    </row>
    <row r="5461" spans="1:4" x14ac:dyDescent="0.25">
      <c r="A5461" s="139" t="s">
        <v>12805</v>
      </c>
      <c r="B5461" s="139" t="s">
        <v>12803</v>
      </c>
      <c r="C5461" s="139" t="s">
        <v>112</v>
      </c>
      <c r="D5461" s="139" t="s">
        <v>12806</v>
      </c>
    </row>
    <row r="5462" spans="1:4" x14ac:dyDescent="0.25">
      <c r="A5462" s="139" t="s">
        <v>12807</v>
      </c>
      <c r="B5462" s="139" t="s">
        <v>8699</v>
      </c>
      <c r="C5462" s="139" t="s">
        <v>112</v>
      </c>
      <c r="D5462" s="139" t="s">
        <v>12808</v>
      </c>
    </row>
    <row r="5463" spans="1:4" x14ac:dyDescent="0.25">
      <c r="A5463" s="139" t="s">
        <v>12809</v>
      </c>
      <c r="B5463" s="139" t="s">
        <v>8699</v>
      </c>
      <c r="C5463" s="139" t="s">
        <v>112</v>
      </c>
      <c r="D5463" s="139" t="s">
        <v>12810</v>
      </c>
    </row>
    <row r="5464" spans="1:4" x14ac:dyDescent="0.25">
      <c r="A5464" s="139" t="s">
        <v>12811</v>
      </c>
      <c r="B5464" s="139" t="s">
        <v>12812</v>
      </c>
      <c r="C5464" s="139" t="s">
        <v>112</v>
      </c>
      <c r="D5464" s="139" t="s">
        <v>12813</v>
      </c>
    </row>
    <row r="5465" spans="1:4" x14ac:dyDescent="0.25">
      <c r="A5465" s="139" t="s">
        <v>12814</v>
      </c>
      <c r="B5465" s="139" t="s">
        <v>12812</v>
      </c>
      <c r="C5465" s="139" t="s">
        <v>112</v>
      </c>
      <c r="D5465" s="139" t="s">
        <v>12815</v>
      </c>
    </row>
    <row r="5466" spans="1:4" x14ac:dyDescent="0.25">
      <c r="A5466" s="139" t="s">
        <v>12816</v>
      </c>
      <c r="B5466" s="139" t="s">
        <v>12817</v>
      </c>
      <c r="C5466" s="139" t="s">
        <v>65</v>
      </c>
      <c r="D5466" s="139" t="s">
        <v>12818</v>
      </c>
    </row>
    <row r="5467" spans="1:4" x14ac:dyDescent="0.25">
      <c r="A5467" s="139" t="s">
        <v>12819</v>
      </c>
      <c r="B5467" s="139" t="s">
        <v>12817</v>
      </c>
      <c r="C5467" s="139" t="s">
        <v>65</v>
      </c>
      <c r="D5467" s="139" t="s">
        <v>12820</v>
      </c>
    </row>
    <row r="5468" spans="1:4" x14ac:dyDescent="0.25">
      <c r="A5468" s="139" t="s">
        <v>12821</v>
      </c>
      <c r="B5468" s="139" t="s">
        <v>12822</v>
      </c>
      <c r="C5468" s="139" t="s">
        <v>65</v>
      </c>
      <c r="D5468" s="139" t="s">
        <v>12823</v>
      </c>
    </row>
    <row r="5469" spans="1:4" x14ac:dyDescent="0.25">
      <c r="A5469" s="139" t="s">
        <v>12824</v>
      </c>
      <c r="B5469" s="139" t="s">
        <v>12822</v>
      </c>
      <c r="C5469" s="139" t="s">
        <v>65</v>
      </c>
      <c r="D5469" s="139" t="s">
        <v>12825</v>
      </c>
    </row>
    <row r="5470" spans="1:4" x14ac:dyDescent="0.25">
      <c r="A5470" s="139" t="s">
        <v>12826</v>
      </c>
      <c r="B5470" s="139" t="s">
        <v>12827</v>
      </c>
      <c r="C5470" s="139" t="s">
        <v>65</v>
      </c>
      <c r="D5470" s="139" t="s">
        <v>12828</v>
      </c>
    </row>
    <row r="5471" spans="1:4" x14ac:dyDescent="0.25">
      <c r="A5471" s="139" t="s">
        <v>12829</v>
      </c>
      <c r="B5471" s="139" t="s">
        <v>12827</v>
      </c>
      <c r="C5471" s="139" t="s">
        <v>65</v>
      </c>
      <c r="D5471" s="139" t="s">
        <v>12830</v>
      </c>
    </row>
    <row r="5472" spans="1:4" x14ac:dyDescent="0.25">
      <c r="A5472" s="139" t="s">
        <v>12831</v>
      </c>
      <c r="B5472" s="139" t="s">
        <v>12832</v>
      </c>
      <c r="C5472" s="139" t="s">
        <v>65</v>
      </c>
      <c r="D5472" s="139" t="s">
        <v>12833</v>
      </c>
    </row>
    <row r="5473" spans="1:4" x14ac:dyDescent="0.25">
      <c r="A5473" s="139" t="s">
        <v>12834</v>
      </c>
      <c r="B5473" s="139" t="s">
        <v>12832</v>
      </c>
      <c r="C5473" s="139" t="s">
        <v>65</v>
      </c>
      <c r="D5473" s="139" t="s">
        <v>12835</v>
      </c>
    </row>
    <row r="5474" spans="1:4" x14ac:dyDescent="0.25">
      <c r="A5474" s="139" t="s">
        <v>12836</v>
      </c>
      <c r="B5474" s="139" t="s">
        <v>12837</v>
      </c>
      <c r="C5474" s="139" t="s">
        <v>65</v>
      </c>
      <c r="D5474" s="139" t="s">
        <v>12838</v>
      </c>
    </row>
    <row r="5475" spans="1:4" x14ac:dyDescent="0.25">
      <c r="A5475" s="139" t="s">
        <v>12839</v>
      </c>
      <c r="B5475" s="139" t="s">
        <v>12837</v>
      </c>
      <c r="C5475" s="139" t="s">
        <v>65</v>
      </c>
      <c r="D5475" s="139" t="s">
        <v>12840</v>
      </c>
    </row>
    <row r="5476" spans="1:4" x14ac:dyDescent="0.25">
      <c r="A5476" s="139" t="s">
        <v>12841</v>
      </c>
      <c r="B5476" s="139" t="s">
        <v>12842</v>
      </c>
      <c r="C5476" s="139" t="s">
        <v>65</v>
      </c>
      <c r="D5476" s="139" t="s">
        <v>12843</v>
      </c>
    </row>
    <row r="5477" spans="1:4" x14ac:dyDescent="0.25">
      <c r="A5477" s="139" t="s">
        <v>12844</v>
      </c>
      <c r="B5477" s="139" t="s">
        <v>12842</v>
      </c>
      <c r="C5477" s="139" t="s">
        <v>65</v>
      </c>
      <c r="D5477" s="139" t="s">
        <v>12845</v>
      </c>
    </row>
    <row r="5478" spans="1:4" x14ac:dyDescent="0.25">
      <c r="A5478" s="139" t="s">
        <v>12846</v>
      </c>
      <c r="B5478" s="139" t="s">
        <v>5792</v>
      </c>
      <c r="C5478" s="139" t="s">
        <v>33</v>
      </c>
      <c r="D5478" s="139" t="s">
        <v>12847</v>
      </c>
    </row>
    <row r="5479" spans="1:4" x14ac:dyDescent="0.25">
      <c r="A5479" s="139" t="s">
        <v>12848</v>
      </c>
      <c r="B5479" s="139" t="s">
        <v>5792</v>
      </c>
      <c r="C5479" s="139" t="s">
        <v>33</v>
      </c>
      <c r="D5479" s="139" t="s">
        <v>12849</v>
      </c>
    </row>
    <row r="5480" spans="1:4" x14ac:dyDescent="0.25">
      <c r="A5480" s="139" t="s">
        <v>12850</v>
      </c>
      <c r="B5480" s="139" t="s">
        <v>12851</v>
      </c>
      <c r="C5480" s="139" t="s">
        <v>33</v>
      </c>
      <c r="D5480" s="139" t="s">
        <v>12852</v>
      </c>
    </row>
    <row r="5481" spans="1:4" x14ac:dyDescent="0.25">
      <c r="A5481" s="139" t="s">
        <v>12853</v>
      </c>
      <c r="B5481" s="139" t="s">
        <v>12851</v>
      </c>
      <c r="C5481" s="139" t="s">
        <v>33</v>
      </c>
      <c r="D5481" s="139" t="s">
        <v>12854</v>
      </c>
    </row>
    <row r="5482" spans="1:4" x14ac:dyDescent="0.25">
      <c r="A5482" s="139" t="s">
        <v>12855</v>
      </c>
      <c r="B5482" s="139" t="s">
        <v>12652</v>
      </c>
      <c r="C5482" s="139" t="s">
        <v>65</v>
      </c>
      <c r="D5482" s="139" t="s">
        <v>12856</v>
      </c>
    </row>
    <row r="5483" spans="1:4" x14ac:dyDescent="0.25">
      <c r="A5483" s="139" t="s">
        <v>12857</v>
      </c>
      <c r="B5483" s="139" t="s">
        <v>12652</v>
      </c>
      <c r="C5483" s="139" t="s">
        <v>65</v>
      </c>
      <c r="D5483" s="139" t="s">
        <v>12858</v>
      </c>
    </row>
    <row r="5484" spans="1:4" x14ac:dyDescent="0.25">
      <c r="A5484" s="139" t="s">
        <v>12859</v>
      </c>
      <c r="B5484" s="139" t="s">
        <v>12860</v>
      </c>
      <c r="C5484" s="139" t="s">
        <v>65</v>
      </c>
      <c r="D5484" s="139" t="s">
        <v>12861</v>
      </c>
    </row>
    <row r="5485" spans="1:4" x14ac:dyDescent="0.25">
      <c r="A5485" s="139" t="s">
        <v>12862</v>
      </c>
      <c r="B5485" s="139" t="s">
        <v>12860</v>
      </c>
      <c r="C5485" s="139" t="s">
        <v>65</v>
      </c>
      <c r="D5485" s="139" t="s">
        <v>12863</v>
      </c>
    </row>
    <row r="5486" spans="1:4" x14ac:dyDescent="0.25">
      <c r="A5486" s="139" t="s">
        <v>12864</v>
      </c>
      <c r="B5486" s="139" t="s">
        <v>4401</v>
      </c>
      <c r="C5486" s="139" t="s">
        <v>65</v>
      </c>
      <c r="D5486" s="139" t="s">
        <v>12865</v>
      </c>
    </row>
    <row r="5487" spans="1:4" x14ac:dyDescent="0.25">
      <c r="A5487" s="139" t="s">
        <v>12866</v>
      </c>
      <c r="B5487" s="139" t="s">
        <v>4401</v>
      </c>
      <c r="C5487" s="139" t="s">
        <v>65</v>
      </c>
      <c r="D5487" s="139" t="s">
        <v>12867</v>
      </c>
    </row>
    <row r="5488" spans="1:4" x14ac:dyDescent="0.25">
      <c r="A5488" s="139" t="s">
        <v>12868</v>
      </c>
      <c r="B5488" s="139" t="s">
        <v>12591</v>
      </c>
      <c r="C5488" s="139" t="s">
        <v>65</v>
      </c>
      <c r="D5488" s="139" t="s">
        <v>12869</v>
      </c>
    </row>
    <row r="5489" spans="1:4" x14ac:dyDescent="0.25">
      <c r="A5489" s="139" t="s">
        <v>12870</v>
      </c>
      <c r="B5489" s="139" t="s">
        <v>12591</v>
      </c>
      <c r="C5489" s="139" t="s">
        <v>65</v>
      </c>
      <c r="D5489" s="139" t="s">
        <v>12871</v>
      </c>
    </row>
    <row r="5490" spans="1:4" x14ac:dyDescent="0.25">
      <c r="A5490" s="139" t="s">
        <v>12872</v>
      </c>
      <c r="B5490" s="139" t="s">
        <v>2402</v>
      </c>
      <c r="C5490" s="139" t="s">
        <v>65</v>
      </c>
      <c r="D5490" s="139" t="s">
        <v>12873</v>
      </c>
    </row>
    <row r="5491" spans="1:4" x14ac:dyDescent="0.25">
      <c r="A5491" s="139" t="s">
        <v>12874</v>
      </c>
      <c r="B5491" s="139" t="s">
        <v>2402</v>
      </c>
      <c r="C5491" s="139" t="s">
        <v>65</v>
      </c>
      <c r="D5491" s="139" t="s">
        <v>12875</v>
      </c>
    </row>
    <row r="5492" spans="1:4" x14ac:dyDescent="0.25">
      <c r="A5492" s="139" t="s">
        <v>12876</v>
      </c>
      <c r="B5492" s="139" t="s">
        <v>4852</v>
      </c>
      <c r="C5492" s="139" t="s">
        <v>65</v>
      </c>
      <c r="D5492" s="139" t="s">
        <v>12877</v>
      </c>
    </row>
    <row r="5493" spans="1:4" x14ac:dyDescent="0.25">
      <c r="A5493" s="139" t="s">
        <v>12878</v>
      </c>
      <c r="B5493" s="139" t="s">
        <v>4852</v>
      </c>
      <c r="C5493" s="139" t="s">
        <v>65</v>
      </c>
      <c r="D5493" s="139" t="s">
        <v>12879</v>
      </c>
    </row>
    <row r="5494" spans="1:4" x14ac:dyDescent="0.25">
      <c r="A5494" s="139" t="s">
        <v>12880</v>
      </c>
      <c r="B5494" s="139" t="s">
        <v>2411</v>
      </c>
      <c r="C5494" s="139" t="s">
        <v>65</v>
      </c>
      <c r="D5494" s="139" t="s">
        <v>12881</v>
      </c>
    </row>
    <row r="5495" spans="1:4" x14ac:dyDescent="0.25">
      <c r="A5495" s="139" t="s">
        <v>12882</v>
      </c>
      <c r="B5495" s="139" t="s">
        <v>2411</v>
      </c>
      <c r="C5495" s="139" t="s">
        <v>65</v>
      </c>
      <c r="D5495" s="139" t="s">
        <v>12883</v>
      </c>
    </row>
    <row r="5496" spans="1:4" x14ac:dyDescent="0.25">
      <c r="A5496" s="139" t="s">
        <v>12884</v>
      </c>
      <c r="B5496" s="139" t="s">
        <v>2475</v>
      </c>
      <c r="C5496" s="139" t="s">
        <v>65</v>
      </c>
      <c r="D5496" s="139" t="s">
        <v>12885</v>
      </c>
    </row>
    <row r="5497" spans="1:4" x14ac:dyDescent="0.25">
      <c r="A5497" s="139" t="s">
        <v>12886</v>
      </c>
      <c r="B5497" s="139" t="s">
        <v>2475</v>
      </c>
      <c r="C5497" s="139" t="s">
        <v>65</v>
      </c>
      <c r="D5497" s="139" t="s">
        <v>12887</v>
      </c>
    </row>
    <row r="5498" spans="1:4" x14ac:dyDescent="0.25">
      <c r="A5498" s="139" t="s">
        <v>12888</v>
      </c>
      <c r="B5498" s="139" t="s">
        <v>12889</v>
      </c>
      <c r="C5498" s="139" t="s">
        <v>112</v>
      </c>
      <c r="D5498" s="139" t="s">
        <v>12890</v>
      </c>
    </row>
    <row r="5499" spans="1:4" x14ac:dyDescent="0.25">
      <c r="A5499" s="139" t="s">
        <v>12891</v>
      </c>
      <c r="B5499" s="139" t="s">
        <v>12892</v>
      </c>
      <c r="C5499" s="139" t="s">
        <v>112</v>
      </c>
      <c r="D5499" s="139" t="s">
        <v>12893</v>
      </c>
    </row>
    <row r="5500" spans="1:4" x14ac:dyDescent="0.25">
      <c r="A5500" s="139" t="s">
        <v>12894</v>
      </c>
      <c r="B5500" s="139" t="s">
        <v>12892</v>
      </c>
      <c r="C5500" s="139" t="s">
        <v>112</v>
      </c>
      <c r="D5500" s="139" t="s">
        <v>12895</v>
      </c>
    </row>
    <row r="5501" spans="1:4" x14ac:dyDescent="0.25">
      <c r="A5501" s="139" t="s">
        <v>12896</v>
      </c>
      <c r="B5501" s="139" t="s">
        <v>12897</v>
      </c>
      <c r="C5501" s="139" t="s">
        <v>112</v>
      </c>
      <c r="D5501" s="139" t="s">
        <v>12898</v>
      </c>
    </row>
    <row r="5502" spans="1:4" x14ac:dyDescent="0.25">
      <c r="A5502" s="139" t="s">
        <v>12899</v>
      </c>
      <c r="B5502" s="139" t="s">
        <v>12897</v>
      </c>
      <c r="C5502" s="139" t="s">
        <v>112</v>
      </c>
      <c r="D5502" s="139" t="s">
        <v>12900</v>
      </c>
    </row>
    <row r="5503" spans="1:4" x14ac:dyDescent="0.25">
      <c r="A5503" s="139" t="s">
        <v>12901</v>
      </c>
      <c r="B5503" s="139" t="s">
        <v>12902</v>
      </c>
      <c r="C5503" s="139" t="s">
        <v>112</v>
      </c>
      <c r="D5503" s="139" t="s">
        <v>12903</v>
      </c>
    </row>
    <row r="5504" spans="1:4" x14ac:dyDescent="0.25">
      <c r="A5504" s="139" t="s">
        <v>12904</v>
      </c>
      <c r="B5504" s="139" t="s">
        <v>12902</v>
      </c>
      <c r="C5504" s="139" t="s">
        <v>112</v>
      </c>
      <c r="D5504" s="139" t="s">
        <v>12905</v>
      </c>
    </row>
    <row r="5505" spans="1:4" x14ac:dyDescent="0.25">
      <c r="A5505" s="139" t="s">
        <v>12906</v>
      </c>
      <c r="B5505" s="139" t="s">
        <v>12907</v>
      </c>
      <c r="C5505" s="139" t="s">
        <v>112</v>
      </c>
      <c r="D5505" s="139" t="s">
        <v>12908</v>
      </c>
    </row>
    <row r="5506" spans="1:4" x14ac:dyDescent="0.25">
      <c r="A5506" s="139" t="s">
        <v>12909</v>
      </c>
      <c r="B5506" s="139" t="s">
        <v>12907</v>
      </c>
      <c r="C5506" s="139" t="s">
        <v>112</v>
      </c>
      <c r="D5506" s="139" t="s">
        <v>12910</v>
      </c>
    </row>
    <row r="5507" spans="1:4" x14ac:dyDescent="0.25">
      <c r="A5507" s="139" t="s">
        <v>12911</v>
      </c>
      <c r="B5507" s="139" t="s">
        <v>12912</v>
      </c>
      <c r="C5507" s="139" t="s">
        <v>112</v>
      </c>
      <c r="D5507" s="139" t="s">
        <v>12913</v>
      </c>
    </row>
    <row r="5508" spans="1:4" x14ac:dyDescent="0.25">
      <c r="A5508" s="139" t="s">
        <v>12914</v>
      </c>
      <c r="B5508" s="139" t="s">
        <v>12912</v>
      </c>
      <c r="C5508" s="139" t="s">
        <v>112</v>
      </c>
      <c r="D5508" s="139" t="s">
        <v>12915</v>
      </c>
    </row>
    <row r="5509" spans="1:4" x14ac:dyDescent="0.25">
      <c r="A5509" s="139" t="s">
        <v>12916</v>
      </c>
      <c r="B5509" s="139" t="s">
        <v>12917</v>
      </c>
      <c r="C5509" s="139" t="s">
        <v>112</v>
      </c>
      <c r="D5509" s="139" t="s">
        <v>12918</v>
      </c>
    </row>
    <row r="5510" spans="1:4" x14ac:dyDescent="0.25">
      <c r="A5510" s="139" t="s">
        <v>12919</v>
      </c>
      <c r="B5510" s="139" t="s">
        <v>12917</v>
      </c>
      <c r="C5510" s="139" t="s">
        <v>112</v>
      </c>
      <c r="D5510" s="139" t="s">
        <v>12920</v>
      </c>
    </row>
    <row r="5511" spans="1:4" x14ac:dyDescent="0.25">
      <c r="A5511" s="139" t="s">
        <v>12921</v>
      </c>
      <c r="B5511" s="139" t="s">
        <v>1927</v>
      </c>
      <c r="C5511" s="139" t="s">
        <v>112</v>
      </c>
      <c r="D5511" s="139" t="s">
        <v>12922</v>
      </c>
    </row>
    <row r="5512" spans="1:4" x14ac:dyDescent="0.25">
      <c r="A5512" s="139" t="s">
        <v>12923</v>
      </c>
      <c r="B5512" s="139" t="s">
        <v>1927</v>
      </c>
      <c r="C5512" s="139" t="s">
        <v>112</v>
      </c>
      <c r="D5512" s="139" t="s">
        <v>12924</v>
      </c>
    </row>
    <row r="5513" spans="1:4" x14ac:dyDescent="0.25">
      <c r="A5513" s="139" t="s">
        <v>12925</v>
      </c>
      <c r="B5513" s="139" t="s">
        <v>12926</v>
      </c>
      <c r="C5513" s="139" t="s">
        <v>112</v>
      </c>
      <c r="D5513" s="139" t="s">
        <v>12927</v>
      </c>
    </row>
    <row r="5514" spans="1:4" x14ac:dyDescent="0.25">
      <c r="A5514" s="139" t="s">
        <v>12928</v>
      </c>
      <c r="B5514" s="139" t="s">
        <v>12926</v>
      </c>
      <c r="C5514" s="139" t="s">
        <v>112</v>
      </c>
      <c r="D5514" s="139" t="s">
        <v>12929</v>
      </c>
    </row>
    <row r="5515" spans="1:4" x14ac:dyDescent="0.25">
      <c r="A5515" s="139" t="s">
        <v>12930</v>
      </c>
      <c r="B5515" s="139" t="s">
        <v>12931</v>
      </c>
      <c r="C5515" s="139" t="s">
        <v>112</v>
      </c>
      <c r="D5515" s="139" t="s">
        <v>12932</v>
      </c>
    </row>
    <row r="5516" spans="1:4" x14ac:dyDescent="0.25">
      <c r="A5516" s="139" t="s">
        <v>12933</v>
      </c>
      <c r="B5516" s="139" t="s">
        <v>12931</v>
      </c>
      <c r="C5516" s="139" t="s">
        <v>112</v>
      </c>
      <c r="D5516" s="139" t="s">
        <v>12934</v>
      </c>
    </row>
    <row r="5517" spans="1:4" x14ac:dyDescent="0.25">
      <c r="A5517" s="139" t="s">
        <v>12935</v>
      </c>
      <c r="B5517" s="139" t="s">
        <v>12936</v>
      </c>
      <c r="C5517" s="139" t="s">
        <v>112</v>
      </c>
      <c r="D5517" s="139" t="s">
        <v>12937</v>
      </c>
    </row>
    <row r="5518" spans="1:4" x14ac:dyDescent="0.25">
      <c r="A5518" s="139" t="s">
        <v>12938</v>
      </c>
      <c r="B5518" s="139" t="s">
        <v>12936</v>
      </c>
      <c r="C5518" s="139" t="s">
        <v>112</v>
      </c>
      <c r="D5518" s="139" t="s">
        <v>12939</v>
      </c>
    </row>
    <row r="5519" spans="1:4" x14ac:dyDescent="0.25">
      <c r="A5519" s="139" t="s">
        <v>12940</v>
      </c>
      <c r="B5519" s="139" t="s">
        <v>12941</v>
      </c>
      <c r="C5519" s="139" t="s">
        <v>112</v>
      </c>
      <c r="D5519" s="139" t="s">
        <v>12942</v>
      </c>
    </row>
    <row r="5520" spans="1:4" x14ac:dyDescent="0.25">
      <c r="A5520" s="139" t="s">
        <v>12943</v>
      </c>
      <c r="B5520" s="139" t="s">
        <v>12941</v>
      </c>
      <c r="C5520" s="139" t="s">
        <v>112</v>
      </c>
      <c r="D5520" s="139" t="s">
        <v>12944</v>
      </c>
    </row>
    <row r="5521" spans="1:4" x14ac:dyDescent="0.25">
      <c r="A5521" s="139" t="s">
        <v>12945</v>
      </c>
      <c r="B5521" s="139" t="s">
        <v>12946</v>
      </c>
      <c r="C5521" s="139" t="s">
        <v>112</v>
      </c>
      <c r="D5521" s="139" t="s">
        <v>12947</v>
      </c>
    </row>
    <row r="5522" spans="1:4" x14ac:dyDescent="0.25">
      <c r="A5522" s="139" t="s">
        <v>12948</v>
      </c>
      <c r="B5522" s="139" t="s">
        <v>12949</v>
      </c>
      <c r="C5522" s="139" t="s">
        <v>112</v>
      </c>
      <c r="D5522" s="139" t="s">
        <v>12950</v>
      </c>
    </row>
    <row r="5523" spans="1:4" x14ac:dyDescent="0.25">
      <c r="A5523" s="139" t="s">
        <v>12951</v>
      </c>
      <c r="B5523" s="139" t="s">
        <v>12949</v>
      </c>
      <c r="C5523" s="139" t="s">
        <v>112</v>
      </c>
      <c r="D5523" s="139" t="s">
        <v>12952</v>
      </c>
    </row>
    <row r="5524" spans="1:4" x14ac:dyDescent="0.25">
      <c r="A5524" s="139" t="s">
        <v>12953</v>
      </c>
      <c r="B5524" s="139" t="s">
        <v>12954</v>
      </c>
      <c r="C5524" s="139" t="s">
        <v>112</v>
      </c>
      <c r="D5524" s="139" t="s">
        <v>12955</v>
      </c>
    </row>
    <row r="5525" spans="1:4" x14ac:dyDescent="0.25">
      <c r="A5525" s="139" t="s">
        <v>12956</v>
      </c>
      <c r="B5525" s="139" t="s">
        <v>12954</v>
      </c>
      <c r="C5525" s="139" t="s">
        <v>112</v>
      </c>
      <c r="D5525" s="139" t="s">
        <v>12957</v>
      </c>
    </row>
    <row r="5526" spans="1:4" x14ac:dyDescent="0.25">
      <c r="A5526" s="139" t="s">
        <v>12958</v>
      </c>
      <c r="B5526" s="139" t="s">
        <v>12959</v>
      </c>
      <c r="C5526" s="139" t="s">
        <v>112</v>
      </c>
      <c r="D5526" s="139" t="s">
        <v>12960</v>
      </c>
    </row>
    <row r="5527" spans="1:4" x14ac:dyDescent="0.25">
      <c r="A5527" s="139" t="s">
        <v>12961</v>
      </c>
      <c r="B5527" s="139" t="s">
        <v>12959</v>
      </c>
      <c r="C5527" s="139" t="s">
        <v>112</v>
      </c>
      <c r="D5527" s="139" t="s">
        <v>12962</v>
      </c>
    </row>
    <row r="5528" spans="1:4" x14ac:dyDescent="0.25">
      <c r="A5528" s="139" t="s">
        <v>12963</v>
      </c>
      <c r="B5528" s="139" t="s">
        <v>12964</v>
      </c>
      <c r="C5528" s="139" t="s">
        <v>112</v>
      </c>
      <c r="D5528" s="139" t="s">
        <v>12965</v>
      </c>
    </row>
    <row r="5529" spans="1:4" x14ac:dyDescent="0.25">
      <c r="A5529" s="139" t="s">
        <v>12966</v>
      </c>
      <c r="B5529" s="139" t="s">
        <v>12964</v>
      </c>
      <c r="C5529" s="139" t="s">
        <v>112</v>
      </c>
      <c r="D5529" s="139" t="s">
        <v>12967</v>
      </c>
    </row>
    <row r="5530" spans="1:4" x14ac:dyDescent="0.25">
      <c r="A5530" s="139" t="s">
        <v>12968</v>
      </c>
      <c r="B5530" s="139" t="s">
        <v>12969</v>
      </c>
      <c r="C5530" s="139" t="s">
        <v>65</v>
      </c>
      <c r="D5530" s="139" t="s">
        <v>12970</v>
      </c>
    </row>
    <row r="5531" spans="1:4" x14ac:dyDescent="0.25">
      <c r="A5531" s="139" t="s">
        <v>12971</v>
      </c>
      <c r="B5531" s="139" t="s">
        <v>2173</v>
      </c>
      <c r="C5531" s="139" t="s">
        <v>65</v>
      </c>
      <c r="D5531" s="139" t="s">
        <v>12972</v>
      </c>
    </row>
    <row r="5532" spans="1:4" x14ac:dyDescent="0.25">
      <c r="A5532" s="139" t="s">
        <v>12973</v>
      </c>
      <c r="B5532" s="139" t="s">
        <v>2173</v>
      </c>
      <c r="C5532" s="139" t="s">
        <v>65</v>
      </c>
      <c r="D5532" s="139" t="s">
        <v>12974</v>
      </c>
    </row>
    <row r="5533" spans="1:4" x14ac:dyDescent="0.25">
      <c r="A5533" s="139" t="s">
        <v>12975</v>
      </c>
      <c r="B5533" s="139" t="s">
        <v>12976</v>
      </c>
      <c r="C5533" s="139" t="s">
        <v>65</v>
      </c>
      <c r="D5533" s="139" t="s">
        <v>12977</v>
      </c>
    </row>
    <row r="5534" spans="1:4" x14ac:dyDescent="0.25">
      <c r="A5534" s="139" t="s">
        <v>12978</v>
      </c>
      <c r="B5534" s="139" t="s">
        <v>12976</v>
      </c>
      <c r="C5534" s="139" t="s">
        <v>65</v>
      </c>
      <c r="D5534" s="139" t="s">
        <v>12979</v>
      </c>
    </row>
    <row r="5535" spans="1:4" x14ac:dyDescent="0.25">
      <c r="A5535" s="139" t="s">
        <v>12980</v>
      </c>
      <c r="B5535" s="139" t="s">
        <v>12981</v>
      </c>
      <c r="C5535" s="139" t="s">
        <v>65</v>
      </c>
      <c r="D5535" s="139" t="s">
        <v>12982</v>
      </c>
    </row>
    <row r="5536" spans="1:4" x14ac:dyDescent="0.25">
      <c r="A5536" s="139" t="s">
        <v>12983</v>
      </c>
      <c r="B5536" s="139" t="s">
        <v>12981</v>
      </c>
      <c r="C5536" s="139" t="s">
        <v>65</v>
      </c>
      <c r="D5536" s="139" t="s">
        <v>12984</v>
      </c>
    </row>
    <row r="5537" spans="1:4" x14ac:dyDescent="0.25">
      <c r="A5537" s="139" t="s">
        <v>12985</v>
      </c>
      <c r="B5537" s="139" t="s">
        <v>12986</v>
      </c>
      <c r="C5537" s="139" t="s">
        <v>65</v>
      </c>
      <c r="D5537" s="139" t="s">
        <v>12987</v>
      </c>
    </row>
    <row r="5538" spans="1:4" x14ac:dyDescent="0.25">
      <c r="A5538" s="139" t="s">
        <v>12988</v>
      </c>
      <c r="B5538" s="139" t="s">
        <v>12986</v>
      </c>
      <c r="C5538" s="139" t="s">
        <v>65</v>
      </c>
      <c r="D5538" s="139" t="s">
        <v>12989</v>
      </c>
    </row>
    <row r="5539" spans="1:4" x14ac:dyDescent="0.25">
      <c r="A5539" s="139" t="s">
        <v>12990</v>
      </c>
      <c r="B5539" s="139" t="s">
        <v>12991</v>
      </c>
      <c r="C5539" s="139" t="s">
        <v>65</v>
      </c>
      <c r="D5539" s="139" t="s">
        <v>12992</v>
      </c>
    </row>
    <row r="5540" spans="1:4" x14ac:dyDescent="0.25">
      <c r="A5540" s="139" t="s">
        <v>12993</v>
      </c>
      <c r="B5540" s="139" t="s">
        <v>12991</v>
      </c>
      <c r="C5540" s="139" t="s">
        <v>65</v>
      </c>
      <c r="D5540" s="139" t="s">
        <v>12994</v>
      </c>
    </row>
    <row r="5541" spans="1:4" x14ac:dyDescent="0.25">
      <c r="A5541" s="139" t="s">
        <v>12995</v>
      </c>
      <c r="B5541" s="139" t="s">
        <v>3039</v>
      </c>
      <c r="C5541" s="139" t="s">
        <v>65</v>
      </c>
      <c r="D5541" s="139" t="s">
        <v>12996</v>
      </c>
    </row>
    <row r="5542" spans="1:4" x14ac:dyDescent="0.25">
      <c r="A5542" s="139" t="s">
        <v>12997</v>
      </c>
      <c r="B5542" s="139" t="s">
        <v>3039</v>
      </c>
      <c r="C5542" s="139" t="s">
        <v>65</v>
      </c>
      <c r="D5542" s="139" t="s">
        <v>12998</v>
      </c>
    </row>
    <row r="5543" spans="1:4" x14ac:dyDescent="0.25">
      <c r="A5543" s="139" t="s">
        <v>12999</v>
      </c>
      <c r="B5543" s="139" t="s">
        <v>13000</v>
      </c>
      <c r="C5543" s="139" t="s">
        <v>65</v>
      </c>
      <c r="D5543" s="139" t="s">
        <v>13001</v>
      </c>
    </row>
    <row r="5544" spans="1:4" x14ac:dyDescent="0.25">
      <c r="A5544" s="139" t="s">
        <v>13002</v>
      </c>
      <c r="B5544" s="139" t="s">
        <v>13000</v>
      </c>
      <c r="C5544" s="139" t="s">
        <v>65</v>
      </c>
      <c r="D5544" s="139" t="s">
        <v>13003</v>
      </c>
    </row>
    <row r="5545" spans="1:4" x14ac:dyDescent="0.25">
      <c r="A5545" s="139" t="s">
        <v>13004</v>
      </c>
      <c r="B5545" s="139" t="s">
        <v>13005</v>
      </c>
      <c r="C5545" s="139" t="s">
        <v>65</v>
      </c>
      <c r="D5545" s="139" t="s">
        <v>13006</v>
      </c>
    </row>
    <row r="5546" spans="1:4" x14ac:dyDescent="0.25">
      <c r="A5546" s="139" t="s">
        <v>13007</v>
      </c>
      <c r="B5546" s="139" t="s">
        <v>13005</v>
      </c>
      <c r="C5546" s="139" t="s">
        <v>65</v>
      </c>
      <c r="D5546" s="139" t="s">
        <v>13008</v>
      </c>
    </row>
    <row r="5547" spans="1:4" x14ac:dyDescent="0.25">
      <c r="A5547" s="139" t="s">
        <v>13009</v>
      </c>
      <c r="B5547" s="139" t="s">
        <v>13010</v>
      </c>
      <c r="C5547" s="139" t="s">
        <v>65</v>
      </c>
      <c r="D5547" s="139" t="s">
        <v>13011</v>
      </c>
    </row>
    <row r="5548" spans="1:4" x14ac:dyDescent="0.25">
      <c r="A5548" s="139" t="s">
        <v>13012</v>
      </c>
      <c r="B5548" s="139" t="s">
        <v>13010</v>
      </c>
      <c r="C5548" s="139" t="s">
        <v>65</v>
      </c>
      <c r="D5548" s="139" t="s">
        <v>13013</v>
      </c>
    </row>
    <row r="5549" spans="1:4" x14ac:dyDescent="0.25">
      <c r="A5549" s="139" t="s">
        <v>13014</v>
      </c>
      <c r="B5549" s="139" t="s">
        <v>10116</v>
      </c>
      <c r="C5549" s="139" t="s">
        <v>65</v>
      </c>
      <c r="D5549" s="139" t="s">
        <v>13015</v>
      </c>
    </row>
    <row r="5550" spans="1:4" x14ac:dyDescent="0.25">
      <c r="A5550" s="139" t="s">
        <v>13016</v>
      </c>
      <c r="B5550" s="139" t="s">
        <v>10116</v>
      </c>
      <c r="C5550" s="139" t="s">
        <v>65</v>
      </c>
      <c r="D5550" s="139" t="s">
        <v>13017</v>
      </c>
    </row>
    <row r="5551" spans="1:4" x14ac:dyDescent="0.25">
      <c r="A5551" s="139" t="s">
        <v>13018</v>
      </c>
      <c r="B5551" s="139" t="s">
        <v>11059</v>
      </c>
      <c r="C5551" s="139" t="s">
        <v>65</v>
      </c>
      <c r="D5551" s="139" t="s">
        <v>13019</v>
      </c>
    </row>
    <row r="5552" spans="1:4" x14ac:dyDescent="0.25">
      <c r="A5552" s="139" t="s">
        <v>13020</v>
      </c>
      <c r="B5552" s="139" t="s">
        <v>11059</v>
      </c>
      <c r="C5552" s="139" t="s">
        <v>65</v>
      </c>
      <c r="D5552" s="139" t="s">
        <v>13021</v>
      </c>
    </row>
    <row r="5553" spans="1:4" x14ac:dyDescent="0.25">
      <c r="A5553" s="139" t="s">
        <v>13022</v>
      </c>
      <c r="B5553" s="139" t="s">
        <v>11049</v>
      </c>
      <c r="C5553" s="139" t="s">
        <v>65</v>
      </c>
      <c r="D5553" s="139" t="s">
        <v>13023</v>
      </c>
    </row>
    <row r="5554" spans="1:4" x14ac:dyDescent="0.25">
      <c r="A5554" s="139" t="s">
        <v>13024</v>
      </c>
      <c r="B5554" s="139" t="s">
        <v>11049</v>
      </c>
      <c r="C5554" s="139" t="s">
        <v>65</v>
      </c>
      <c r="D5554" s="139" t="s">
        <v>13025</v>
      </c>
    </row>
    <row r="5555" spans="1:4" x14ac:dyDescent="0.25">
      <c r="A5555" s="139" t="s">
        <v>13026</v>
      </c>
      <c r="B5555" s="139" t="s">
        <v>3176</v>
      </c>
      <c r="C5555" s="139" t="s">
        <v>1683</v>
      </c>
      <c r="D5555" s="139" t="s">
        <v>13027</v>
      </c>
    </row>
    <row r="5556" spans="1:4" x14ac:dyDescent="0.25">
      <c r="A5556" s="139" t="s">
        <v>13028</v>
      </c>
      <c r="B5556" s="139" t="s">
        <v>3176</v>
      </c>
      <c r="C5556" s="139" t="s">
        <v>1683</v>
      </c>
      <c r="D5556" s="139" t="s">
        <v>13029</v>
      </c>
    </row>
    <row r="5557" spans="1:4" x14ac:dyDescent="0.25">
      <c r="A5557" s="139" t="s">
        <v>13030</v>
      </c>
      <c r="B5557" s="139" t="s">
        <v>13031</v>
      </c>
      <c r="C5557" s="139" t="s">
        <v>1683</v>
      </c>
      <c r="D5557" s="139" t="s">
        <v>13032</v>
      </c>
    </row>
    <row r="5558" spans="1:4" x14ac:dyDescent="0.25">
      <c r="A5558" s="139" t="s">
        <v>13033</v>
      </c>
      <c r="B5558" s="139" t="s">
        <v>13031</v>
      </c>
      <c r="C5558" s="139" t="s">
        <v>1683</v>
      </c>
      <c r="D5558" s="139" t="s">
        <v>13034</v>
      </c>
    </row>
    <row r="5559" spans="1:4" x14ac:dyDescent="0.25">
      <c r="A5559" s="139" t="s">
        <v>13035</v>
      </c>
      <c r="B5559" s="139" t="s">
        <v>13036</v>
      </c>
      <c r="C5559" s="139" t="s">
        <v>1683</v>
      </c>
      <c r="D5559" s="139" t="s">
        <v>13037</v>
      </c>
    </row>
    <row r="5560" spans="1:4" x14ac:dyDescent="0.25">
      <c r="A5560" s="139" t="s">
        <v>13038</v>
      </c>
      <c r="B5560" s="139" t="s">
        <v>13036</v>
      </c>
      <c r="C5560" s="139" t="s">
        <v>1683</v>
      </c>
      <c r="D5560" s="139" t="s">
        <v>13039</v>
      </c>
    </row>
    <row r="5561" spans="1:4" x14ac:dyDescent="0.25">
      <c r="A5561" s="139" t="s">
        <v>13040</v>
      </c>
      <c r="B5561" s="139" t="s">
        <v>13041</v>
      </c>
      <c r="C5561" s="139" t="s">
        <v>1683</v>
      </c>
      <c r="D5561" s="139" t="s">
        <v>13042</v>
      </c>
    </row>
    <row r="5562" spans="1:4" x14ac:dyDescent="0.25">
      <c r="A5562" s="139" t="s">
        <v>13043</v>
      </c>
      <c r="B5562" s="139" t="s">
        <v>13041</v>
      </c>
      <c r="C5562" s="139" t="s">
        <v>1683</v>
      </c>
      <c r="D5562" s="139" t="s">
        <v>13044</v>
      </c>
    </row>
    <row r="5563" spans="1:4" x14ac:dyDescent="0.25">
      <c r="A5563" s="139" t="s">
        <v>13045</v>
      </c>
      <c r="B5563" s="139" t="s">
        <v>13046</v>
      </c>
      <c r="C5563" s="139" t="s">
        <v>1683</v>
      </c>
      <c r="D5563" s="139" t="s">
        <v>13047</v>
      </c>
    </row>
    <row r="5564" spans="1:4" x14ac:dyDescent="0.25">
      <c r="A5564" s="139" t="s">
        <v>13048</v>
      </c>
      <c r="B5564" s="139" t="s">
        <v>13046</v>
      </c>
      <c r="C5564" s="139" t="s">
        <v>1683</v>
      </c>
      <c r="D5564" s="139" t="s">
        <v>13049</v>
      </c>
    </row>
    <row r="5565" spans="1:4" x14ac:dyDescent="0.25">
      <c r="A5565" s="139" t="s">
        <v>13050</v>
      </c>
      <c r="B5565" s="139" t="s">
        <v>13051</v>
      </c>
      <c r="C5565" s="139" t="s">
        <v>535</v>
      </c>
      <c r="D5565" s="139" t="s">
        <v>13052</v>
      </c>
    </row>
    <row r="5566" spans="1:4" x14ac:dyDescent="0.25">
      <c r="A5566" s="139" t="s">
        <v>13053</v>
      </c>
      <c r="B5566" s="139" t="s">
        <v>13051</v>
      </c>
      <c r="C5566" s="139" t="s">
        <v>535</v>
      </c>
      <c r="D5566" s="139" t="s">
        <v>13054</v>
      </c>
    </row>
    <row r="5567" spans="1:4" x14ac:dyDescent="0.25">
      <c r="A5567" s="139" t="s">
        <v>13055</v>
      </c>
      <c r="B5567" s="139" t="s">
        <v>13056</v>
      </c>
      <c r="C5567" s="139" t="s">
        <v>535</v>
      </c>
      <c r="D5567" s="139" t="s">
        <v>13057</v>
      </c>
    </row>
    <row r="5568" spans="1:4" x14ac:dyDescent="0.25">
      <c r="A5568" s="139" t="s">
        <v>13058</v>
      </c>
      <c r="B5568" s="139" t="s">
        <v>13056</v>
      </c>
      <c r="C5568" s="139" t="s">
        <v>535</v>
      </c>
      <c r="D5568" s="139" t="s">
        <v>13059</v>
      </c>
    </row>
    <row r="5569" spans="1:4" x14ac:dyDescent="0.25">
      <c r="A5569" s="139" t="s">
        <v>13060</v>
      </c>
      <c r="B5569" s="139" t="s">
        <v>13061</v>
      </c>
      <c r="C5569" s="139" t="s">
        <v>535</v>
      </c>
      <c r="D5569" s="139" t="s">
        <v>13062</v>
      </c>
    </row>
    <row r="5570" spans="1:4" x14ac:dyDescent="0.25">
      <c r="A5570" s="139" t="s">
        <v>13063</v>
      </c>
      <c r="B5570" s="139" t="s">
        <v>13061</v>
      </c>
      <c r="C5570" s="139" t="s">
        <v>535</v>
      </c>
      <c r="D5570" s="139" t="s">
        <v>13064</v>
      </c>
    </row>
    <row r="5571" spans="1:4" x14ac:dyDescent="0.25">
      <c r="A5571" s="139" t="s">
        <v>13065</v>
      </c>
      <c r="B5571" s="139" t="s">
        <v>13066</v>
      </c>
      <c r="C5571" s="139" t="s">
        <v>535</v>
      </c>
      <c r="D5571" s="139" t="s">
        <v>13067</v>
      </c>
    </row>
    <row r="5572" spans="1:4" x14ac:dyDescent="0.25">
      <c r="A5572" s="139" t="s">
        <v>13068</v>
      </c>
      <c r="B5572" s="139" t="s">
        <v>13066</v>
      </c>
      <c r="C5572" s="139" t="s">
        <v>535</v>
      </c>
      <c r="D5572" s="139" t="s">
        <v>13069</v>
      </c>
    </row>
    <row r="5573" spans="1:4" x14ac:dyDescent="0.25">
      <c r="A5573" s="139" t="s">
        <v>13070</v>
      </c>
      <c r="B5573" s="139" t="s">
        <v>2883</v>
      </c>
      <c r="C5573" s="139" t="s">
        <v>535</v>
      </c>
      <c r="D5573" s="139" t="s">
        <v>13071</v>
      </c>
    </row>
    <row r="5574" spans="1:4" x14ac:dyDescent="0.25">
      <c r="A5574" s="139" t="s">
        <v>13072</v>
      </c>
      <c r="B5574" s="139" t="s">
        <v>2883</v>
      </c>
      <c r="C5574" s="139" t="s">
        <v>535</v>
      </c>
      <c r="D5574" s="139" t="s">
        <v>13073</v>
      </c>
    </row>
    <row r="5575" spans="1:4" x14ac:dyDescent="0.25">
      <c r="A5575" s="139" t="s">
        <v>13074</v>
      </c>
      <c r="B5575" s="139" t="s">
        <v>11163</v>
      </c>
      <c r="C5575" s="139" t="s">
        <v>535</v>
      </c>
      <c r="D5575" s="139" t="s">
        <v>13075</v>
      </c>
    </row>
    <row r="5576" spans="1:4" x14ac:dyDescent="0.25">
      <c r="A5576" s="139" t="s">
        <v>13076</v>
      </c>
      <c r="B5576" s="139" t="s">
        <v>11163</v>
      </c>
      <c r="C5576" s="139" t="s">
        <v>535</v>
      </c>
      <c r="D5576" s="139" t="s">
        <v>13077</v>
      </c>
    </row>
    <row r="5577" spans="1:4" x14ac:dyDescent="0.25">
      <c r="A5577" s="139" t="s">
        <v>13078</v>
      </c>
      <c r="B5577" s="139" t="s">
        <v>11168</v>
      </c>
      <c r="C5577" s="139" t="s">
        <v>535</v>
      </c>
      <c r="D5577" s="139" t="s">
        <v>13079</v>
      </c>
    </row>
    <row r="5578" spans="1:4" x14ac:dyDescent="0.25">
      <c r="A5578" s="139" t="s">
        <v>13080</v>
      </c>
      <c r="B5578" s="139" t="s">
        <v>11168</v>
      </c>
      <c r="C5578" s="139" t="s">
        <v>535</v>
      </c>
      <c r="D5578" s="139" t="s">
        <v>13081</v>
      </c>
    </row>
    <row r="5579" spans="1:4" x14ac:dyDescent="0.25">
      <c r="A5579" s="139" t="s">
        <v>13082</v>
      </c>
      <c r="B5579" s="139" t="s">
        <v>13083</v>
      </c>
      <c r="C5579" s="139" t="s">
        <v>535</v>
      </c>
      <c r="D5579" s="139" t="s">
        <v>13084</v>
      </c>
    </row>
    <row r="5580" spans="1:4" x14ac:dyDescent="0.25">
      <c r="A5580" s="139" t="s">
        <v>13085</v>
      </c>
      <c r="B5580" s="139" t="s">
        <v>13083</v>
      </c>
      <c r="C5580" s="139" t="s">
        <v>535</v>
      </c>
      <c r="D5580" s="139" t="s">
        <v>13086</v>
      </c>
    </row>
    <row r="5581" spans="1:4" x14ac:dyDescent="0.25">
      <c r="A5581" s="139" t="s">
        <v>13087</v>
      </c>
      <c r="B5581" s="139" t="s">
        <v>13088</v>
      </c>
      <c r="C5581" s="139" t="s">
        <v>123</v>
      </c>
      <c r="D5581" s="139" t="s">
        <v>13089</v>
      </c>
    </row>
    <row r="5582" spans="1:4" x14ac:dyDescent="0.25">
      <c r="A5582" s="139" t="s">
        <v>13090</v>
      </c>
      <c r="B5582" s="139" t="s">
        <v>13088</v>
      </c>
      <c r="C5582" s="139" t="s">
        <v>123</v>
      </c>
      <c r="D5582" s="139" t="s">
        <v>13091</v>
      </c>
    </row>
    <row r="5583" spans="1:4" x14ac:dyDescent="0.25">
      <c r="A5583" s="139" t="s">
        <v>13092</v>
      </c>
      <c r="B5583" s="139" t="s">
        <v>13093</v>
      </c>
      <c r="C5583" s="139" t="s">
        <v>535</v>
      </c>
      <c r="D5583" s="139" t="s">
        <v>13094</v>
      </c>
    </row>
    <row r="5584" spans="1:4" x14ac:dyDescent="0.25">
      <c r="A5584" s="139" t="s">
        <v>13095</v>
      </c>
      <c r="B5584" s="139" t="s">
        <v>13093</v>
      </c>
      <c r="C5584" s="139" t="s">
        <v>535</v>
      </c>
      <c r="D5584" s="139" t="s">
        <v>13096</v>
      </c>
    </row>
    <row r="5585" spans="1:4" x14ac:dyDescent="0.25">
      <c r="A5585" s="139" t="s">
        <v>13097</v>
      </c>
      <c r="B5585" s="139" t="s">
        <v>13098</v>
      </c>
      <c r="C5585" s="139" t="s">
        <v>535</v>
      </c>
      <c r="D5585" s="139" t="s">
        <v>13099</v>
      </c>
    </row>
    <row r="5586" spans="1:4" x14ac:dyDescent="0.25">
      <c r="A5586" s="139" t="s">
        <v>13100</v>
      </c>
      <c r="B5586" s="139" t="s">
        <v>13098</v>
      </c>
      <c r="C5586" s="139" t="s">
        <v>535</v>
      </c>
      <c r="D5586" s="139" t="s">
        <v>13101</v>
      </c>
    </row>
    <row r="5587" spans="1:4" x14ac:dyDescent="0.25">
      <c r="A5587" s="139" t="s">
        <v>13102</v>
      </c>
      <c r="B5587" s="139" t="s">
        <v>13103</v>
      </c>
      <c r="C5587" s="139" t="s">
        <v>535</v>
      </c>
      <c r="D5587" s="139" t="s">
        <v>13104</v>
      </c>
    </row>
    <row r="5588" spans="1:4" x14ac:dyDescent="0.25">
      <c r="A5588" s="139" t="s">
        <v>13105</v>
      </c>
      <c r="B5588" s="139" t="s">
        <v>13103</v>
      </c>
      <c r="C5588" s="139" t="s">
        <v>535</v>
      </c>
      <c r="D5588" s="139" t="s">
        <v>13106</v>
      </c>
    </row>
    <row r="5589" spans="1:4" x14ac:dyDescent="0.25">
      <c r="A5589" s="139" t="s">
        <v>13107</v>
      </c>
      <c r="B5589" s="139" t="s">
        <v>13108</v>
      </c>
      <c r="C5589" s="139" t="s">
        <v>535</v>
      </c>
      <c r="D5589" s="139" t="s">
        <v>13109</v>
      </c>
    </row>
    <row r="5590" spans="1:4" x14ac:dyDescent="0.25">
      <c r="A5590" s="139" t="s">
        <v>13110</v>
      </c>
      <c r="B5590" s="139" t="s">
        <v>13108</v>
      </c>
      <c r="C5590" s="139" t="s">
        <v>535</v>
      </c>
      <c r="D5590" s="139" t="s">
        <v>13111</v>
      </c>
    </row>
    <row r="5591" spans="1:4" x14ac:dyDescent="0.25">
      <c r="A5591" s="139" t="s">
        <v>13112</v>
      </c>
      <c r="B5591" s="139" t="s">
        <v>13113</v>
      </c>
      <c r="C5591" s="139" t="s">
        <v>65</v>
      </c>
      <c r="D5591" s="139" t="s">
        <v>13114</v>
      </c>
    </row>
    <row r="5592" spans="1:4" x14ac:dyDescent="0.25">
      <c r="A5592" s="139" t="s">
        <v>13115</v>
      </c>
      <c r="B5592" s="139" t="s">
        <v>13113</v>
      </c>
      <c r="C5592" s="139" t="s">
        <v>65</v>
      </c>
      <c r="D5592" s="139" t="s">
        <v>13116</v>
      </c>
    </row>
    <row r="5593" spans="1:4" x14ac:dyDescent="0.25">
      <c r="A5593" s="139" t="s">
        <v>13117</v>
      </c>
      <c r="B5593" s="139" t="s">
        <v>8054</v>
      </c>
      <c r="C5593" s="139" t="s">
        <v>123</v>
      </c>
      <c r="D5593" s="139" t="s">
        <v>13118</v>
      </c>
    </row>
    <row r="5594" spans="1:4" x14ac:dyDescent="0.25">
      <c r="A5594" s="139" t="s">
        <v>13119</v>
      </c>
      <c r="B5594" s="139" t="s">
        <v>8054</v>
      </c>
      <c r="C5594" s="139" t="s">
        <v>123</v>
      </c>
      <c r="D5594" s="139" t="s">
        <v>13120</v>
      </c>
    </row>
    <row r="5595" spans="1:4" x14ac:dyDescent="0.25">
      <c r="A5595" s="139" t="s">
        <v>13121</v>
      </c>
      <c r="B5595" s="139" t="s">
        <v>13122</v>
      </c>
      <c r="C5595" s="139" t="s">
        <v>123</v>
      </c>
      <c r="D5595" s="139" t="s">
        <v>13123</v>
      </c>
    </row>
    <row r="5596" spans="1:4" x14ac:dyDescent="0.25">
      <c r="A5596" s="139" t="s">
        <v>13124</v>
      </c>
      <c r="B5596" s="139" t="s">
        <v>13122</v>
      </c>
      <c r="C5596" s="139" t="s">
        <v>123</v>
      </c>
      <c r="D5596" s="139" t="s">
        <v>13125</v>
      </c>
    </row>
    <row r="5597" spans="1:4" x14ac:dyDescent="0.25">
      <c r="A5597" s="139" t="s">
        <v>13126</v>
      </c>
      <c r="B5597" s="139" t="s">
        <v>13127</v>
      </c>
      <c r="C5597" s="139" t="s">
        <v>123</v>
      </c>
      <c r="D5597" s="139" t="s">
        <v>13128</v>
      </c>
    </row>
    <row r="5598" spans="1:4" x14ac:dyDescent="0.25">
      <c r="A5598" s="139" t="s">
        <v>13129</v>
      </c>
      <c r="B5598" s="139" t="s">
        <v>13127</v>
      </c>
      <c r="C5598" s="139" t="s">
        <v>123</v>
      </c>
      <c r="D5598" s="139" t="s">
        <v>13130</v>
      </c>
    </row>
    <row r="5599" spans="1:4" x14ac:dyDescent="0.25">
      <c r="A5599" s="139" t="s">
        <v>13131</v>
      </c>
      <c r="B5599" s="139" t="s">
        <v>13132</v>
      </c>
      <c r="C5599" s="139" t="s">
        <v>123</v>
      </c>
      <c r="D5599" s="139" t="s">
        <v>13133</v>
      </c>
    </row>
    <row r="5600" spans="1:4" x14ac:dyDescent="0.25">
      <c r="A5600" s="139" t="s">
        <v>13134</v>
      </c>
      <c r="B5600" s="139" t="s">
        <v>13132</v>
      </c>
      <c r="C5600" s="139" t="s">
        <v>123</v>
      </c>
      <c r="D5600" s="139" t="s">
        <v>13135</v>
      </c>
    </row>
    <row r="5601" spans="1:4" x14ac:dyDescent="0.25">
      <c r="A5601" s="139" t="s">
        <v>13136</v>
      </c>
      <c r="B5601" s="139" t="s">
        <v>13083</v>
      </c>
      <c r="C5601" s="139" t="s">
        <v>112</v>
      </c>
      <c r="D5601" s="139" t="s">
        <v>13137</v>
      </c>
    </row>
    <row r="5602" spans="1:4" x14ac:dyDescent="0.25">
      <c r="A5602" s="139" t="s">
        <v>13138</v>
      </c>
      <c r="B5602" s="139" t="s">
        <v>13083</v>
      </c>
      <c r="C5602" s="139" t="s">
        <v>112</v>
      </c>
      <c r="D5602" s="139" t="s">
        <v>13139</v>
      </c>
    </row>
    <row r="5603" spans="1:4" x14ac:dyDescent="0.25">
      <c r="A5603" s="139" t="s">
        <v>13140</v>
      </c>
      <c r="B5603" s="139" t="s">
        <v>13141</v>
      </c>
      <c r="C5603" s="139" t="s">
        <v>123</v>
      </c>
      <c r="D5603" s="139" t="s">
        <v>13142</v>
      </c>
    </row>
    <row r="5604" spans="1:4" x14ac:dyDescent="0.25">
      <c r="A5604" s="139" t="s">
        <v>13143</v>
      </c>
      <c r="B5604" s="139" t="s">
        <v>13141</v>
      </c>
      <c r="C5604" s="139" t="s">
        <v>123</v>
      </c>
      <c r="D5604" s="139" t="s">
        <v>13144</v>
      </c>
    </row>
    <row r="5605" spans="1:4" x14ac:dyDescent="0.25">
      <c r="A5605" s="139" t="s">
        <v>13145</v>
      </c>
      <c r="B5605" s="139" t="s">
        <v>13146</v>
      </c>
      <c r="C5605" s="139" t="s">
        <v>123</v>
      </c>
      <c r="D5605" s="139" t="s">
        <v>13147</v>
      </c>
    </row>
    <row r="5606" spans="1:4" x14ac:dyDescent="0.25">
      <c r="A5606" s="139" t="s">
        <v>13148</v>
      </c>
      <c r="B5606" s="139" t="s">
        <v>13146</v>
      </c>
      <c r="C5606" s="139" t="s">
        <v>123</v>
      </c>
      <c r="D5606" s="139" t="s">
        <v>13149</v>
      </c>
    </row>
    <row r="5607" spans="1:4" x14ac:dyDescent="0.25">
      <c r="A5607" s="139" t="s">
        <v>13150</v>
      </c>
      <c r="B5607" s="139" t="s">
        <v>13151</v>
      </c>
      <c r="C5607" s="139" t="s">
        <v>123</v>
      </c>
      <c r="D5607" s="139" t="s">
        <v>13152</v>
      </c>
    </row>
    <row r="5608" spans="1:4" x14ac:dyDescent="0.25">
      <c r="A5608" s="139" t="s">
        <v>13153</v>
      </c>
      <c r="B5608" s="139" t="s">
        <v>13151</v>
      </c>
      <c r="C5608" s="139" t="s">
        <v>123</v>
      </c>
      <c r="D5608" s="139" t="s">
        <v>13154</v>
      </c>
    </row>
    <row r="5609" spans="1:4" x14ac:dyDescent="0.25">
      <c r="A5609" s="139" t="s">
        <v>13155</v>
      </c>
      <c r="B5609" s="139" t="s">
        <v>13156</v>
      </c>
      <c r="C5609" s="139" t="s">
        <v>123</v>
      </c>
      <c r="D5609" s="139" t="s">
        <v>13157</v>
      </c>
    </row>
    <row r="5610" spans="1:4" x14ac:dyDescent="0.25">
      <c r="A5610" s="139" t="s">
        <v>13158</v>
      </c>
      <c r="B5610" s="139" t="s">
        <v>13156</v>
      </c>
      <c r="C5610" s="139" t="s">
        <v>123</v>
      </c>
      <c r="D5610" s="139" t="s">
        <v>13159</v>
      </c>
    </row>
    <row r="5611" spans="1:4" x14ac:dyDescent="0.25">
      <c r="A5611" s="139" t="s">
        <v>13160</v>
      </c>
      <c r="B5611" s="139" t="s">
        <v>13161</v>
      </c>
      <c r="C5611" s="139" t="s">
        <v>123</v>
      </c>
      <c r="D5611" s="139" t="s">
        <v>13162</v>
      </c>
    </row>
    <row r="5612" spans="1:4" x14ac:dyDescent="0.25">
      <c r="A5612" s="139" t="s">
        <v>13163</v>
      </c>
      <c r="B5612" s="139" t="s">
        <v>13161</v>
      </c>
      <c r="C5612" s="139" t="s">
        <v>123</v>
      </c>
      <c r="D5612" s="139" t="s">
        <v>13164</v>
      </c>
    </row>
    <row r="5613" spans="1:4" x14ac:dyDescent="0.25">
      <c r="A5613" s="139" t="s">
        <v>13165</v>
      </c>
      <c r="B5613" s="139" t="s">
        <v>13166</v>
      </c>
      <c r="C5613" s="139" t="s">
        <v>33</v>
      </c>
      <c r="D5613" s="139" t="s">
        <v>13167</v>
      </c>
    </row>
    <row r="5614" spans="1:4" x14ac:dyDescent="0.25">
      <c r="A5614" s="139" t="s">
        <v>13168</v>
      </c>
      <c r="B5614" s="139" t="s">
        <v>13166</v>
      </c>
      <c r="C5614" s="139" t="s">
        <v>33</v>
      </c>
      <c r="D5614" s="139" t="s">
        <v>13169</v>
      </c>
    </row>
    <row r="5615" spans="1:4" x14ac:dyDescent="0.25">
      <c r="A5615" s="139" t="s">
        <v>13170</v>
      </c>
      <c r="B5615" s="139" t="s">
        <v>13171</v>
      </c>
      <c r="C5615" s="139" t="s">
        <v>33</v>
      </c>
      <c r="D5615" s="139" t="s">
        <v>13172</v>
      </c>
    </row>
    <row r="5616" spans="1:4" x14ac:dyDescent="0.25">
      <c r="A5616" s="139" t="s">
        <v>13173</v>
      </c>
      <c r="B5616" s="139" t="s">
        <v>13171</v>
      </c>
      <c r="C5616" s="139" t="s">
        <v>33</v>
      </c>
      <c r="D5616" s="139" t="s">
        <v>13174</v>
      </c>
    </row>
    <row r="5617" spans="1:4" x14ac:dyDescent="0.25">
      <c r="A5617" s="139" t="s">
        <v>13175</v>
      </c>
      <c r="B5617" s="139" t="s">
        <v>1847</v>
      </c>
      <c r="C5617" s="139" t="s">
        <v>33</v>
      </c>
      <c r="D5617" s="139" t="s">
        <v>13176</v>
      </c>
    </row>
    <row r="5618" spans="1:4" x14ac:dyDescent="0.25">
      <c r="A5618" s="139" t="s">
        <v>13177</v>
      </c>
      <c r="B5618" s="139" t="s">
        <v>1847</v>
      </c>
      <c r="C5618" s="139" t="s">
        <v>33</v>
      </c>
      <c r="D5618" s="139" t="s">
        <v>13178</v>
      </c>
    </row>
    <row r="5619" spans="1:4" x14ac:dyDescent="0.25">
      <c r="A5619" s="139" t="s">
        <v>13179</v>
      </c>
      <c r="B5619" s="139" t="s">
        <v>13180</v>
      </c>
      <c r="C5619" s="139" t="s">
        <v>33</v>
      </c>
      <c r="D5619" s="139" t="s">
        <v>13181</v>
      </c>
    </row>
    <row r="5620" spans="1:4" x14ac:dyDescent="0.25">
      <c r="A5620" s="139" t="s">
        <v>13182</v>
      </c>
      <c r="B5620" s="139" t="s">
        <v>13180</v>
      </c>
      <c r="C5620" s="139" t="s">
        <v>33</v>
      </c>
      <c r="D5620" s="139" t="s">
        <v>13183</v>
      </c>
    </row>
    <row r="5621" spans="1:4" x14ac:dyDescent="0.25">
      <c r="A5621" s="139" t="s">
        <v>13184</v>
      </c>
      <c r="B5621" s="139" t="s">
        <v>13185</v>
      </c>
      <c r="C5621" s="139" t="s">
        <v>33</v>
      </c>
      <c r="D5621" s="139" t="s">
        <v>13186</v>
      </c>
    </row>
    <row r="5622" spans="1:4" x14ac:dyDescent="0.25">
      <c r="A5622" s="139" t="s">
        <v>13187</v>
      </c>
      <c r="B5622" s="139" t="s">
        <v>13185</v>
      </c>
      <c r="C5622" s="139" t="s">
        <v>33</v>
      </c>
      <c r="D5622" s="139" t="s">
        <v>13188</v>
      </c>
    </row>
    <row r="5623" spans="1:4" x14ac:dyDescent="0.25">
      <c r="A5623" s="139" t="s">
        <v>13189</v>
      </c>
      <c r="B5623" s="139" t="s">
        <v>13190</v>
      </c>
      <c r="C5623" s="139" t="s">
        <v>33</v>
      </c>
      <c r="D5623" s="139" t="s">
        <v>13191</v>
      </c>
    </row>
    <row r="5624" spans="1:4" x14ac:dyDescent="0.25">
      <c r="A5624" s="139" t="s">
        <v>13192</v>
      </c>
      <c r="B5624" s="139" t="s">
        <v>13190</v>
      </c>
      <c r="C5624" s="139" t="s">
        <v>33</v>
      </c>
      <c r="D5624" s="139" t="s">
        <v>13193</v>
      </c>
    </row>
    <row r="5625" spans="1:4" x14ac:dyDescent="0.25">
      <c r="A5625" s="139" t="s">
        <v>13194</v>
      </c>
      <c r="B5625" s="139" t="s">
        <v>13195</v>
      </c>
      <c r="C5625" s="139" t="s">
        <v>112</v>
      </c>
      <c r="D5625" s="139" t="s">
        <v>13196</v>
      </c>
    </row>
    <row r="5626" spans="1:4" x14ac:dyDescent="0.25">
      <c r="A5626" s="139" t="s">
        <v>13197</v>
      </c>
      <c r="B5626" s="139" t="s">
        <v>13195</v>
      </c>
      <c r="C5626" s="139" t="s">
        <v>112</v>
      </c>
      <c r="D5626" s="139" t="s">
        <v>13198</v>
      </c>
    </row>
    <row r="5627" spans="1:4" x14ac:dyDescent="0.25">
      <c r="A5627" s="139" t="s">
        <v>13199</v>
      </c>
      <c r="B5627" s="139" t="s">
        <v>13200</v>
      </c>
      <c r="C5627" s="139" t="s">
        <v>112</v>
      </c>
      <c r="D5627" s="139" t="s">
        <v>13201</v>
      </c>
    </row>
    <row r="5628" spans="1:4" x14ac:dyDescent="0.25">
      <c r="A5628" s="139" t="s">
        <v>13202</v>
      </c>
      <c r="B5628" s="139" t="s">
        <v>13200</v>
      </c>
      <c r="C5628" s="139" t="s">
        <v>112</v>
      </c>
      <c r="D5628" s="139" t="s">
        <v>13203</v>
      </c>
    </row>
    <row r="5629" spans="1:4" x14ac:dyDescent="0.25">
      <c r="A5629" s="139" t="s">
        <v>13204</v>
      </c>
      <c r="B5629" s="139" t="s">
        <v>13205</v>
      </c>
      <c r="C5629" s="139" t="s">
        <v>112</v>
      </c>
      <c r="D5629" s="139" t="s">
        <v>13206</v>
      </c>
    </row>
    <row r="5630" spans="1:4" x14ac:dyDescent="0.25">
      <c r="A5630" s="139" t="s">
        <v>13207</v>
      </c>
      <c r="B5630" s="139" t="s">
        <v>13205</v>
      </c>
      <c r="C5630" s="139" t="s">
        <v>112</v>
      </c>
      <c r="D5630" s="139" t="s">
        <v>13208</v>
      </c>
    </row>
    <row r="5631" spans="1:4" x14ac:dyDescent="0.25">
      <c r="A5631" s="139" t="s">
        <v>13209</v>
      </c>
      <c r="B5631" s="139" t="s">
        <v>13210</v>
      </c>
      <c r="C5631" s="139" t="s">
        <v>112</v>
      </c>
      <c r="D5631" s="139" t="s">
        <v>13211</v>
      </c>
    </row>
    <row r="5632" spans="1:4" x14ac:dyDescent="0.25">
      <c r="A5632" s="139" t="s">
        <v>13212</v>
      </c>
      <c r="B5632" s="139" t="s">
        <v>13210</v>
      </c>
      <c r="C5632" s="139" t="s">
        <v>112</v>
      </c>
      <c r="D5632" s="139" t="s">
        <v>13213</v>
      </c>
    </row>
    <row r="5633" spans="1:4" x14ac:dyDescent="0.25">
      <c r="A5633" s="139" t="s">
        <v>13214</v>
      </c>
      <c r="B5633" s="139" t="s">
        <v>3029</v>
      </c>
      <c r="C5633" s="139" t="s">
        <v>112</v>
      </c>
      <c r="D5633" s="139" t="s">
        <v>13215</v>
      </c>
    </row>
    <row r="5634" spans="1:4" x14ac:dyDescent="0.25">
      <c r="A5634" s="139" t="s">
        <v>13216</v>
      </c>
      <c r="B5634" s="139" t="s">
        <v>3029</v>
      </c>
      <c r="C5634" s="139" t="s">
        <v>112</v>
      </c>
      <c r="D5634" s="139" t="s">
        <v>13217</v>
      </c>
    </row>
    <row r="5635" spans="1:4" x14ac:dyDescent="0.25">
      <c r="A5635" s="139" t="s">
        <v>13218</v>
      </c>
      <c r="B5635" s="139" t="s">
        <v>13171</v>
      </c>
      <c r="C5635" s="139" t="s">
        <v>112</v>
      </c>
      <c r="D5635" s="139" t="s">
        <v>13219</v>
      </c>
    </row>
    <row r="5636" spans="1:4" x14ac:dyDescent="0.25">
      <c r="A5636" s="139" t="s">
        <v>13220</v>
      </c>
      <c r="B5636" s="139" t="s">
        <v>13171</v>
      </c>
      <c r="C5636" s="139" t="s">
        <v>112</v>
      </c>
      <c r="D5636" s="139" t="s">
        <v>13221</v>
      </c>
    </row>
    <row r="5637" spans="1:4" x14ac:dyDescent="0.25">
      <c r="A5637" s="139" t="s">
        <v>13222</v>
      </c>
      <c r="B5637" s="139" t="s">
        <v>13223</v>
      </c>
      <c r="C5637" s="139" t="s">
        <v>112</v>
      </c>
      <c r="D5637" s="139" t="s">
        <v>13224</v>
      </c>
    </row>
    <row r="5638" spans="1:4" x14ac:dyDescent="0.25">
      <c r="A5638" s="139" t="s">
        <v>13225</v>
      </c>
      <c r="B5638" s="139" t="s">
        <v>13223</v>
      </c>
      <c r="C5638" s="139" t="s">
        <v>112</v>
      </c>
      <c r="D5638" s="139" t="s">
        <v>13226</v>
      </c>
    </row>
    <row r="5639" spans="1:4" x14ac:dyDescent="0.25">
      <c r="A5639" s="139" t="s">
        <v>13227</v>
      </c>
      <c r="B5639" s="139" t="s">
        <v>13228</v>
      </c>
      <c r="C5639" s="139" t="s">
        <v>112</v>
      </c>
      <c r="D5639" s="139" t="s">
        <v>13229</v>
      </c>
    </row>
    <row r="5640" spans="1:4" x14ac:dyDescent="0.25">
      <c r="A5640" s="139" t="s">
        <v>13230</v>
      </c>
      <c r="B5640" s="139" t="s">
        <v>13228</v>
      </c>
      <c r="C5640" s="139" t="s">
        <v>112</v>
      </c>
      <c r="D5640" s="139" t="s">
        <v>13231</v>
      </c>
    </row>
    <row r="5641" spans="1:4" x14ac:dyDescent="0.25">
      <c r="A5641" s="139" t="s">
        <v>13232</v>
      </c>
      <c r="B5641" s="139" t="s">
        <v>13233</v>
      </c>
      <c r="C5641" s="139" t="s">
        <v>112</v>
      </c>
      <c r="D5641" s="139" t="s">
        <v>13234</v>
      </c>
    </row>
    <row r="5642" spans="1:4" x14ac:dyDescent="0.25">
      <c r="A5642" s="139" t="s">
        <v>13235</v>
      </c>
      <c r="B5642" s="139" t="s">
        <v>13233</v>
      </c>
      <c r="C5642" s="139" t="s">
        <v>112</v>
      </c>
      <c r="D5642" s="139" t="s">
        <v>13236</v>
      </c>
    </row>
    <row r="5643" spans="1:4" x14ac:dyDescent="0.25">
      <c r="A5643" s="139" t="s">
        <v>13237</v>
      </c>
      <c r="B5643" s="139" t="s">
        <v>13238</v>
      </c>
      <c r="C5643" s="139" t="s">
        <v>112</v>
      </c>
      <c r="D5643" s="139" t="s">
        <v>13239</v>
      </c>
    </row>
    <row r="5644" spans="1:4" x14ac:dyDescent="0.25">
      <c r="A5644" s="139" t="s">
        <v>13240</v>
      </c>
      <c r="B5644" s="139" t="s">
        <v>13238</v>
      </c>
      <c r="C5644" s="139" t="s">
        <v>112</v>
      </c>
      <c r="D5644" s="139" t="s">
        <v>13241</v>
      </c>
    </row>
    <row r="5645" spans="1:4" x14ac:dyDescent="0.25">
      <c r="A5645" s="139" t="s">
        <v>13242</v>
      </c>
      <c r="B5645" s="139" t="s">
        <v>13243</v>
      </c>
      <c r="C5645" s="139" t="s">
        <v>535</v>
      </c>
      <c r="D5645" s="139" t="s">
        <v>13244</v>
      </c>
    </row>
    <row r="5646" spans="1:4" x14ac:dyDescent="0.25">
      <c r="A5646" s="139" t="s">
        <v>13245</v>
      </c>
      <c r="B5646" s="139" t="s">
        <v>13243</v>
      </c>
      <c r="C5646" s="139" t="s">
        <v>535</v>
      </c>
      <c r="D5646" s="139" t="s">
        <v>13246</v>
      </c>
    </row>
    <row r="5647" spans="1:4" x14ac:dyDescent="0.25">
      <c r="A5647" s="139" t="s">
        <v>13247</v>
      </c>
      <c r="B5647" s="139" t="s">
        <v>13248</v>
      </c>
      <c r="C5647" s="139" t="s">
        <v>535</v>
      </c>
      <c r="D5647" s="139" t="s">
        <v>13249</v>
      </c>
    </row>
    <row r="5648" spans="1:4" x14ac:dyDescent="0.25">
      <c r="A5648" s="139" t="s">
        <v>13250</v>
      </c>
      <c r="B5648" s="139" t="s">
        <v>13248</v>
      </c>
      <c r="C5648" s="139" t="s">
        <v>535</v>
      </c>
      <c r="D5648" s="139" t="s">
        <v>13251</v>
      </c>
    </row>
    <row r="5649" spans="1:4" x14ac:dyDescent="0.25">
      <c r="A5649" s="139" t="s">
        <v>13252</v>
      </c>
      <c r="B5649" s="139" t="s">
        <v>13253</v>
      </c>
      <c r="C5649" s="139" t="s">
        <v>535</v>
      </c>
      <c r="D5649" s="139" t="s">
        <v>13254</v>
      </c>
    </row>
    <row r="5650" spans="1:4" x14ac:dyDescent="0.25">
      <c r="A5650" s="139" t="s">
        <v>13255</v>
      </c>
      <c r="B5650" s="139" t="s">
        <v>13253</v>
      </c>
      <c r="C5650" s="139" t="s">
        <v>535</v>
      </c>
      <c r="D5650" s="139" t="s">
        <v>13256</v>
      </c>
    </row>
    <row r="5651" spans="1:4" x14ac:dyDescent="0.25">
      <c r="A5651" s="139" t="s">
        <v>13257</v>
      </c>
      <c r="B5651" s="139" t="s">
        <v>13258</v>
      </c>
      <c r="C5651" s="139" t="s">
        <v>535</v>
      </c>
      <c r="D5651" s="139" t="s">
        <v>13259</v>
      </c>
    </row>
    <row r="5652" spans="1:4" x14ac:dyDescent="0.25">
      <c r="A5652" s="139" t="s">
        <v>13260</v>
      </c>
      <c r="B5652" s="139" t="s">
        <v>13258</v>
      </c>
      <c r="C5652" s="139" t="s">
        <v>535</v>
      </c>
      <c r="D5652" s="139" t="s">
        <v>13261</v>
      </c>
    </row>
    <row r="5653" spans="1:4" x14ac:dyDescent="0.25">
      <c r="A5653" s="139" t="s">
        <v>13262</v>
      </c>
      <c r="B5653" s="139" t="s">
        <v>13263</v>
      </c>
      <c r="C5653" s="139" t="s">
        <v>535</v>
      </c>
      <c r="D5653" s="139" t="s">
        <v>13264</v>
      </c>
    </row>
    <row r="5654" spans="1:4" x14ac:dyDescent="0.25">
      <c r="A5654" s="139" t="s">
        <v>13265</v>
      </c>
      <c r="B5654" s="139" t="s">
        <v>13263</v>
      </c>
      <c r="C5654" s="139" t="s">
        <v>535</v>
      </c>
      <c r="D5654" s="139" t="s">
        <v>13266</v>
      </c>
    </row>
    <row r="5655" spans="1:4" x14ac:dyDescent="0.25">
      <c r="A5655" s="139" t="s">
        <v>13267</v>
      </c>
      <c r="B5655" s="139" t="s">
        <v>13268</v>
      </c>
      <c r="C5655" s="139" t="s">
        <v>535</v>
      </c>
      <c r="D5655" s="139" t="s">
        <v>13269</v>
      </c>
    </row>
    <row r="5656" spans="1:4" x14ac:dyDescent="0.25">
      <c r="A5656" s="139" t="s">
        <v>13270</v>
      </c>
      <c r="B5656" s="139" t="s">
        <v>13268</v>
      </c>
      <c r="C5656" s="139" t="s">
        <v>535</v>
      </c>
      <c r="D5656" s="139" t="s">
        <v>13271</v>
      </c>
    </row>
    <row r="5657" spans="1:4" x14ac:dyDescent="0.25">
      <c r="A5657" s="139" t="s">
        <v>13272</v>
      </c>
      <c r="B5657" s="139" t="s">
        <v>13273</v>
      </c>
      <c r="C5657" s="139" t="s">
        <v>535</v>
      </c>
      <c r="D5657" s="139" t="s">
        <v>13274</v>
      </c>
    </row>
    <row r="5658" spans="1:4" x14ac:dyDescent="0.25">
      <c r="A5658" s="139" t="s">
        <v>13275</v>
      </c>
      <c r="B5658" s="139" t="s">
        <v>13273</v>
      </c>
      <c r="C5658" s="139" t="s">
        <v>535</v>
      </c>
      <c r="D5658" s="139" t="s">
        <v>13276</v>
      </c>
    </row>
    <row r="5659" spans="1:4" x14ac:dyDescent="0.25">
      <c r="A5659" s="139" t="s">
        <v>13277</v>
      </c>
      <c r="B5659" s="139" t="s">
        <v>13278</v>
      </c>
      <c r="C5659" s="139" t="s">
        <v>535</v>
      </c>
      <c r="D5659" s="139" t="s">
        <v>13279</v>
      </c>
    </row>
    <row r="5660" spans="1:4" x14ac:dyDescent="0.25">
      <c r="A5660" s="139" t="s">
        <v>13280</v>
      </c>
      <c r="B5660" s="139" t="s">
        <v>13278</v>
      </c>
      <c r="C5660" s="139" t="s">
        <v>535</v>
      </c>
      <c r="D5660" s="139" t="s">
        <v>13281</v>
      </c>
    </row>
    <row r="5661" spans="1:4" x14ac:dyDescent="0.25">
      <c r="A5661" s="139" t="s">
        <v>13282</v>
      </c>
      <c r="B5661" s="139" t="s">
        <v>13283</v>
      </c>
      <c r="C5661" s="139" t="s">
        <v>535</v>
      </c>
      <c r="D5661" s="139" t="s">
        <v>13284</v>
      </c>
    </row>
    <row r="5662" spans="1:4" x14ac:dyDescent="0.25">
      <c r="A5662" s="139" t="s">
        <v>13285</v>
      </c>
      <c r="B5662" s="139" t="s">
        <v>13283</v>
      </c>
      <c r="C5662" s="139" t="s">
        <v>535</v>
      </c>
      <c r="D5662" s="139" t="s">
        <v>13286</v>
      </c>
    </row>
    <row r="5663" spans="1:4" x14ac:dyDescent="0.25">
      <c r="A5663" s="139" t="s">
        <v>13287</v>
      </c>
      <c r="B5663" s="139" t="s">
        <v>13288</v>
      </c>
      <c r="C5663" s="139" t="s">
        <v>535</v>
      </c>
      <c r="D5663" s="139" t="s">
        <v>13289</v>
      </c>
    </row>
    <row r="5664" spans="1:4" x14ac:dyDescent="0.25">
      <c r="A5664" s="139" t="s">
        <v>13290</v>
      </c>
      <c r="B5664" s="139" t="s">
        <v>13288</v>
      </c>
      <c r="C5664" s="139" t="s">
        <v>535</v>
      </c>
      <c r="D5664" s="139" t="s">
        <v>13291</v>
      </c>
    </row>
    <row r="5665" spans="1:4" x14ac:dyDescent="0.25">
      <c r="A5665" s="139" t="s">
        <v>13292</v>
      </c>
      <c r="B5665" s="139" t="s">
        <v>13293</v>
      </c>
      <c r="C5665" s="139" t="s">
        <v>535</v>
      </c>
      <c r="D5665" s="139" t="s">
        <v>13294</v>
      </c>
    </row>
    <row r="5666" spans="1:4" x14ac:dyDescent="0.25">
      <c r="A5666" s="139" t="s">
        <v>13295</v>
      </c>
      <c r="B5666" s="139" t="s">
        <v>13293</v>
      </c>
      <c r="C5666" s="139" t="s">
        <v>535</v>
      </c>
      <c r="D5666" s="139" t="s">
        <v>13296</v>
      </c>
    </row>
    <row r="5667" spans="1:4" x14ac:dyDescent="0.25">
      <c r="A5667" s="139" t="s">
        <v>13297</v>
      </c>
      <c r="B5667" s="139" t="s">
        <v>13088</v>
      </c>
      <c r="C5667" s="139" t="s">
        <v>535</v>
      </c>
      <c r="D5667" s="139" t="s">
        <v>13298</v>
      </c>
    </row>
    <row r="5668" spans="1:4" x14ac:dyDescent="0.25">
      <c r="A5668" s="139" t="s">
        <v>13299</v>
      </c>
      <c r="B5668" s="139" t="s">
        <v>13088</v>
      </c>
      <c r="C5668" s="139" t="s">
        <v>535</v>
      </c>
      <c r="D5668" s="139" t="s">
        <v>13300</v>
      </c>
    </row>
    <row r="5669" spans="1:4" x14ac:dyDescent="0.25">
      <c r="A5669" s="139" t="s">
        <v>13301</v>
      </c>
      <c r="B5669" s="139" t="s">
        <v>13302</v>
      </c>
      <c r="C5669" s="139" t="s">
        <v>535</v>
      </c>
      <c r="D5669" s="139" t="s">
        <v>13303</v>
      </c>
    </row>
    <row r="5670" spans="1:4" x14ac:dyDescent="0.25">
      <c r="A5670" s="139" t="s">
        <v>13304</v>
      </c>
      <c r="B5670" s="139" t="s">
        <v>13302</v>
      </c>
      <c r="C5670" s="139" t="s">
        <v>535</v>
      </c>
      <c r="D5670" s="139" t="s">
        <v>13305</v>
      </c>
    </row>
    <row r="5671" spans="1:4" x14ac:dyDescent="0.25">
      <c r="A5671" s="139" t="s">
        <v>13306</v>
      </c>
      <c r="B5671" s="139" t="s">
        <v>13307</v>
      </c>
      <c r="C5671" s="139" t="s">
        <v>535</v>
      </c>
      <c r="D5671" s="139" t="s">
        <v>13308</v>
      </c>
    </row>
    <row r="5672" spans="1:4" x14ac:dyDescent="0.25">
      <c r="A5672" s="139" t="s">
        <v>13309</v>
      </c>
      <c r="B5672" s="139" t="s">
        <v>13307</v>
      </c>
      <c r="C5672" s="139" t="s">
        <v>535</v>
      </c>
      <c r="D5672" s="139" t="s">
        <v>13310</v>
      </c>
    </row>
    <row r="5673" spans="1:4" x14ac:dyDescent="0.25">
      <c r="A5673" s="139" t="s">
        <v>13311</v>
      </c>
      <c r="B5673" s="139" t="s">
        <v>13312</v>
      </c>
      <c r="C5673" s="139" t="s">
        <v>535</v>
      </c>
      <c r="D5673" s="139" t="s">
        <v>13313</v>
      </c>
    </row>
    <row r="5674" spans="1:4" x14ac:dyDescent="0.25">
      <c r="A5674" s="139" t="s">
        <v>13314</v>
      </c>
      <c r="B5674" s="139" t="s">
        <v>13312</v>
      </c>
      <c r="C5674" s="139" t="s">
        <v>535</v>
      </c>
      <c r="D5674" s="139" t="s">
        <v>13315</v>
      </c>
    </row>
    <row r="5675" spans="1:4" x14ac:dyDescent="0.25">
      <c r="A5675" s="139" t="s">
        <v>13316</v>
      </c>
      <c r="B5675" s="139" t="s">
        <v>13317</v>
      </c>
      <c r="C5675" s="139" t="s">
        <v>535</v>
      </c>
      <c r="D5675" s="139" t="s">
        <v>13318</v>
      </c>
    </row>
    <row r="5676" spans="1:4" x14ac:dyDescent="0.25">
      <c r="A5676" s="139" t="s">
        <v>13319</v>
      </c>
      <c r="B5676" s="139" t="s">
        <v>13317</v>
      </c>
      <c r="C5676" s="139" t="s">
        <v>535</v>
      </c>
      <c r="D5676" s="139" t="s">
        <v>13320</v>
      </c>
    </row>
    <row r="5677" spans="1:4" x14ac:dyDescent="0.25">
      <c r="A5677" s="139" t="s">
        <v>13321</v>
      </c>
      <c r="B5677" s="139" t="s">
        <v>13322</v>
      </c>
      <c r="C5677" s="139" t="s">
        <v>535</v>
      </c>
      <c r="D5677" s="139" t="s">
        <v>13323</v>
      </c>
    </row>
    <row r="5678" spans="1:4" x14ac:dyDescent="0.25">
      <c r="A5678" s="139" t="s">
        <v>13324</v>
      </c>
      <c r="B5678" s="139" t="s">
        <v>13322</v>
      </c>
      <c r="C5678" s="139" t="s">
        <v>535</v>
      </c>
      <c r="D5678" s="139" t="s">
        <v>13325</v>
      </c>
    </row>
    <row r="5679" spans="1:4" x14ac:dyDescent="0.25">
      <c r="A5679" s="139" t="s">
        <v>13326</v>
      </c>
      <c r="B5679" s="139" t="s">
        <v>7763</v>
      </c>
      <c r="C5679" s="139" t="s">
        <v>535</v>
      </c>
      <c r="D5679" s="139" t="s">
        <v>13327</v>
      </c>
    </row>
    <row r="5680" spans="1:4" x14ac:dyDescent="0.25">
      <c r="A5680" s="139" t="s">
        <v>13328</v>
      </c>
      <c r="B5680" s="139" t="s">
        <v>7763</v>
      </c>
      <c r="C5680" s="139" t="s">
        <v>535</v>
      </c>
      <c r="D5680" s="139" t="s">
        <v>13329</v>
      </c>
    </row>
    <row r="5681" spans="1:4" x14ac:dyDescent="0.25">
      <c r="A5681" s="139" t="s">
        <v>13330</v>
      </c>
      <c r="B5681" s="139" t="s">
        <v>13331</v>
      </c>
      <c r="C5681" s="139" t="s">
        <v>65</v>
      </c>
      <c r="D5681" s="139" t="s">
        <v>13332</v>
      </c>
    </row>
    <row r="5682" spans="1:4" x14ac:dyDescent="0.25">
      <c r="A5682" s="139" t="s">
        <v>13333</v>
      </c>
      <c r="B5682" s="139" t="s">
        <v>13331</v>
      </c>
      <c r="C5682" s="139" t="s">
        <v>65</v>
      </c>
      <c r="D5682" s="139" t="s">
        <v>13334</v>
      </c>
    </row>
    <row r="5683" spans="1:4" x14ac:dyDescent="0.25">
      <c r="A5683" s="139" t="s">
        <v>13335</v>
      </c>
      <c r="B5683" s="139" t="s">
        <v>13336</v>
      </c>
      <c r="C5683" s="139" t="s">
        <v>65</v>
      </c>
      <c r="D5683" s="139" t="s">
        <v>13337</v>
      </c>
    </row>
    <row r="5684" spans="1:4" x14ac:dyDescent="0.25">
      <c r="A5684" s="139" t="s">
        <v>13338</v>
      </c>
      <c r="B5684" s="139" t="s">
        <v>13336</v>
      </c>
      <c r="C5684" s="139" t="s">
        <v>65</v>
      </c>
      <c r="D5684" s="139" t="s">
        <v>13339</v>
      </c>
    </row>
    <row r="5685" spans="1:4" x14ac:dyDescent="0.25">
      <c r="A5685" s="139" t="s">
        <v>13340</v>
      </c>
      <c r="B5685" s="139" t="s">
        <v>13341</v>
      </c>
      <c r="C5685" s="139" t="s">
        <v>65</v>
      </c>
      <c r="D5685" s="139" t="s">
        <v>13342</v>
      </c>
    </row>
    <row r="5686" spans="1:4" x14ac:dyDescent="0.25">
      <c r="A5686" s="139" t="s">
        <v>13343</v>
      </c>
      <c r="B5686" s="139" t="s">
        <v>13341</v>
      </c>
      <c r="C5686" s="139" t="s">
        <v>65</v>
      </c>
      <c r="D5686" s="139" t="s">
        <v>13344</v>
      </c>
    </row>
    <row r="5687" spans="1:4" x14ac:dyDescent="0.25">
      <c r="A5687" s="139" t="s">
        <v>13345</v>
      </c>
      <c r="B5687" s="139" t="s">
        <v>13346</v>
      </c>
      <c r="C5687" s="139" t="s">
        <v>65</v>
      </c>
      <c r="D5687" s="139" t="s">
        <v>13347</v>
      </c>
    </row>
    <row r="5688" spans="1:4" x14ac:dyDescent="0.25">
      <c r="A5688" s="139" t="s">
        <v>13348</v>
      </c>
      <c r="B5688" s="139" t="s">
        <v>13346</v>
      </c>
      <c r="C5688" s="139" t="s">
        <v>65</v>
      </c>
      <c r="D5688" s="139" t="s">
        <v>13349</v>
      </c>
    </row>
    <row r="5689" spans="1:4" x14ac:dyDescent="0.25">
      <c r="A5689" s="139" t="s">
        <v>13350</v>
      </c>
      <c r="B5689" s="139" t="s">
        <v>13351</v>
      </c>
      <c r="C5689" s="139" t="s">
        <v>65</v>
      </c>
      <c r="D5689" s="139" t="s">
        <v>13352</v>
      </c>
    </row>
    <row r="5690" spans="1:4" x14ac:dyDescent="0.25">
      <c r="A5690" s="139" t="s">
        <v>13353</v>
      </c>
      <c r="B5690" s="139" t="s">
        <v>13351</v>
      </c>
      <c r="C5690" s="139" t="s">
        <v>65</v>
      </c>
      <c r="D5690" s="139" t="s">
        <v>13354</v>
      </c>
    </row>
    <row r="5691" spans="1:4" x14ac:dyDescent="0.25">
      <c r="A5691" s="139" t="s">
        <v>13355</v>
      </c>
      <c r="B5691" s="139" t="s">
        <v>13356</v>
      </c>
      <c r="C5691" s="139" t="s">
        <v>65</v>
      </c>
      <c r="D5691" s="139" t="s">
        <v>13357</v>
      </c>
    </row>
    <row r="5692" spans="1:4" x14ac:dyDescent="0.25">
      <c r="A5692" s="139" t="s">
        <v>13358</v>
      </c>
      <c r="B5692" s="139" t="s">
        <v>13356</v>
      </c>
      <c r="C5692" s="139" t="s">
        <v>65</v>
      </c>
      <c r="D5692" s="139" t="s">
        <v>13359</v>
      </c>
    </row>
    <row r="5693" spans="1:4" x14ac:dyDescent="0.25">
      <c r="A5693" s="139" t="s">
        <v>13360</v>
      </c>
      <c r="B5693" s="139" t="s">
        <v>13361</v>
      </c>
      <c r="C5693" s="139" t="s">
        <v>65</v>
      </c>
      <c r="D5693" s="139" t="s">
        <v>13362</v>
      </c>
    </row>
    <row r="5694" spans="1:4" x14ac:dyDescent="0.25">
      <c r="A5694" s="139" t="s">
        <v>13363</v>
      </c>
      <c r="B5694" s="139" t="s">
        <v>13361</v>
      </c>
      <c r="C5694" s="139" t="s">
        <v>65</v>
      </c>
      <c r="D5694" s="139" t="s">
        <v>13364</v>
      </c>
    </row>
    <row r="5695" spans="1:4" x14ac:dyDescent="0.25">
      <c r="A5695" s="139" t="s">
        <v>13365</v>
      </c>
      <c r="B5695" s="139" t="s">
        <v>13366</v>
      </c>
      <c r="C5695" s="139" t="s">
        <v>65</v>
      </c>
      <c r="D5695" s="139" t="s">
        <v>13367</v>
      </c>
    </row>
    <row r="5696" spans="1:4" x14ac:dyDescent="0.25">
      <c r="A5696" s="139" t="s">
        <v>13368</v>
      </c>
      <c r="B5696" s="139" t="s">
        <v>13366</v>
      </c>
      <c r="C5696" s="139" t="s">
        <v>65</v>
      </c>
      <c r="D5696" s="139" t="s">
        <v>13369</v>
      </c>
    </row>
    <row r="5697" spans="1:4" x14ac:dyDescent="0.25">
      <c r="A5697" s="139" t="s">
        <v>13370</v>
      </c>
      <c r="B5697" s="139" t="s">
        <v>13371</v>
      </c>
      <c r="C5697" s="139" t="s">
        <v>65</v>
      </c>
      <c r="D5697" s="139" t="s">
        <v>13372</v>
      </c>
    </row>
    <row r="5698" spans="1:4" x14ac:dyDescent="0.25">
      <c r="A5698" s="139" t="s">
        <v>13373</v>
      </c>
      <c r="B5698" s="139" t="s">
        <v>13371</v>
      </c>
      <c r="C5698" s="139" t="s">
        <v>65</v>
      </c>
      <c r="D5698" s="139" t="s">
        <v>13374</v>
      </c>
    </row>
    <row r="5699" spans="1:4" x14ac:dyDescent="0.25">
      <c r="A5699" s="139" t="s">
        <v>13375</v>
      </c>
      <c r="B5699" s="139" t="s">
        <v>13376</v>
      </c>
      <c r="C5699" s="139" t="s">
        <v>65</v>
      </c>
      <c r="D5699" s="139" t="s">
        <v>13377</v>
      </c>
    </row>
    <row r="5700" spans="1:4" x14ac:dyDescent="0.25">
      <c r="A5700" s="139" t="s">
        <v>13378</v>
      </c>
      <c r="B5700" s="139" t="s">
        <v>13376</v>
      </c>
      <c r="C5700" s="139" t="s">
        <v>65</v>
      </c>
      <c r="D5700" s="139" t="s">
        <v>13379</v>
      </c>
    </row>
    <row r="5701" spans="1:4" x14ac:dyDescent="0.25">
      <c r="A5701" s="139" t="s">
        <v>13380</v>
      </c>
      <c r="B5701" s="139" t="s">
        <v>315</v>
      </c>
      <c r="C5701" s="139" t="s">
        <v>65</v>
      </c>
      <c r="D5701" s="139" t="s">
        <v>13381</v>
      </c>
    </row>
    <row r="5702" spans="1:4" x14ac:dyDescent="0.25">
      <c r="A5702" s="139" t="s">
        <v>13382</v>
      </c>
      <c r="B5702" s="139" t="s">
        <v>315</v>
      </c>
      <c r="C5702" s="139" t="s">
        <v>65</v>
      </c>
      <c r="D5702" s="139" t="s">
        <v>13383</v>
      </c>
    </row>
    <row r="5703" spans="1:4" x14ac:dyDescent="0.25">
      <c r="A5703" s="139" t="s">
        <v>13384</v>
      </c>
      <c r="B5703" s="139" t="s">
        <v>2272</v>
      </c>
      <c r="C5703" s="139" t="s">
        <v>658</v>
      </c>
      <c r="D5703" s="139" t="s">
        <v>13385</v>
      </c>
    </row>
    <row r="5704" spans="1:4" x14ac:dyDescent="0.25">
      <c r="A5704" s="139" t="s">
        <v>13386</v>
      </c>
      <c r="B5704" s="139" t="s">
        <v>2272</v>
      </c>
      <c r="C5704" s="139" t="s">
        <v>658</v>
      </c>
      <c r="D5704" s="139" t="s">
        <v>13387</v>
      </c>
    </row>
    <row r="5705" spans="1:4" x14ac:dyDescent="0.25">
      <c r="A5705" s="139" t="s">
        <v>13388</v>
      </c>
      <c r="B5705" s="139" t="s">
        <v>13223</v>
      </c>
      <c r="C5705" s="139" t="s">
        <v>658</v>
      </c>
      <c r="D5705" s="139" t="s">
        <v>13389</v>
      </c>
    </row>
    <row r="5706" spans="1:4" x14ac:dyDescent="0.25">
      <c r="A5706" s="139" t="s">
        <v>13390</v>
      </c>
      <c r="B5706" s="139" t="s">
        <v>13223</v>
      </c>
      <c r="C5706" s="139" t="s">
        <v>658</v>
      </c>
      <c r="D5706" s="139" t="s">
        <v>13391</v>
      </c>
    </row>
    <row r="5707" spans="1:4" x14ac:dyDescent="0.25">
      <c r="A5707" s="139" t="s">
        <v>13392</v>
      </c>
      <c r="B5707" s="139" t="s">
        <v>13393</v>
      </c>
      <c r="C5707" s="139" t="s">
        <v>658</v>
      </c>
      <c r="D5707" s="139" t="s">
        <v>13394</v>
      </c>
    </row>
    <row r="5708" spans="1:4" x14ac:dyDescent="0.25">
      <c r="A5708" s="139" t="s">
        <v>13395</v>
      </c>
      <c r="B5708" s="139" t="s">
        <v>13393</v>
      </c>
      <c r="C5708" s="139" t="s">
        <v>658</v>
      </c>
      <c r="D5708" s="139" t="s">
        <v>13396</v>
      </c>
    </row>
    <row r="5709" spans="1:4" x14ac:dyDescent="0.25">
      <c r="A5709" s="139" t="s">
        <v>13397</v>
      </c>
      <c r="B5709" s="139" t="s">
        <v>13398</v>
      </c>
      <c r="C5709" s="139" t="s">
        <v>658</v>
      </c>
      <c r="D5709" s="139" t="s">
        <v>13399</v>
      </c>
    </row>
    <row r="5710" spans="1:4" x14ac:dyDescent="0.25">
      <c r="A5710" s="139" t="s">
        <v>13400</v>
      </c>
      <c r="B5710" s="139" t="s">
        <v>13398</v>
      </c>
      <c r="C5710" s="139" t="s">
        <v>658</v>
      </c>
      <c r="D5710" s="139" t="s">
        <v>13401</v>
      </c>
    </row>
    <row r="5711" spans="1:4" x14ac:dyDescent="0.25">
      <c r="A5711" s="139" t="s">
        <v>13402</v>
      </c>
      <c r="B5711" s="139" t="s">
        <v>13403</v>
      </c>
      <c r="C5711" s="139" t="s">
        <v>658</v>
      </c>
      <c r="D5711" s="139" t="s">
        <v>13404</v>
      </c>
    </row>
    <row r="5712" spans="1:4" x14ac:dyDescent="0.25">
      <c r="A5712" s="139" t="s">
        <v>13405</v>
      </c>
      <c r="B5712" s="139" t="s">
        <v>13403</v>
      </c>
      <c r="C5712" s="139" t="s">
        <v>658</v>
      </c>
      <c r="D5712" s="139" t="s">
        <v>13406</v>
      </c>
    </row>
    <row r="5713" spans="1:4" x14ac:dyDescent="0.25">
      <c r="A5713" s="139" t="s">
        <v>13407</v>
      </c>
      <c r="B5713" s="139" t="s">
        <v>13408</v>
      </c>
      <c r="C5713" s="139" t="s">
        <v>65</v>
      </c>
      <c r="D5713" s="139" t="s">
        <v>13409</v>
      </c>
    </row>
    <row r="5714" spans="1:4" x14ac:dyDescent="0.25">
      <c r="A5714" s="139" t="s">
        <v>13410</v>
      </c>
      <c r="B5714" s="139" t="s">
        <v>13408</v>
      </c>
      <c r="C5714" s="139" t="s">
        <v>65</v>
      </c>
      <c r="D5714" s="139" t="s">
        <v>13411</v>
      </c>
    </row>
    <row r="5715" spans="1:4" x14ac:dyDescent="0.25">
      <c r="A5715" s="139" t="s">
        <v>13412</v>
      </c>
      <c r="B5715" s="139" t="s">
        <v>13413</v>
      </c>
      <c r="C5715" s="139" t="s">
        <v>33</v>
      </c>
      <c r="D5715" s="139" t="s">
        <v>13414</v>
      </c>
    </row>
    <row r="5716" spans="1:4" x14ac:dyDescent="0.25">
      <c r="A5716" s="139" t="s">
        <v>13415</v>
      </c>
      <c r="B5716" s="139" t="s">
        <v>13413</v>
      </c>
      <c r="C5716" s="139" t="s">
        <v>33</v>
      </c>
      <c r="D5716" s="139" t="s">
        <v>13416</v>
      </c>
    </row>
    <row r="5717" spans="1:4" x14ac:dyDescent="0.25">
      <c r="A5717" s="139" t="s">
        <v>13417</v>
      </c>
      <c r="B5717" s="139" t="s">
        <v>13418</v>
      </c>
      <c r="C5717" s="139" t="s">
        <v>65</v>
      </c>
      <c r="D5717" s="139" t="s">
        <v>13419</v>
      </c>
    </row>
    <row r="5718" spans="1:4" x14ac:dyDescent="0.25">
      <c r="A5718" s="139" t="s">
        <v>13420</v>
      </c>
      <c r="B5718" s="139" t="s">
        <v>13418</v>
      </c>
      <c r="C5718" s="139" t="s">
        <v>65</v>
      </c>
      <c r="D5718" s="139" t="s">
        <v>13421</v>
      </c>
    </row>
    <row r="5719" spans="1:4" x14ac:dyDescent="0.25">
      <c r="A5719" s="139" t="s">
        <v>13422</v>
      </c>
      <c r="B5719" s="139" t="s">
        <v>13423</v>
      </c>
      <c r="C5719" s="139" t="s">
        <v>65</v>
      </c>
      <c r="D5719" s="139" t="s">
        <v>13424</v>
      </c>
    </row>
    <row r="5720" spans="1:4" x14ac:dyDescent="0.25">
      <c r="A5720" s="139" t="s">
        <v>13425</v>
      </c>
      <c r="B5720" s="139" t="s">
        <v>13423</v>
      </c>
      <c r="C5720" s="139" t="s">
        <v>65</v>
      </c>
      <c r="D5720" s="139" t="s">
        <v>13426</v>
      </c>
    </row>
    <row r="5721" spans="1:4" x14ac:dyDescent="0.25">
      <c r="A5721" s="139" t="s">
        <v>13427</v>
      </c>
      <c r="B5721" s="139" t="s">
        <v>13428</v>
      </c>
      <c r="C5721" s="139" t="s">
        <v>65</v>
      </c>
      <c r="D5721" s="139" t="s">
        <v>13429</v>
      </c>
    </row>
    <row r="5722" spans="1:4" x14ac:dyDescent="0.25">
      <c r="A5722" s="139" t="s">
        <v>13430</v>
      </c>
      <c r="B5722" s="139" t="s">
        <v>13428</v>
      </c>
      <c r="C5722" s="139" t="s">
        <v>65</v>
      </c>
      <c r="D5722" s="139" t="s">
        <v>13431</v>
      </c>
    </row>
    <row r="5723" spans="1:4" x14ac:dyDescent="0.25">
      <c r="A5723" s="139" t="s">
        <v>13432</v>
      </c>
      <c r="B5723" s="139" t="s">
        <v>13433</v>
      </c>
      <c r="C5723" s="139" t="s">
        <v>65</v>
      </c>
      <c r="D5723" s="139" t="s">
        <v>13434</v>
      </c>
    </row>
    <row r="5724" spans="1:4" x14ac:dyDescent="0.25">
      <c r="A5724" s="139" t="s">
        <v>13435</v>
      </c>
      <c r="B5724" s="139" t="s">
        <v>13433</v>
      </c>
      <c r="C5724" s="139" t="s">
        <v>65</v>
      </c>
      <c r="D5724" s="139" t="s">
        <v>13436</v>
      </c>
    </row>
    <row r="5725" spans="1:4" x14ac:dyDescent="0.25">
      <c r="A5725" s="139" t="s">
        <v>13437</v>
      </c>
      <c r="B5725" s="139" t="s">
        <v>13438</v>
      </c>
      <c r="C5725" s="139" t="s">
        <v>65</v>
      </c>
      <c r="D5725" s="139" t="s">
        <v>13439</v>
      </c>
    </row>
    <row r="5726" spans="1:4" x14ac:dyDescent="0.25">
      <c r="A5726" s="139" t="s">
        <v>13440</v>
      </c>
      <c r="B5726" s="139" t="s">
        <v>13438</v>
      </c>
      <c r="C5726" s="139" t="s">
        <v>65</v>
      </c>
      <c r="D5726" s="139" t="s">
        <v>13441</v>
      </c>
    </row>
    <row r="5727" spans="1:4" x14ac:dyDescent="0.25">
      <c r="A5727" s="139" t="s">
        <v>13442</v>
      </c>
      <c r="B5727" s="139" t="s">
        <v>13443</v>
      </c>
      <c r="C5727" s="139" t="s">
        <v>33</v>
      </c>
      <c r="D5727" s="139" t="s">
        <v>13444</v>
      </c>
    </row>
    <row r="5728" spans="1:4" x14ac:dyDescent="0.25">
      <c r="A5728" s="139" t="s">
        <v>13445</v>
      </c>
      <c r="B5728" s="139" t="s">
        <v>13443</v>
      </c>
      <c r="C5728" s="139" t="s">
        <v>33</v>
      </c>
      <c r="D5728" s="139" t="s">
        <v>13446</v>
      </c>
    </row>
    <row r="5729" spans="1:4" x14ac:dyDescent="0.25">
      <c r="A5729" s="139" t="s">
        <v>13447</v>
      </c>
      <c r="B5729" s="139" t="s">
        <v>13448</v>
      </c>
      <c r="C5729" s="139" t="s">
        <v>33</v>
      </c>
      <c r="D5729" s="139" t="s">
        <v>13449</v>
      </c>
    </row>
    <row r="5730" spans="1:4" x14ac:dyDescent="0.25">
      <c r="A5730" s="139" t="s">
        <v>13450</v>
      </c>
      <c r="B5730" s="139" t="s">
        <v>13448</v>
      </c>
      <c r="C5730" s="139" t="s">
        <v>33</v>
      </c>
      <c r="D5730" s="139" t="s">
        <v>13451</v>
      </c>
    </row>
    <row r="5731" spans="1:4" x14ac:dyDescent="0.25">
      <c r="A5731" s="139" t="s">
        <v>13452</v>
      </c>
      <c r="B5731" s="139" t="s">
        <v>13453</v>
      </c>
      <c r="C5731" s="139" t="s">
        <v>33</v>
      </c>
      <c r="D5731" s="139" t="s">
        <v>13454</v>
      </c>
    </row>
    <row r="5732" spans="1:4" x14ac:dyDescent="0.25">
      <c r="A5732" s="139" t="s">
        <v>13455</v>
      </c>
      <c r="B5732" s="139" t="s">
        <v>13453</v>
      </c>
      <c r="C5732" s="139" t="s">
        <v>33</v>
      </c>
      <c r="D5732" s="139" t="s">
        <v>13456</v>
      </c>
    </row>
    <row r="5733" spans="1:4" x14ac:dyDescent="0.25">
      <c r="A5733" s="139" t="s">
        <v>13457</v>
      </c>
      <c r="B5733" s="139" t="s">
        <v>13458</v>
      </c>
      <c r="C5733" s="139" t="s">
        <v>65</v>
      </c>
      <c r="D5733" s="139" t="s">
        <v>13459</v>
      </c>
    </row>
    <row r="5734" spans="1:4" x14ac:dyDescent="0.25">
      <c r="A5734" s="139" t="s">
        <v>13460</v>
      </c>
      <c r="B5734" s="139" t="s">
        <v>13458</v>
      </c>
      <c r="C5734" s="139" t="s">
        <v>65</v>
      </c>
      <c r="D5734" s="139" t="s">
        <v>13461</v>
      </c>
    </row>
    <row r="5735" spans="1:4" x14ac:dyDescent="0.25">
      <c r="A5735" s="139" t="s">
        <v>13462</v>
      </c>
      <c r="B5735" s="139" t="s">
        <v>13463</v>
      </c>
      <c r="C5735" s="139" t="s">
        <v>65</v>
      </c>
      <c r="D5735" s="139" t="s">
        <v>13464</v>
      </c>
    </row>
    <row r="5736" spans="1:4" x14ac:dyDescent="0.25">
      <c r="A5736" s="139" t="s">
        <v>13465</v>
      </c>
      <c r="B5736" s="139" t="s">
        <v>13463</v>
      </c>
      <c r="C5736" s="139" t="s">
        <v>65</v>
      </c>
      <c r="D5736" s="139" t="s">
        <v>13466</v>
      </c>
    </row>
    <row r="5737" spans="1:4" x14ac:dyDescent="0.25">
      <c r="A5737" s="139" t="s">
        <v>13467</v>
      </c>
      <c r="B5737" s="139" t="s">
        <v>13468</v>
      </c>
      <c r="C5737" s="139" t="s">
        <v>65</v>
      </c>
      <c r="D5737" s="139" t="s">
        <v>13469</v>
      </c>
    </row>
    <row r="5738" spans="1:4" x14ac:dyDescent="0.25">
      <c r="A5738" s="139" t="s">
        <v>13470</v>
      </c>
      <c r="B5738" s="139" t="s">
        <v>13468</v>
      </c>
      <c r="C5738" s="139" t="s">
        <v>65</v>
      </c>
      <c r="D5738" s="139" t="s">
        <v>13471</v>
      </c>
    </row>
    <row r="5739" spans="1:4" x14ac:dyDescent="0.25">
      <c r="A5739" s="139" t="s">
        <v>13472</v>
      </c>
      <c r="B5739" s="139" t="s">
        <v>13473</v>
      </c>
      <c r="C5739" s="139" t="s">
        <v>65</v>
      </c>
      <c r="D5739" s="139" t="s">
        <v>13474</v>
      </c>
    </row>
    <row r="5740" spans="1:4" x14ac:dyDescent="0.25">
      <c r="A5740" s="139" t="s">
        <v>13475</v>
      </c>
      <c r="B5740" s="139" t="s">
        <v>13473</v>
      </c>
      <c r="C5740" s="139" t="s">
        <v>65</v>
      </c>
      <c r="D5740" s="139" t="s">
        <v>13476</v>
      </c>
    </row>
    <row r="5741" spans="1:4" x14ac:dyDescent="0.25">
      <c r="A5741" s="139" t="s">
        <v>13477</v>
      </c>
      <c r="B5741" s="139" t="s">
        <v>10123</v>
      </c>
      <c r="C5741" s="139" t="s">
        <v>65</v>
      </c>
      <c r="D5741" s="139" t="s">
        <v>13478</v>
      </c>
    </row>
    <row r="5742" spans="1:4" x14ac:dyDescent="0.25">
      <c r="A5742" s="139" t="s">
        <v>13479</v>
      </c>
      <c r="B5742" s="139" t="s">
        <v>10123</v>
      </c>
      <c r="C5742" s="139" t="s">
        <v>65</v>
      </c>
      <c r="D5742" s="139" t="s">
        <v>13480</v>
      </c>
    </row>
    <row r="5743" spans="1:4" x14ac:dyDescent="0.25">
      <c r="A5743" s="139" t="s">
        <v>13481</v>
      </c>
      <c r="B5743" s="139" t="s">
        <v>10138</v>
      </c>
      <c r="C5743" s="139" t="s">
        <v>65</v>
      </c>
      <c r="D5743" s="139" t="s">
        <v>13482</v>
      </c>
    </row>
    <row r="5744" spans="1:4" x14ac:dyDescent="0.25">
      <c r="A5744" s="139" t="s">
        <v>13483</v>
      </c>
      <c r="B5744" s="139" t="s">
        <v>10138</v>
      </c>
      <c r="C5744" s="139" t="s">
        <v>65</v>
      </c>
      <c r="D5744" s="139" t="s">
        <v>13484</v>
      </c>
    </row>
    <row r="5745" spans="1:4" x14ac:dyDescent="0.25">
      <c r="A5745" s="139" t="s">
        <v>13485</v>
      </c>
      <c r="B5745" s="139" t="s">
        <v>10147</v>
      </c>
      <c r="C5745" s="139" t="s">
        <v>65</v>
      </c>
      <c r="D5745" s="139" t="s">
        <v>13486</v>
      </c>
    </row>
    <row r="5746" spans="1:4" x14ac:dyDescent="0.25">
      <c r="A5746" s="139" t="s">
        <v>13487</v>
      </c>
      <c r="B5746" s="139" t="s">
        <v>10147</v>
      </c>
      <c r="C5746" s="139" t="s">
        <v>65</v>
      </c>
      <c r="D5746" s="139" t="s">
        <v>13488</v>
      </c>
    </row>
    <row r="5747" spans="1:4" x14ac:dyDescent="0.25">
      <c r="A5747" s="139" t="s">
        <v>13489</v>
      </c>
      <c r="B5747" s="139" t="s">
        <v>10152</v>
      </c>
      <c r="C5747" s="139" t="s">
        <v>65</v>
      </c>
      <c r="D5747" s="139" t="s">
        <v>13490</v>
      </c>
    </row>
    <row r="5748" spans="1:4" x14ac:dyDescent="0.25">
      <c r="A5748" s="139" t="s">
        <v>13491</v>
      </c>
      <c r="B5748" s="139" t="s">
        <v>10152</v>
      </c>
      <c r="C5748" s="139" t="s">
        <v>65</v>
      </c>
      <c r="D5748" s="139" t="s">
        <v>13492</v>
      </c>
    </row>
    <row r="5749" spans="1:4" x14ac:dyDescent="0.25">
      <c r="A5749" s="139" t="s">
        <v>13493</v>
      </c>
      <c r="B5749" s="139" t="s">
        <v>10157</v>
      </c>
      <c r="C5749" s="139" t="s">
        <v>65</v>
      </c>
      <c r="D5749" s="139" t="s">
        <v>13494</v>
      </c>
    </row>
    <row r="5750" spans="1:4" x14ac:dyDescent="0.25">
      <c r="A5750" s="139" t="s">
        <v>13495</v>
      </c>
      <c r="B5750" s="139" t="s">
        <v>10157</v>
      </c>
      <c r="C5750" s="139" t="s">
        <v>65</v>
      </c>
      <c r="D5750" s="139" t="s">
        <v>13496</v>
      </c>
    </row>
    <row r="5751" spans="1:4" x14ac:dyDescent="0.25">
      <c r="A5751" s="139" t="s">
        <v>13497</v>
      </c>
      <c r="B5751" s="139" t="s">
        <v>13498</v>
      </c>
      <c r="C5751" s="139" t="s">
        <v>33</v>
      </c>
      <c r="D5751" s="139" t="s">
        <v>13499</v>
      </c>
    </row>
    <row r="5752" spans="1:4" x14ac:dyDescent="0.25">
      <c r="A5752" s="139" t="s">
        <v>13500</v>
      </c>
      <c r="B5752" s="139" t="s">
        <v>13498</v>
      </c>
      <c r="C5752" s="139" t="s">
        <v>33</v>
      </c>
      <c r="D5752" s="139" t="s">
        <v>13501</v>
      </c>
    </row>
    <row r="5753" spans="1:4" x14ac:dyDescent="0.25">
      <c r="A5753" s="139" t="s">
        <v>13502</v>
      </c>
      <c r="B5753" s="139" t="s">
        <v>13503</v>
      </c>
      <c r="C5753" s="139" t="s">
        <v>65</v>
      </c>
      <c r="D5753" s="139" t="s">
        <v>13504</v>
      </c>
    </row>
    <row r="5754" spans="1:4" x14ac:dyDescent="0.25">
      <c r="A5754" s="139" t="s">
        <v>13505</v>
      </c>
      <c r="B5754" s="139" t="s">
        <v>13503</v>
      </c>
      <c r="C5754" s="139" t="s">
        <v>65</v>
      </c>
      <c r="D5754" s="139" t="s">
        <v>13506</v>
      </c>
    </row>
    <row r="5755" spans="1:4" x14ac:dyDescent="0.25">
      <c r="A5755" s="139" t="s">
        <v>13507</v>
      </c>
      <c r="B5755" s="139" t="s">
        <v>13508</v>
      </c>
      <c r="C5755" s="139" t="s">
        <v>65</v>
      </c>
      <c r="D5755" s="139" t="s">
        <v>13509</v>
      </c>
    </row>
    <row r="5756" spans="1:4" x14ac:dyDescent="0.25">
      <c r="A5756" s="139" t="s">
        <v>13510</v>
      </c>
      <c r="B5756" s="139" t="s">
        <v>13508</v>
      </c>
      <c r="C5756" s="139" t="s">
        <v>65</v>
      </c>
      <c r="D5756" s="139" t="s">
        <v>13511</v>
      </c>
    </row>
    <row r="5757" spans="1:4" x14ac:dyDescent="0.25">
      <c r="A5757" s="139" t="s">
        <v>13512</v>
      </c>
      <c r="B5757" s="139" t="s">
        <v>13513</v>
      </c>
      <c r="C5757" s="139" t="s">
        <v>65</v>
      </c>
      <c r="D5757" s="139" t="s">
        <v>13514</v>
      </c>
    </row>
    <row r="5758" spans="1:4" x14ac:dyDescent="0.25">
      <c r="A5758" s="139" t="s">
        <v>13515</v>
      </c>
      <c r="B5758" s="139" t="s">
        <v>13513</v>
      </c>
      <c r="C5758" s="139" t="s">
        <v>65</v>
      </c>
      <c r="D5758" s="139" t="s">
        <v>13516</v>
      </c>
    </row>
    <row r="5759" spans="1:4" x14ac:dyDescent="0.25">
      <c r="A5759" s="139" t="s">
        <v>13517</v>
      </c>
      <c r="B5759" s="139" t="s">
        <v>13518</v>
      </c>
      <c r="C5759" s="139" t="s">
        <v>65</v>
      </c>
      <c r="D5759" s="139" t="s">
        <v>13519</v>
      </c>
    </row>
    <row r="5760" spans="1:4" x14ac:dyDescent="0.25">
      <c r="A5760" s="139" t="s">
        <v>13520</v>
      </c>
      <c r="B5760" s="139" t="s">
        <v>13518</v>
      </c>
      <c r="C5760" s="139" t="s">
        <v>65</v>
      </c>
      <c r="D5760" s="139" t="s">
        <v>13521</v>
      </c>
    </row>
    <row r="5761" spans="1:4" x14ac:dyDescent="0.25">
      <c r="A5761" s="139" t="s">
        <v>13522</v>
      </c>
      <c r="B5761" s="139" t="s">
        <v>13523</v>
      </c>
      <c r="C5761" s="139" t="s">
        <v>65</v>
      </c>
      <c r="D5761" s="139" t="s">
        <v>13524</v>
      </c>
    </row>
    <row r="5762" spans="1:4" x14ac:dyDescent="0.25">
      <c r="A5762" s="139" t="s">
        <v>13525</v>
      </c>
      <c r="B5762" s="139" t="s">
        <v>13523</v>
      </c>
      <c r="C5762" s="139" t="s">
        <v>65</v>
      </c>
      <c r="D5762" s="139" t="s">
        <v>13526</v>
      </c>
    </row>
    <row r="5763" spans="1:4" x14ac:dyDescent="0.25">
      <c r="A5763" s="139" t="s">
        <v>13527</v>
      </c>
      <c r="B5763" s="139" t="s">
        <v>13528</v>
      </c>
      <c r="C5763" s="139" t="s">
        <v>65</v>
      </c>
      <c r="D5763" s="139" t="s">
        <v>13529</v>
      </c>
    </row>
    <row r="5764" spans="1:4" x14ac:dyDescent="0.25">
      <c r="A5764" s="139" t="s">
        <v>13530</v>
      </c>
      <c r="B5764" s="139" t="s">
        <v>13528</v>
      </c>
      <c r="C5764" s="139" t="s">
        <v>65</v>
      </c>
      <c r="D5764" s="139" t="s">
        <v>13531</v>
      </c>
    </row>
    <row r="5765" spans="1:4" x14ac:dyDescent="0.25">
      <c r="A5765" s="139" t="s">
        <v>13532</v>
      </c>
      <c r="B5765" s="139" t="s">
        <v>13533</v>
      </c>
      <c r="C5765" s="139" t="s">
        <v>65</v>
      </c>
      <c r="D5765" s="139" t="s">
        <v>13534</v>
      </c>
    </row>
    <row r="5766" spans="1:4" x14ac:dyDescent="0.25">
      <c r="A5766" s="139" t="s">
        <v>13535</v>
      </c>
      <c r="B5766" s="139" t="s">
        <v>13533</v>
      </c>
      <c r="C5766" s="139" t="s">
        <v>65</v>
      </c>
      <c r="D5766" s="139" t="s">
        <v>13536</v>
      </c>
    </row>
    <row r="5767" spans="1:4" x14ac:dyDescent="0.25">
      <c r="A5767" s="139" t="s">
        <v>13537</v>
      </c>
      <c r="B5767" s="139" t="s">
        <v>13538</v>
      </c>
      <c r="C5767" s="139" t="s">
        <v>65</v>
      </c>
      <c r="D5767" s="139" t="s">
        <v>13539</v>
      </c>
    </row>
    <row r="5768" spans="1:4" x14ac:dyDescent="0.25">
      <c r="A5768" s="139" t="s">
        <v>13540</v>
      </c>
      <c r="B5768" s="139" t="s">
        <v>13538</v>
      </c>
      <c r="C5768" s="139" t="s">
        <v>65</v>
      </c>
      <c r="D5768" s="139" t="s">
        <v>13541</v>
      </c>
    </row>
    <row r="5769" spans="1:4" x14ac:dyDescent="0.25">
      <c r="A5769" s="139" t="s">
        <v>13542</v>
      </c>
      <c r="B5769" s="139" t="s">
        <v>11374</v>
      </c>
      <c r="C5769" s="139" t="s">
        <v>65</v>
      </c>
      <c r="D5769" s="139" t="s">
        <v>13543</v>
      </c>
    </row>
    <row r="5770" spans="1:4" x14ac:dyDescent="0.25">
      <c r="A5770" s="139" t="s">
        <v>13544</v>
      </c>
      <c r="B5770" s="139" t="s">
        <v>11374</v>
      </c>
      <c r="C5770" s="139" t="s">
        <v>65</v>
      </c>
      <c r="D5770" s="139" t="s">
        <v>13545</v>
      </c>
    </row>
    <row r="5771" spans="1:4" x14ac:dyDescent="0.25">
      <c r="A5771" s="139" t="s">
        <v>13546</v>
      </c>
      <c r="B5771" s="139" t="s">
        <v>13547</v>
      </c>
      <c r="C5771" s="139" t="s">
        <v>65</v>
      </c>
      <c r="D5771" s="139" t="s">
        <v>13548</v>
      </c>
    </row>
    <row r="5772" spans="1:4" x14ac:dyDescent="0.25">
      <c r="A5772" s="139" t="s">
        <v>13549</v>
      </c>
      <c r="B5772" s="139" t="s">
        <v>13547</v>
      </c>
      <c r="C5772" s="139" t="s">
        <v>65</v>
      </c>
      <c r="D5772" s="139" t="s">
        <v>13550</v>
      </c>
    </row>
    <row r="5773" spans="1:4" x14ac:dyDescent="0.25">
      <c r="A5773" s="139" t="s">
        <v>13551</v>
      </c>
      <c r="B5773" s="139" t="s">
        <v>13552</v>
      </c>
      <c r="C5773" s="139" t="s">
        <v>65</v>
      </c>
      <c r="D5773" s="139" t="s">
        <v>13553</v>
      </c>
    </row>
    <row r="5774" spans="1:4" x14ac:dyDescent="0.25">
      <c r="A5774" s="139" t="s">
        <v>13554</v>
      </c>
      <c r="B5774" s="139" t="s">
        <v>13552</v>
      </c>
      <c r="C5774" s="139" t="s">
        <v>65</v>
      </c>
      <c r="D5774" s="139" t="s">
        <v>13555</v>
      </c>
    </row>
    <row r="5775" spans="1:4" x14ac:dyDescent="0.25">
      <c r="A5775" s="139" t="s">
        <v>13556</v>
      </c>
      <c r="B5775" s="139" t="s">
        <v>13557</v>
      </c>
      <c r="C5775" s="139" t="s">
        <v>65</v>
      </c>
      <c r="D5775" s="139" t="s">
        <v>13558</v>
      </c>
    </row>
    <row r="5776" spans="1:4" x14ac:dyDescent="0.25">
      <c r="A5776" s="139" t="s">
        <v>13559</v>
      </c>
      <c r="B5776" s="139" t="s">
        <v>13557</v>
      </c>
      <c r="C5776" s="139" t="s">
        <v>65</v>
      </c>
      <c r="D5776" s="139" t="s">
        <v>13560</v>
      </c>
    </row>
    <row r="5777" spans="1:4" x14ac:dyDescent="0.25">
      <c r="A5777" s="139" t="s">
        <v>13561</v>
      </c>
      <c r="B5777" s="139" t="s">
        <v>13562</v>
      </c>
      <c r="C5777" s="139" t="s">
        <v>65</v>
      </c>
      <c r="D5777" s="139" t="s">
        <v>13563</v>
      </c>
    </row>
    <row r="5778" spans="1:4" x14ac:dyDescent="0.25">
      <c r="A5778" s="139" t="s">
        <v>13564</v>
      </c>
      <c r="B5778" s="139" t="s">
        <v>13562</v>
      </c>
      <c r="C5778" s="139" t="s">
        <v>65</v>
      </c>
      <c r="D5778" s="139" t="s">
        <v>13565</v>
      </c>
    </row>
    <row r="5779" spans="1:4" x14ac:dyDescent="0.25">
      <c r="A5779" s="139" t="s">
        <v>13566</v>
      </c>
      <c r="B5779" s="139" t="s">
        <v>13567</v>
      </c>
      <c r="C5779" s="139" t="s">
        <v>65</v>
      </c>
      <c r="D5779" s="139" t="s">
        <v>13568</v>
      </c>
    </row>
    <row r="5780" spans="1:4" x14ac:dyDescent="0.25">
      <c r="A5780" s="139" t="s">
        <v>13569</v>
      </c>
      <c r="B5780" s="139" t="s">
        <v>13567</v>
      </c>
      <c r="C5780" s="139" t="s">
        <v>65</v>
      </c>
      <c r="D5780" s="139" t="s">
        <v>13570</v>
      </c>
    </row>
    <row r="5781" spans="1:4" x14ac:dyDescent="0.25">
      <c r="A5781" s="139" t="s">
        <v>13571</v>
      </c>
      <c r="B5781" s="139" t="s">
        <v>9890</v>
      </c>
      <c r="C5781" s="139" t="s">
        <v>65</v>
      </c>
      <c r="D5781" s="139" t="s">
        <v>13572</v>
      </c>
    </row>
    <row r="5782" spans="1:4" x14ac:dyDescent="0.25">
      <c r="A5782" s="139" t="s">
        <v>13573</v>
      </c>
      <c r="B5782" s="139" t="s">
        <v>9890</v>
      </c>
      <c r="C5782" s="139" t="s">
        <v>65</v>
      </c>
      <c r="D5782" s="139" t="s">
        <v>13574</v>
      </c>
    </row>
    <row r="5783" spans="1:4" x14ac:dyDescent="0.25">
      <c r="A5783" s="139" t="s">
        <v>13575</v>
      </c>
      <c r="B5783" s="139" t="s">
        <v>5011</v>
      </c>
      <c r="C5783" s="139" t="s">
        <v>65</v>
      </c>
      <c r="D5783" s="139" t="s">
        <v>13576</v>
      </c>
    </row>
    <row r="5784" spans="1:4" x14ac:dyDescent="0.25">
      <c r="A5784" s="139" t="s">
        <v>13577</v>
      </c>
      <c r="B5784" s="139" t="s">
        <v>5011</v>
      </c>
      <c r="C5784" s="139" t="s">
        <v>65</v>
      </c>
      <c r="D5784" s="139" t="s">
        <v>13578</v>
      </c>
    </row>
    <row r="5785" spans="1:4" x14ac:dyDescent="0.25">
      <c r="A5785" s="139" t="s">
        <v>13579</v>
      </c>
      <c r="B5785" s="139" t="s">
        <v>329</v>
      </c>
      <c r="C5785" s="139" t="s">
        <v>65</v>
      </c>
      <c r="D5785" s="139" t="s">
        <v>13580</v>
      </c>
    </row>
    <row r="5786" spans="1:4" x14ac:dyDescent="0.25">
      <c r="A5786" s="139" t="s">
        <v>13581</v>
      </c>
      <c r="B5786" s="139" t="s">
        <v>1238</v>
      </c>
      <c r="C5786" s="139" t="s">
        <v>65</v>
      </c>
      <c r="D5786" s="139" t="s">
        <v>13582</v>
      </c>
    </row>
    <row r="5787" spans="1:4" x14ac:dyDescent="0.25">
      <c r="A5787" s="139" t="s">
        <v>13583</v>
      </c>
      <c r="B5787" s="139" t="s">
        <v>7389</v>
      </c>
      <c r="C5787" s="139" t="s">
        <v>65</v>
      </c>
      <c r="D5787" s="139" t="s">
        <v>13584</v>
      </c>
    </row>
    <row r="5788" spans="1:4" x14ac:dyDescent="0.25">
      <c r="A5788" s="139" t="s">
        <v>13585</v>
      </c>
      <c r="B5788" s="139" t="s">
        <v>3310</v>
      </c>
      <c r="C5788" s="139" t="s">
        <v>65</v>
      </c>
      <c r="D5788" s="139" t="s">
        <v>13586</v>
      </c>
    </row>
    <row r="5789" spans="1:4" x14ac:dyDescent="0.25">
      <c r="A5789" s="139" t="s">
        <v>13587</v>
      </c>
      <c r="B5789" s="139" t="s">
        <v>5705</v>
      </c>
      <c r="C5789" s="139" t="s">
        <v>65</v>
      </c>
      <c r="D5789" s="139" t="s">
        <v>13588</v>
      </c>
    </row>
    <row r="5790" spans="1:4" x14ac:dyDescent="0.25">
      <c r="A5790" s="139" t="s">
        <v>13589</v>
      </c>
      <c r="B5790" s="139" t="s">
        <v>5695</v>
      </c>
      <c r="C5790" s="139" t="s">
        <v>65</v>
      </c>
      <c r="D5790" s="139" t="s">
        <v>13590</v>
      </c>
    </row>
    <row r="5791" spans="1:4" x14ac:dyDescent="0.25">
      <c r="A5791" s="139" t="s">
        <v>13591</v>
      </c>
      <c r="B5791" s="139" t="s">
        <v>3719</v>
      </c>
      <c r="C5791" s="139" t="s">
        <v>65</v>
      </c>
      <c r="D5791" s="139" t="s">
        <v>13592</v>
      </c>
    </row>
    <row r="5792" spans="1:4" x14ac:dyDescent="0.25">
      <c r="A5792" s="139" t="s">
        <v>13593</v>
      </c>
      <c r="B5792" s="139" t="s">
        <v>4442</v>
      </c>
      <c r="C5792" s="139" t="s">
        <v>65</v>
      </c>
      <c r="D5792" s="139" t="s">
        <v>13594</v>
      </c>
    </row>
    <row r="5793" spans="1:4" x14ac:dyDescent="0.25">
      <c r="A5793" s="139" t="s">
        <v>13595</v>
      </c>
      <c r="B5793" s="139" t="s">
        <v>3383</v>
      </c>
      <c r="C5793" s="139" t="s">
        <v>65</v>
      </c>
      <c r="D5793" s="139" t="s">
        <v>13596</v>
      </c>
    </row>
    <row r="5794" spans="1:4" x14ac:dyDescent="0.25">
      <c r="A5794" s="139" t="s">
        <v>13597</v>
      </c>
      <c r="B5794" s="139" t="s">
        <v>7056</v>
      </c>
      <c r="C5794" s="139" t="s">
        <v>65</v>
      </c>
      <c r="D5794" s="139" t="s">
        <v>13598</v>
      </c>
    </row>
    <row r="5795" spans="1:4" x14ac:dyDescent="0.25">
      <c r="A5795" s="139" t="s">
        <v>13599</v>
      </c>
      <c r="B5795" s="139" t="s">
        <v>4665</v>
      </c>
      <c r="C5795" s="139" t="s">
        <v>44</v>
      </c>
      <c r="D5795" s="139" t="s">
        <v>13600</v>
      </c>
    </row>
    <row r="5796" spans="1:4" x14ac:dyDescent="0.25">
      <c r="A5796" s="139" t="s">
        <v>13601</v>
      </c>
      <c r="B5796" s="139" t="s">
        <v>13602</v>
      </c>
      <c r="C5796" s="139" t="s">
        <v>44</v>
      </c>
      <c r="D5796" s="139" t="s">
        <v>13603</v>
      </c>
    </row>
    <row r="5797" spans="1:4" x14ac:dyDescent="0.25">
      <c r="A5797" s="139" t="s">
        <v>13604</v>
      </c>
      <c r="B5797" s="139" t="s">
        <v>13605</v>
      </c>
      <c r="C5797" s="139" t="s">
        <v>44</v>
      </c>
      <c r="D5797" s="139" t="s">
        <v>13606</v>
      </c>
    </row>
    <row r="5798" spans="1:4" x14ac:dyDescent="0.25">
      <c r="A5798" s="139" t="s">
        <v>13607</v>
      </c>
      <c r="B5798" s="139" t="s">
        <v>13608</v>
      </c>
      <c r="C5798" s="139" t="s">
        <v>65</v>
      </c>
      <c r="D5798" s="139" t="s">
        <v>13609</v>
      </c>
    </row>
    <row r="5799" spans="1:4" x14ac:dyDescent="0.25">
      <c r="A5799" s="139" t="s">
        <v>13610</v>
      </c>
      <c r="B5799" s="139" t="s">
        <v>2153</v>
      </c>
      <c r="C5799" s="139" t="s">
        <v>65</v>
      </c>
      <c r="D5799" s="139" t="s">
        <v>13611</v>
      </c>
    </row>
    <row r="5800" spans="1:4" x14ac:dyDescent="0.25">
      <c r="A5800" s="139" t="s">
        <v>13612</v>
      </c>
      <c r="B5800" s="139" t="s">
        <v>7013</v>
      </c>
      <c r="C5800" s="139" t="s">
        <v>65</v>
      </c>
      <c r="D5800" s="139" t="s">
        <v>13613</v>
      </c>
    </row>
    <row r="5801" spans="1:4" x14ac:dyDescent="0.25">
      <c r="A5801" s="139" t="s">
        <v>13614</v>
      </c>
      <c r="B5801" s="139" t="s">
        <v>4665</v>
      </c>
      <c r="C5801" s="139" t="s">
        <v>65</v>
      </c>
      <c r="D5801" s="139" t="s">
        <v>13615</v>
      </c>
    </row>
    <row r="5802" spans="1:4" x14ac:dyDescent="0.25">
      <c r="A5802" s="139" t="s">
        <v>13616</v>
      </c>
      <c r="B5802" s="139" t="s">
        <v>3344</v>
      </c>
      <c r="C5802" s="139" t="s">
        <v>65</v>
      </c>
      <c r="D5802" s="139" t="s">
        <v>13617</v>
      </c>
    </row>
    <row r="5803" spans="1:4" x14ac:dyDescent="0.25">
      <c r="A5803" s="139" t="s">
        <v>13618</v>
      </c>
      <c r="B5803" s="139" t="s">
        <v>13619</v>
      </c>
      <c r="C5803" s="139" t="s">
        <v>658</v>
      </c>
      <c r="D5803" s="139" t="s">
        <v>13620</v>
      </c>
    </row>
    <row r="5804" spans="1:4" x14ac:dyDescent="0.25">
      <c r="A5804" s="139" t="s">
        <v>13621</v>
      </c>
      <c r="B5804" s="139" t="s">
        <v>13622</v>
      </c>
      <c r="C5804" s="139" t="s">
        <v>112</v>
      </c>
      <c r="D5804" s="139" t="s">
        <v>13623</v>
      </c>
    </row>
    <row r="5805" spans="1:4" x14ac:dyDescent="0.25">
      <c r="A5805" s="139" t="s">
        <v>13624</v>
      </c>
      <c r="B5805" s="139" t="s">
        <v>13625</v>
      </c>
      <c r="C5805" s="139" t="s">
        <v>112</v>
      </c>
      <c r="D5805" s="139" t="s">
        <v>13626</v>
      </c>
    </row>
    <row r="5806" spans="1:4" x14ac:dyDescent="0.25">
      <c r="A5806" s="139" t="s">
        <v>13627</v>
      </c>
      <c r="B5806" s="139" t="s">
        <v>8680</v>
      </c>
      <c r="C5806" s="139" t="s">
        <v>112</v>
      </c>
      <c r="D5806" s="139" t="s">
        <v>13628</v>
      </c>
    </row>
    <row r="5807" spans="1:4" x14ac:dyDescent="0.25">
      <c r="A5807" s="139" t="s">
        <v>13629</v>
      </c>
      <c r="B5807" s="139" t="s">
        <v>13630</v>
      </c>
      <c r="C5807" s="139" t="s">
        <v>112</v>
      </c>
      <c r="D5807" s="139" t="s">
        <v>13631</v>
      </c>
    </row>
    <row r="5808" spans="1:4" x14ac:dyDescent="0.25">
      <c r="A5808" s="139" t="s">
        <v>13632</v>
      </c>
      <c r="B5808" s="139" t="s">
        <v>13633</v>
      </c>
      <c r="C5808" s="139" t="s">
        <v>112</v>
      </c>
      <c r="D5808" s="139" t="s">
        <v>13634</v>
      </c>
    </row>
    <row r="5809" spans="1:4" x14ac:dyDescent="0.25">
      <c r="A5809" s="139" t="s">
        <v>13635</v>
      </c>
      <c r="B5809" s="139" t="s">
        <v>13636</v>
      </c>
      <c r="C5809" s="139" t="s">
        <v>112</v>
      </c>
      <c r="D5809" s="139" t="s">
        <v>13637</v>
      </c>
    </row>
    <row r="5810" spans="1:4" x14ac:dyDescent="0.25">
      <c r="A5810" s="139" t="s">
        <v>13638</v>
      </c>
      <c r="B5810" s="139" t="s">
        <v>13639</v>
      </c>
      <c r="C5810" s="139" t="s">
        <v>112</v>
      </c>
      <c r="D5810" s="139" t="s">
        <v>13640</v>
      </c>
    </row>
    <row r="5811" spans="1:4" x14ac:dyDescent="0.25">
      <c r="A5811" s="139" t="s">
        <v>13641</v>
      </c>
      <c r="B5811" s="139" t="s">
        <v>13642</v>
      </c>
      <c r="C5811" s="139" t="s">
        <v>112</v>
      </c>
      <c r="D5811" s="139" t="s">
        <v>13643</v>
      </c>
    </row>
    <row r="5812" spans="1:4" x14ac:dyDescent="0.25">
      <c r="A5812" s="139" t="s">
        <v>13644</v>
      </c>
      <c r="B5812" s="139" t="s">
        <v>13645</v>
      </c>
      <c r="C5812" s="139" t="s">
        <v>112</v>
      </c>
      <c r="D5812" s="139" t="s">
        <v>13646</v>
      </c>
    </row>
    <row r="5813" spans="1:4" x14ac:dyDescent="0.25">
      <c r="A5813" s="139" t="s">
        <v>13647</v>
      </c>
      <c r="B5813" s="139" t="s">
        <v>13648</v>
      </c>
      <c r="C5813" s="139" t="s">
        <v>112</v>
      </c>
      <c r="D5813" s="139" t="s">
        <v>13649</v>
      </c>
    </row>
    <row r="5814" spans="1:4" x14ac:dyDescent="0.25">
      <c r="A5814" s="139" t="s">
        <v>13650</v>
      </c>
      <c r="B5814" s="139" t="s">
        <v>13651</v>
      </c>
      <c r="C5814" s="139" t="s">
        <v>112</v>
      </c>
      <c r="D5814" s="139" t="s">
        <v>13652</v>
      </c>
    </row>
    <row r="5815" spans="1:4" x14ac:dyDescent="0.25">
      <c r="A5815" s="139" t="s">
        <v>13653</v>
      </c>
      <c r="B5815" s="139" t="s">
        <v>13654</v>
      </c>
      <c r="C5815" s="139" t="s">
        <v>112</v>
      </c>
      <c r="D5815" s="139" t="s">
        <v>13655</v>
      </c>
    </row>
    <row r="5816" spans="1:4" x14ac:dyDescent="0.25">
      <c r="A5816" s="139" t="s">
        <v>13656</v>
      </c>
      <c r="B5816" s="139" t="s">
        <v>13657</v>
      </c>
      <c r="C5816" s="139" t="s">
        <v>112</v>
      </c>
      <c r="D5816" s="139" t="s">
        <v>13658</v>
      </c>
    </row>
    <row r="5817" spans="1:4" x14ac:dyDescent="0.25">
      <c r="A5817" s="139" t="s">
        <v>13659</v>
      </c>
      <c r="B5817" s="139" t="s">
        <v>13660</v>
      </c>
      <c r="C5817" s="139" t="s">
        <v>112</v>
      </c>
      <c r="D5817" s="139" t="s">
        <v>13661</v>
      </c>
    </row>
    <row r="5818" spans="1:4" x14ac:dyDescent="0.25">
      <c r="A5818" s="139" t="s">
        <v>13662</v>
      </c>
      <c r="B5818" s="139" t="s">
        <v>13663</v>
      </c>
      <c r="C5818" s="139" t="s">
        <v>112</v>
      </c>
      <c r="D5818" s="139" t="s">
        <v>13664</v>
      </c>
    </row>
    <row r="5819" spans="1:4" x14ac:dyDescent="0.25">
      <c r="A5819" s="139" t="s">
        <v>13665</v>
      </c>
      <c r="B5819" s="139" t="s">
        <v>13666</v>
      </c>
      <c r="C5819" s="139" t="s">
        <v>112</v>
      </c>
      <c r="D5819" s="139" t="s">
        <v>13667</v>
      </c>
    </row>
    <row r="5820" spans="1:4" x14ac:dyDescent="0.25">
      <c r="A5820" s="139" t="s">
        <v>13668</v>
      </c>
      <c r="B5820" s="139" t="s">
        <v>13669</v>
      </c>
      <c r="C5820" s="139" t="s">
        <v>112</v>
      </c>
      <c r="D5820" s="139" t="s">
        <v>13670</v>
      </c>
    </row>
    <row r="5821" spans="1:4" x14ac:dyDescent="0.25">
      <c r="A5821" s="139" t="s">
        <v>13671</v>
      </c>
      <c r="B5821" s="139" t="s">
        <v>13672</v>
      </c>
      <c r="C5821" s="139" t="s">
        <v>112</v>
      </c>
      <c r="D5821" s="139" t="s">
        <v>13673</v>
      </c>
    </row>
    <row r="5822" spans="1:4" x14ac:dyDescent="0.25">
      <c r="A5822" s="139" t="s">
        <v>13674</v>
      </c>
      <c r="B5822" s="139" t="s">
        <v>4769</v>
      </c>
      <c r="C5822" s="139" t="s">
        <v>112</v>
      </c>
      <c r="D5822" s="139" t="s">
        <v>13675</v>
      </c>
    </row>
    <row r="5823" spans="1:4" x14ac:dyDescent="0.25">
      <c r="A5823" s="139" t="s">
        <v>13676</v>
      </c>
      <c r="B5823" s="139" t="s">
        <v>1305</v>
      </c>
      <c r="C5823" s="139" t="s">
        <v>1683</v>
      </c>
      <c r="D5823" s="139" t="s">
        <v>13677</v>
      </c>
    </row>
    <row r="5824" spans="1:4" x14ac:dyDescent="0.25">
      <c r="A5824" s="139" t="s">
        <v>13678</v>
      </c>
      <c r="B5824" s="139" t="s">
        <v>4778</v>
      </c>
      <c r="C5824" s="139" t="s">
        <v>112</v>
      </c>
      <c r="D5824" s="139" t="s">
        <v>13679</v>
      </c>
    </row>
    <row r="5825" spans="1:4" x14ac:dyDescent="0.25">
      <c r="A5825" s="139" t="s">
        <v>13680</v>
      </c>
      <c r="B5825" s="139" t="s">
        <v>4832</v>
      </c>
      <c r="C5825" s="139" t="s">
        <v>112</v>
      </c>
      <c r="D5825" s="139" t="s">
        <v>13681</v>
      </c>
    </row>
    <row r="5826" spans="1:4" x14ac:dyDescent="0.25">
      <c r="A5826" s="139" t="s">
        <v>13682</v>
      </c>
      <c r="B5826" s="139" t="s">
        <v>4822</v>
      </c>
      <c r="C5826" s="139" t="s">
        <v>112</v>
      </c>
      <c r="D5826" s="139" t="s">
        <v>13683</v>
      </c>
    </row>
    <row r="5827" spans="1:4" x14ac:dyDescent="0.25">
      <c r="A5827" s="139" t="s">
        <v>13684</v>
      </c>
      <c r="B5827" s="139" t="s">
        <v>7264</v>
      </c>
      <c r="C5827" s="139" t="s">
        <v>112</v>
      </c>
      <c r="D5827" s="139" t="s">
        <v>13685</v>
      </c>
    </row>
    <row r="5828" spans="1:4" x14ac:dyDescent="0.25">
      <c r="A5828" s="139" t="s">
        <v>13686</v>
      </c>
      <c r="B5828" s="139" t="s">
        <v>4735</v>
      </c>
      <c r="C5828" s="139" t="s">
        <v>112</v>
      </c>
      <c r="D5828" s="139" t="s">
        <v>13687</v>
      </c>
    </row>
    <row r="5829" spans="1:4" x14ac:dyDescent="0.25">
      <c r="A5829" s="139" t="s">
        <v>13688</v>
      </c>
      <c r="B5829" s="139" t="s">
        <v>7129</v>
      </c>
      <c r="C5829" s="139" t="s">
        <v>112</v>
      </c>
      <c r="D5829" s="139" t="s">
        <v>13689</v>
      </c>
    </row>
    <row r="5830" spans="1:4" x14ac:dyDescent="0.25">
      <c r="A5830" s="139" t="s">
        <v>13690</v>
      </c>
      <c r="B5830" s="139" t="s">
        <v>13691</v>
      </c>
      <c r="C5830" s="139" t="s">
        <v>112</v>
      </c>
      <c r="D5830" s="139" t="s">
        <v>13692</v>
      </c>
    </row>
    <row r="5831" spans="1:4" x14ac:dyDescent="0.25">
      <c r="A5831" s="139" t="s">
        <v>13693</v>
      </c>
      <c r="B5831" s="139" t="s">
        <v>6942</v>
      </c>
      <c r="C5831" s="139" t="s">
        <v>65</v>
      </c>
      <c r="D5831" s="139" t="s">
        <v>13694</v>
      </c>
    </row>
    <row r="5832" spans="1:4" x14ac:dyDescent="0.25">
      <c r="A5832" s="139" t="s">
        <v>13695</v>
      </c>
      <c r="B5832" s="139" t="s">
        <v>3916</v>
      </c>
      <c r="C5832" s="139" t="s">
        <v>65</v>
      </c>
      <c r="D5832" s="139" t="s">
        <v>13696</v>
      </c>
    </row>
    <row r="5833" spans="1:4" x14ac:dyDescent="0.25">
      <c r="A5833" s="139" t="s">
        <v>13697</v>
      </c>
      <c r="B5833" s="139" t="s">
        <v>1504</v>
      </c>
      <c r="C5833" s="139" t="s">
        <v>65</v>
      </c>
      <c r="D5833" s="139" t="s">
        <v>13698</v>
      </c>
    </row>
    <row r="5834" spans="1:4" x14ac:dyDescent="0.25">
      <c r="A5834" s="139" t="s">
        <v>13699</v>
      </c>
      <c r="B5834" s="139" t="s">
        <v>4769</v>
      </c>
      <c r="C5834" s="139" t="s">
        <v>112</v>
      </c>
      <c r="D5834" s="139" t="s">
        <v>13700</v>
      </c>
    </row>
    <row r="5835" spans="1:4" x14ac:dyDescent="0.25">
      <c r="A5835" s="139" t="s">
        <v>13701</v>
      </c>
      <c r="B5835" s="139" t="s">
        <v>1305</v>
      </c>
      <c r="C5835" s="139" t="s">
        <v>1683</v>
      </c>
      <c r="D5835" s="139" t="s">
        <v>13702</v>
      </c>
    </row>
    <row r="5836" spans="1:4" x14ac:dyDescent="0.25">
      <c r="A5836" s="139" t="s">
        <v>13703</v>
      </c>
      <c r="B5836" s="139" t="s">
        <v>4778</v>
      </c>
      <c r="C5836" s="139" t="s">
        <v>112</v>
      </c>
      <c r="D5836" s="139" t="s">
        <v>13704</v>
      </c>
    </row>
    <row r="5837" spans="1:4" x14ac:dyDescent="0.25">
      <c r="A5837" s="139" t="s">
        <v>13705</v>
      </c>
      <c r="B5837" s="139" t="s">
        <v>4832</v>
      </c>
      <c r="C5837" s="139" t="s">
        <v>112</v>
      </c>
      <c r="D5837" s="139" t="s">
        <v>13706</v>
      </c>
    </row>
    <row r="5838" spans="1:4" x14ac:dyDescent="0.25">
      <c r="A5838" s="139" t="s">
        <v>13707</v>
      </c>
      <c r="B5838" s="139" t="s">
        <v>4822</v>
      </c>
      <c r="C5838" s="139" t="s">
        <v>112</v>
      </c>
      <c r="D5838" s="139" t="s">
        <v>13708</v>
      </c>
    </row>
    <row r="5839" spans="1:4" x14ac:dyDescent="0.25">
      <c r="A5839" s="139" t="s">
        <v>13709</v>
      </c>
      <c r="B5839" s="139" t="s">
        <v>4735</v>
      </c>
      <c r="C5839" s="139" t="s">
        <v>112</v>
      </c>
      <c r="D5839" s="139" t="s">
        <v>13710</v>
      </c>
    </row>
    <row r="5840" spans="1:4" x14ac:dyDescent="0.25">
      <c r="A5840" s="139" t="s">
        <v>13711</v>
      </c>
      <c r="B5840" s="139" t="s">
        <v>7129</v>
      </c>
      <c r="C5840" s="139" t="s">
        <v>112</v>
      </c>
      <c r="D5840" s="139" t="s">
        <v>13712</v>
      </c>
    </row>
    <row r="5841" spans="1:4" x14ac:dyDescent="0.25">
      <c r="A5841" s="139" t="s">
        <v>13713</v>
      </c>
      <c r="B5841" s="139" t="s">
        <v>13691</v>
      </c>
      <c r="C5841" s="139" t="s">
        <v>112</v>
      </c>
      <c r="D5841" s="139" t="s">
        <v>13714</v>
      </c>
    </row>
    <row r="5842" spans="1:4" x14ac:dyDescent="0.25">
      <c r="A5842" s="139" t="s">
        <v>13715</v>
      </c>
      <c r="B5842" s="139" t="s">
        <v>329</v>
      </c>
      <c r="C5842" s="139" t="s">
        <v>65</v>
      </c>
      <c r="D5842" s="139" t="s">
        <v>13716</v>
      </c>
    </row>
    <row r="5843" spans="1:4" x14ac:dyDescent="0.25">
      <c r="A5843" s="139" t="s">
        <v>13717</v>
      </c>
      <c r="B5843" s="139" t="s">
        <v>1238</v>
      </c>
      <c r="C5843" s="139" t="s">
        <v>65</v>
      </c>
      <c r="D5843" s="139" t="s">
        <v>13718</v>
      </c>
    </row>
    <row r="5844" spans="1:4" x14ac:dyDescent="0.25">
      <c r="A5844" s="139" t="s">
        <v>13719</v>
      </c>
      <c r="B5844" s="139" t="s">
        <v>7389</v>
      </c>
      <c r="C5844" s="139" t="s">
        <v>65</v>
      </c>
      <c r="D5844" s="139" t="s">
        <v>13720</v>
      </c>
    </row>
    <row r="5845" spans="1:4" x14ac:dyDescent="0.25">
      <c r="A5845" s="139" t="s">
        <v>13721</v>
      </c>
      <c r="B5845" s="139" t="s">
        <v>3310</v>
      </c>
      <c r="C5845" s="139" t="s">
        <v>65</v>
      </c>
      <c r="D5845" s="139" t="s">
        <v>13722</v>
      </c>
    </row>
    <row r="5846" spans="1:4" x14ac:dyDescent="0.25">
      <c r="A5846" s="139" t="s">
        <v>13723</v>
      </c>
      <c r="B5846" s="139" t="s">
        <v>5705</v>
      </c>
      <c r="C5846" s="139" t="s">
        <v>65</v>
      </c>
      <c r="D5846" s="139" t="s">
        <v>13724</v>
      </c>
    </row>
    <row r="5847" spans="1:4" x14ac:dyDescent="0.25">
      <c r="A5847" s="139" t="s">
        <v>13725</v>
      </c>
      <c r="B5847" s="139" t="s">
        <v>5695</v>
      </c>
      <c r="C5847" s="139" t="s">
        <v>65</v>
      </c>
      <c r="D5847" s="139" t="s">
        <v>13726</v>
      </c>
    </row>
    <row r="5848" spans="1:4" x14ac:dyDescent="0.25">
      <c r="A5848" s="139" t="s">
        <v>13727</v>
      </c>
      <c r="B5848" s="139" t="s">
        <v>3719</v>
      </c>
      <c r="C5848" s="139" t="s">
        <v>65</v>
      </c>
      <c r="D5848" s="139" t="s">
        <v>13728</v>
      </c>
    </row>
    <row r="5849" spans="1:4" x14ac:dyDescent="0.25">
      <c r="A5849" s="139" t="s">
        <v>13729</v>
      </c>
      <c r="B5849" s="139" t="s">
        <v>4442</v>
      </c>
      <c r="C5849" s="139" t="s">
        <v>65</v>
      </c>
      <c r="D5849" s="139" t="s">
        <v>13730</v>
      </c>
    </row>
    <row r="5850" spans="1:4" x14ac:dyDescent="0.25">
      <c r="A5850" s="139" t="s">
        <v>13731</v>
      </c>
      <c r="B5850" s="139" t="s">
        <v>3383</v>
      </c>
      <c r="C5850" s="139" t="s">
        <v>65</v>
      </c>
      <c r="D5850" s="139" t="s">
        <v>13732</v>
      </c>
    </row>
    <row r="5851" spans="1:4" x14ac:dyDescent="0.25">
      <c r="A5851" s="139" t="s">
        <v>13733</v>
      </c>
      <c r="B5851" s="139" t="s">
        <v>7056</v>
      </c>
      <c r="C5851" s="139" t="s">
        <v>65</v>
      </c>
      <c r="D5851" s="139" t="s">
        <v>13734</v>
      </c>
    </row>
    <row r="5852" spans="1:4" x14ac:dyDescent="0.25">
      <c r="A5852" s="139" t="s">
        <v>13735</v>
      </c>
      <c r="B5852" s="139" t="s">
        <v>4665</v>
      </c>
      <c r="C5852" s="139" t="s">
        <v>44</v>
      </c>
      <c r="D5852" s="139" t="s">
        <v>13736</v>
      </c>
    </row>
    <row r="5853" spans="1:4" x14ac:dyDescent="0.25">
      <c r="A5853" s="139" t="s">
        <v>13737</v>
      </c>
      <c r="B5853" s="139" t="s">
        <v>13602</v>
      </c>
      <c r="C5853" s="139" t="s">
        <v>44</v>
      </c>
      <c r="D5853" s="139" t="s">
        <v>13738</v>
      </c>
    </row>
    <row r="5854" spans="1:4" x14ac:dyDescent="0.25">
      <c r="A5854" s="139" t="s">
        <v>13739</v>
      </c>
      <c r="B5854" s="139" t="s">
        <v>13605</v>
      </c>
      <c r="C5854" s="139" t="s">
        <v>44</v>
      </c>
      <c r="D5854" s="139" t="s">
        <v>13740</v>
      </c>
    </row>
    <row r="5855" spans="1:4" x14ac:dyDescent="0.25">
      <c r="A5855" s="139" t="s">
        <v>13741</v>
      </c>
      <c r="B5855" s="139" t="s">
        <v>13608</v>
      </c>
      <c r="C5855" s="139" t="s">
        <v>65</v>
      </c>
      <c r="D5855" s="139" t="s">
        <v>13742</v>
      </c>
    </row>
    <row r="5856" spans="1:4" x14ac:dyDescent="0.25">
      <c r="A5856" s="139" t="s">
        <v>13743</v>
      </c>
      <c r="B5856" s="139" t="s">
        <v>2153</v>
      </c>
      <c r="C5856" s="139" t="s">
        <v>65</v>
      </c>
      <c r="D5856" s="139" t="s">
        <v>13744</v>
      </c>
    </row>
    <row r="5857" spans="1:4" x14ac:dyDescent="0.25">
      <c r="A5857" s="139" t="s">
        <v>13745</v>
      </c>
      <c r="B5857" s="139" t="s">
        <v>7013</v>
      </c>
      <c r="C5857" s="139" t="s">
        <v>65</v>
      </c>
      <c r="D5857" s="139" t="s">
        <v>13746</v>
      </c>
    </row>
    <row r="5858" spans="1:4" x14ac:dyDescent="0.25">
      <c r="A5858" s="139" t="s">
        <v>13747</v>
      </c>
      <c r="B5858" s="139" t="s">
        <v>4665</v>
      </c>
      <c r="C5858" s="139" t="s">
        <v>65</v>
      </c>
      <c r="D5858" s="139" t="s">
        <v>13748</v>
      </c>
    </row>
    <row r="5859" spans="1:4" x14ac:dyDescent="0.25">
      <c r="A5859" s="139" t="s">
        <v>13749</v>
      </c>
      <c r="B5859" s="139" t="s">
        <v>3344</v>
      </c>
      <c r="C5859" s="139" t="s">
        <v>65</v>
      </c>
      <c r="D5859" s="139" t="s">
        <v>13750</v>
      </c>
    </row>
    <row r="5860" spans="1:4" x14ac:dyDescent="0.25">
      <c r="A5860" s="139" t="s">
        <v>13751</v>
      </c>
      <c r="B5860" s="139" t="s">
        <v>13619</v>
      </c>
      <c r="C5860" s="139" t="s">
        <v>658</v>
      </c>
      <c r="D5860" s="139" t="s">
        <v>13752</v>
      </c>
    </row>
    <row r="5861" spans="1:4" x14ac:dyDescent="0.25">
      <c r="A5861" s="139" t="s">
        <v>13753</v>
      </c>
      <c r="B5861" s="139" t="s">
        <v>13622</v>
      </c>
      <c r="C5861" s="139" t="s">
        <v>112</v>
      </c>
      <c r="D5861" s="139" t="s">
        <v>13754</v>
      </c>
    </row>
    <row r="5862" spans="1:4" x14ac:dyDescent="0.25">
      <c r="A5862" s="139" t="s">
        <v>13755</v>
      </c>
      <c r="B5862" s="139" t="s">
        <v>13639</v>
      </c>
      <c r="C5862" s="139" t="s">
        <v>112</v>
      </c>
      <c r="D5862" s="139" t="s">
        <v>13756</v>
      </c>
    </row>
    <row r="5863" spans="1:4" x14ac:dyDescent="0.25">
      <c r="A5863" s="139" t="s">
        <v>13757</v>
      </c>
      <c r="B5863" s="139" t="s">
        <v>13642</v>
      </c>
      <c r="C5863" s="139" t="s">
        <v>112</v>
      </c>
      <c r="D5863" s="139" t="s">
        <v>13758</v>
      </c>
    </row>
    <row r="5864" spans="1:4" x14ac:dyDescent="0.25">
      <c r="A5864" s="139" t="s">
        <v>13759</v>
      </c>
      <c r="B5864" s="139" t="s">
        <v>13645</v>
      </c>
      <c r="C5864" s="139" t="s">
        <v>112</v>
      </c>
      <c r="D5864" s="139" t="s">
        <v>13760</v>
      </c>
    </row>
    <row r="5865" spans="1:4" x14ac:dyDescent="0.25">
      <c r="A5865" s="139" t="s">
        <v>13761</v>
      </c>
      <c r="B5865" s="139" t="s">
        <v>13648</v>
      </c>
      <c r="C5865" s="139" t="s">
        <v>112</v>
      </c>
      <c r="D5865" s="139" t="s">
        <v>13762</v>
      </c>
    </row>
    <row r="5866" spans="1:4" x14ac:dyDescent="0.25">
      <c r="A5866" s="139" t="s">
        <v>13763</v>
      </c>
      <c r="B5866" s="139" t="s">
        <v>13651</v>
      </c>
      <c r="C5866" s="139" t="s">
        <v>112</v>
      </c>
      <c r="D5866" s="139" t="s">
        <v>13764</v>
      </c>
    </row>
    <row r="5867" spans="1:4" x14ac:dyDescent="0.25">
      <c r="A5867" s="139" t="s">
        <v>13765</v>
      </c>
      <c r="B5867" s="139" t="s">
        <v>13654</v>
      </c>
      <c r="C5867" s="139" t="s">
        <v>112</v>
      </c>
      <c r="D5867" s="139" t="s">
        <v>13766</v>
      </c>
    </row>
    <row r="5868" spans="1:4" x14ac:dyDescent="0.25">
      <c r="A5868" s="139" t="s">
        <v>13767</v>
      </c>
      <c r="B5868" s="139" t="s">
        <v>13663</v>
      </c>
      <c r="C5868" s="139" t="s">
        <v>112</v>
      </c>
      <c r="D5868" s="139" t="s">
        <v>13768</v>
      </c>
    </row>
    <row r="5869" spans="1:4" x14ac:dyDescent="0.25">
      <c r="A5869" s="139" t="s">
        <v>13769</v>
      </c>
      <c r="B5869" s="139" t="s">
        <v>13666</v>
      </c>
      <c r="C5869" s="139" t="s">
        <v>112</v>
      </c>
      <c r="D5869" s="139" t="s">
        <v>13770</v>
      </c>
    </row>
    <row r="5870" spans="1:4" x14ac:dyDescent="0.25">
      <c r="A5870" s="139" t="s">
        <v>13771</v>
      </c>
      <c r="B5870" s="139" t="s">
        <v>13672</v>
      </c>
      <c r="C5870" s="139" t="s">
        <v>112</v>
      </c>
      <c r="D5870" s="139" t="s">
        <v>13772</v>
      </c>
    </row>
    <row r="5871" spans="1:4" x14ac:dyDescent="0.25">
      <c r="A5871" s="139" t="s">
        <v>13773</v>
      </c>
      <c r="B5871" s="139" t="s">
        <v>6942</v>
      </c>
      <c r="C5871" s="139" t="s">
        <v>65</v>
      </c>
      <c r="D5871" s="139" t="s">
        <v>13774</v>
      </c>
    </row>
    <row r="5872" spans="1:4" x14ac:dyDescent="0.25">
      <c r="A5872" s="139" t="s">
        <v>13775</v>
      </c>
      <c r="B5872" s="139" t="s">
        <v>3916</v>
      </c>
      <c r="C5872" s="139" t="s">
        <v>65</v>
      </c>
      <c r="D5872" s="139" t="s">
        <v>13776</v>
      </c>
    </row>
    <row r="5873" spans="1:4" x14ac:dyDescent="0.25">
      <c r="A5873" s="139" t="s">
        <v>13777</v>
      </c>
      <c r="B5873" s="139" t="s">
        <v>1504</v>
      </c>
      <c r="C5873" s="139" t="s">
        <v>65</v>
      </c>
      <c r="D5873" s="139" t="s">
        <v>13778</v>
      </c>
    </row>
    <row r="5874" spans="1:4" x14ac:dyDescent="0.25">
      <c r="A5874" s="139" t="s">
        <v>13779</v>
      </c>
      <c r="B5874" s="139" t="s">
        <v>13625</v>
      </c>
      <c r="C5874" s="139" t="s">
        <v>112</v>
      </c>
      <c r="D5874" s="139" t="s">
        <v>13780</v>
      </c>
    </row>
    <row r="5875" spans="1:4" x14ac:dyDescent="0.25">
      <c r="A5875" s="139" t="s">
        <v>13781</v>
      </c>
      <c r="B5875" s="139" t="s">
        <v>8680</v>
      </c>
      <c r="C5875" s="139" t="s">
        <v>112</v>
      </c>
      <c r="D5875" s="139" t="s">
        <v>13782</v>
      </c>
    </row>
    <row r="5876" spans="1:4" x14ac:dyDescent="0.25">
      <c r="A5876" s="139" t="s">
        <v>13783</v>
      </c>
      <c r="B5876" s="139" t="s">
        <v>13630</v>
      </c>
      <c r="C5876" s="139" t="s">
        <v>112</v>
      </c>
      <c r="D5876" s="139" t="s">
        <v>13784</v>
      </c>
    </row>
    <row r="5877" spans="1:4" x14ac:dyDescent="0.25">
      <c r="A5877" s="139" t="s">
        <v>13785</v>
      </c>
      <c r="B5877" s="139" t="s">
        <v>13633</v>
      </c>
      <c r="C5877" s="139" t="s">
        <v>112</v>
      </c>
      <c r="D5877" s="139" t="s">
        <v>13786</v>
      </c>
    </row>
    <row r="5878" spans="1:4" x14ac:dyDescent="0.25">
      <c r="A5878" s="139" t="s">
        <v>13787</v>
      </c>
      <c r="B5878" s="139" t="s">
        <v>13636</v>
      </c>
      <c r="C5878" s="139" t="s">
        <v>112</v>
      </c>
      <c r="D5878" s="139" t="s">
        <v>13788</v>
      </c>
    </row>
    <row r="5879" spans="1:4" x14ac:dyDescent="0.25">
      <c r="A5879" s="139" t="s">
        <v>13789</v>
      </c>
      <c r="B5879" s="139" t="s">
        <v>13657</v>
      </c>
      <c r="C5879" s="139" t="s">
        <v>112</v>
      </c>
      <c r="D5879" s="139" t="s">
        <v>13790</v>
      </c>
    </row>
    <row r="5880" spans="1:4" x14ac:dyDescent="0.25">
      <c r="A5880" s="139" t="s">
        <v>13791</v>
      </c>
      <c r="B5880" s="139" t="s">
        <v>13660</v>
      </c>
      <c r="C5880" s="139" t="s">
        <v>112</v>
      </c>
      <c r="D5880" s="139" t="s">
        <v>13792</v>
      </c>
    </row>
    <row r="5881" spans="1:4" x14ac:dyDescent="0.25">
      <c r="A5881" s="139" t="s">
        <v>13793</v>
      </c>
      <c r="B5881" s="139" t="s">
        <v>13669</v>
      </c>
      <c r="C5881" s="139" t="s">
        <v>112</v>
      </c>
      <c r="D5881" s="139" t="s">
        <v>13794</v>
      </c>
    </row>
    <row r="5882" spans="1:4" x14ac:dyDescent="0.25">
      <c r="A5882" s="139" t="s">
        <v>13795</v>
      </c>
      <c r="B5882" s="139" t="s">
        <v>7264</v>
      </c>
      <c r="C5882" s="139" t="s">
        <v>112</v>
      </c>
      <c r="D5882" s="139" t="s">
        <v>13796</v>
      </c>
    </row>
    <row r="5883" spans="1:4" x14ac:dyDescent="0.25">
      <c r="A5883" s="139" t="s">
        <v>13797</v>
      </c>
      <c r="B5883" s="139" t="s">
        <v>13798</v>
      </c>
      <c r="C5883" s="139" t="s">
        <v>33</v>
      </c>
      <c r="D5883" s="139" t="s">
        <v>13799</v>
      </c>
    </row>
    <row r="5884" spans="1:4" x14ac:dyDescent="0.25">
      <c r="A5884" s="139" t="s">
        <v>13800</v>
      </c>
      <c r="B5884" s="139" t="s">
        <v>13798</v>
      </c>
      <c r="C5884" s="139" t="s">
        <v>33</v>
      </c>
      <c r="D5884" s="139" t="s">
        <v>13801</v>
      </c>
    </row>
    <row r="5885" spans="1:4" x14ac:dyDescent="0.25">
      <c r="A5885" s="139" t="s">
        <v>13802</v>
      </c>
      <c r="B5885" s="139" t="s">
        <v>13803</v>
      </c>
      <c r="C5885" s="139" t="s">
        <v>33</v>
      </c>
      <c r="D5885" s="139" t="s">
        <v>13804</v>
      </c>
    </row>
    <row r="5886" spans="1:4" x14ac:dyDescent="0.25">
      <c r="A5886" s="139" t="s">
        <v>13805</v>
      </c>
      <c r="B5886" s="139" t="s">
        <v>13803</v>
      </c>
      <c r="C5886" s="139" t="s">
        <v>33</v>
      </c>
      <c r="D5886" s="139" t="s">
        <v>13806</v>
      </c>
    </row>
    <row r="5887" spans="1:4" x14ac:dyDescent="0.25">
      <c r="A5887" s="139" t="s">
        <v>13807</v>
      </c>
      <c r="B5887" s="139" t="s">
        <v>4875</v>
      </c>
      <c r="C5887" s="139" t="s">
        <v>65</v>
      </c>
      <c r="D5887" s="139" t="s">
        <v>13808</v>
      </c>
    </row>
    <row r="5888" spans="1:4" x14ac:dyDescent="0.25">
      <c r="A5888" s="139" t="s">
        <v>13809</v>
      </c>
      <c r="B5888" s="139" t="s">
        <v>4875</v>
      </c>
      <c r="C5888" s="139" t="s">
        <v>65</v>
      </c>
      <c r="D5888" s="139" t="s">
        <v>13810</v>
      </c>
    </row>
    <row r="5889" spans="1:4" x14ac:dyDescent="0.25">
      <c r="A5889" s="139" t="s">
        <v>13811</v>
      </c>
      <c r="B5889" s="139" t="s">
        <v>13812</v>
      </c>
      <c r="C5889" s="139" t="s">
        <v>65</v>
      </c>
      <c r="D5889" s="139" t="s">
        <v>13813</v>
      </c>
    </row>
    <row r="5890" spans="1:4" x14ac:dyDescent="0.25">
      <c r="A5890" s="139" t="s">
        <v>13814</v>
      </c>
      <c r="B5890" s="139" t="s">
        <v>13812</v>
      </c>
      <c r="C5890" s="139" t="s">
        <v>65</v>
      </c>
      <c r="D5890" s="139" t="s">
        <v>13815</v>
      </c>
    </row>
    <row r="5891" spans="1:4" x14ac:dyDescent="0.25">
      <c r="A5891" s="139" t="s">
        <v>13816</v>
      </c>
      <c r="B5891" s="139" t="s">
        <v>13817</v>
      </c>
      <c r="C5891" s="139" t="s">
        <v>65</v>
      </c>
      <c r="D5891" s="139" t="s">
        <v>13818</v>
      </c>
    </row>
    <row r="5892" spans="1:4" x14ac:dyDescent="0.25">
      <c r="A5892" s="139" t="s">
        <v>13819</v>
      </c>
      <c r="B5892" s="139" t="s">
        <v>13817</v>
      </c>
      <c r="C5892" s="139" t="s">
        <v>65</v>
      </c>
      <c r="D5892" s="139" t="s">
        <v>13820</v>
      </c>
    </row>
    <row r="5893" spans="1:4" x14ac:dyDescent="0.25">
      <c r="A5893" s="139" t="s">
        <v>13821</v>
      </c>
      <c r="B5893" s="139" t="s">
        <v>13822</v>
      </c>
      <c r="C5893" s="139" t="s">
        <v>65</v>
      </c>
      <c r="D5893" s="139" t="s">
        <v>13823</v>
      </c>
    </row>
    <row r="5894" spans="1:4" x14ac:dyDescent="0.25">
      <c r="A5894" s="139" t="s">
        <v>13824</v>
      </c>
      <c r="B5894" s="139" t="s">
        <v>13822</v>
      </c>
      <c r="C5894" s="139" t="s">
        <v>65</v>
      </c>
      <c r="D5894" s="139" t="s">
        <v>13825</v>
      </c>
    </row>
    <row r="5895" spans="1:4" x14ac:dyDescent="0.25">
      <c r="A5895" s="139" t="s">
        <v>13826</v>
      </c>
      <c r="B5895" s="139" t="s">
        <v>6391</v>
      </c>
      <c r="C5895" s="139" t="s">
        <v>65</v>
      </c>
      <c r="D5895" s="139" t="s">
        <v>13827</v>
      </c>
    </row>
    <row r="5896" spans="1:4" x14ac:dyDescent="0.25">
      <c r="A5896" s="139" t="s">
        <v>13828</v>
      </c>
      <c r="B5896" s="139" t="s">
        <v>6391</v>
      </c>
      <c r="C5896" s="139" t="s">
        <v>65</v>
      </c>
      <c r="D5896" s="139" t="s">
        <v>13829</v>
      </c>
    </row>
    <row r="5897" spans="1:4" x14ac:dyDescent="0.25">
      <c r="A5897" s="139" t="s">
        <v>13830</v>
      </c>
      <c r="B5897" s="139" t="s">
        <v>13831</v>
      </c>
      <c r="C5897" s="139" t="s">
        <v>65</v>
      </c>
      <c r="D5897" s="139" t="s">
        <v>13832</v>
      </c>
    </row>
    <row r="5898" spans="1:4" x14ac:dyDescent="0.25">
      <c r="A5898" s="139" t="s">
        <v>13833</v>
      </c>
      <c r="B5898" s="139" t="s">
        <v>13831</v>
      </c>
      <c r="C5898" s="139" t="s">
        <v>65</v>
      </c>
      <c r="D5898" s="139" t="s">
        <v>13834</v>
      </c>
    </row>
    <row r="5899" spans="1:4" x14ac:dyDescent="0.25">
      <c r="A5899" s="139" t="s">
        <v>13835</v>
      </c>
      <c r="B5899" s="139" t="s">
        <v>13836</v>
      </c>
      <c r="C5899" s="139" t="s">
        <v>65</v>
      </c>
      <c r="D5899" s="139" t="s">
        <v>13837</v>
      </c>
    </row>
    <row r="5900" spans="1:4" x14ac:dyDescent="0.25">
      <c r="A5900" s="139" t="s">
        <v>13838</v>
      </c>
      <c r="B5900" s="139" t="s">
        <v>13836</v>
      </c>
      <c r="C5900" s="139" t="s">
        <v>65</v>
      </c>
      <c r="D5900" s="139" t="s">
        <v>13839</v>
      </c>
    </row>
    <row r="5901" spans="1:4" x14ac:dyDescent="0.25">
      <c r="A5901" s="139" t="s">
        <v>13840</v>
      </c>
      <c r="B5901" s="139" t="s">
        <v>5980</v>
      </c>
      <c r="C5901" s="139" t="s">
        <v>65</v>
      </c>
      <c r="D5901" s="139" t="s">
        <v>13841</v>
      </c>
    </row>
    <row r="5902" spans="1:4" x14ac:dyDescent="0.25">
      <c r="A5902" s="139" t="s">
        <v>13842</v>
      </c>
      <c r="B5902" s="139" t="s">
        <v>5980</v>
      </c>
      <c r="C5902" s="139" t="s">
        <v>65</v>
      </c>
      <c r="D5902" s="139" t="s">
        <v>13843</v>
      </c>
    </row>
    <row r="5903" spans="1:4" x14ac:dyDescent="0.25">
      <c r="A5903" s="139" t="s">
        <v>13844</v>
      </c>
      <c r="B5903" s="139" t="s">
        <v>1134</v>
      </c>
      <c r="C5903" s="139" t="s">
        <v>65</v>
      </c>
      <c r="D5903" s="139" t="s">
        <v>13845</v>
      </c>
    </row>
    <row r="5904" spans="1:4" x14ac:dyDescent="0.25">
      <c r="A5904" s="139" t="s">
        <v>13846</v>
      </c>
      <c r="B5904" s="139" t="s">
        <v>1134</v>
      </c>
      <c r="C5904" s="139" t="s">
        <v>65</v>
      </c>
      <c r="D5904" s="139" t="s">
        <v>13847</v>
      </c>
    </row>
    <row r="5905" spans="1:4" x14ac:dyDescent="0.25">
      <c r="A5905" s="139" t="s">
        <v>13848</v>
      </c>
      <c r="B5905" s="139" t="s">
        <v>13849</v>
      </c>
      <c r="C5905" s="139" t="s">
        <v>65</v>
      </c>
      <c r="D5905" s="139" t="s">
        <v>13850</v>
      </c>
    </row>
    <row r="5906" spans="1:4" x14ac:dyDescent="0.25">
      <c r="A5906" s="139" t="s">
        <v>13851</v>
      </c>
      <c r="B5906" s="139" t="s">
        <v>13849</v>
      </c>
      <c r="C5906" s="139" t="s">
        <v>65</v>
      </c>
      <c r="D5906" s="139" t="s">
        <v>13852</v>
      </c>
    </row>
    <row r="5907" spans="1:4" x14ac:dyDescent="0.25">
      <c r="A5907" s="139" t="s">
        <v>13853</v>
      </c>
      <c r="B5907" s="139" t="s">
        <v>1139</v>
      </c>
      <c r="C5907" s="139" t="s">
        <v>65</v>
      </c>
      <c r="D5907" s="139" t="s">
        <v>13854</v>
      </c>
    </row>
    <row r="5908" spans="1:4" x14ac:dyDescent="0.25">
      <c r="A5908" s="139" t="s">
        <v>13855</v>
      </c>
      <c r="B5908" s="139" t="s">
        <v>1139</v>
      </c>
      <c r="C5908" s="139" t="s">
        <v>65</v>
      </c>
      <c r="D5908" s="139" t="s">
        <v>13856</v>
      </c>
    </row>
    <row r="5909" spans="1:4" x14ac:dyDescent="0.25">
      <c r="A5909" s="139" t="s">
        <v>13857</v>
      </c>
      <c r="B5909" s="139" t="s">
        <v>13691</v>
      </c>
      <c r="C5909" s="139" t="s">
        <v>112</v>
      </c>
      <c r="D5909" s="139" t="s">
        <v>13858</v>
      </c>
    </row>
    <row r="5910" spans="1:4" x14ac:dyDescent="0.25">
      <c r="A5910" s="139" t="s">
        <v>13859</v>
      </c>
      <c r="B5910" s="139" t="s">
        <v>13691</v>
      </c>
      <c r="C5910" s="139" t="s">
        <v>112</v>
      </c>
      <c r="D5910" s="139" t="s">
        <v>13860</v>
      </c>
    </row>
    <row r="5911" spans="1:4" x14ac:dyDescent="0.25">
      <c r="A5911" s="139" t="s">
        <v>13861</v>
      </c>
      <c r="B5911" s="139" t="s">
        <v>13862</v>
      </c>
      <c r="C5911" s="139" t="s">
        <v>65</v>
      </c>
      <c r="D5911" s="139" t="s">
        <v>13863</v>
      </c>
    </row>
    <row r="5912" spans="1:4" x14ac:dyDescent="0.25">
      <c r="A5912" s="139" t="s">
        <v>13864</v>
      </c>
      <c r="B5912" s="139" t="s">
        <v>13862</v>
      </c>
      <c r="C5912" s="139" t="s">
        <v>65</v>
      </c>
      <c r="D5912" s="139" t="s">
        <v>13865</v>
      </c>
    </row>
    <row r="5913" spans="1:4" x14ac:dyDescent="0.25">
      <c r="A5913" s="139" t="s">
        <v>13866</v>
      </c>
      <c r="B5913" s="139" t="s">
        <v>4381</v>
      </c>
      <c r="C5913" s="139" t="s">
        <v>123</v>
      </c>
      <c r="D5913" s="139" t="s">
        <v>13867</v>
      </c>
    </row>
    <row r="5914" spans="1:4" x14ac:dyDescent="0.25">
      <c r="A5914" s="139" t="s">
        <v>13868</v>
      </c>
      <c r="B5914" s="139" t="s">
        <v>4381</v>
      </c>
      <c r="C5914" s="139" t="s">
        <v>123</v>
      </c>
      <c r="D5914" s="139" t="s">
        <v>13869</v>
      </c>
    </row>
    <row r="5915" spans="1:4" x14ac:dyDescent="0.25">
      <c r="A5915" s="139" t="s">
        <v>13870</v>
      </c>
      <c r="B5915" s="139" t="s">
        <v>1305</v>
      </c>
      <c r="C5915" s="139" t="s">
        <v>1683</v>
      </c>
      <c r="D5915" s="139" t="s">
        <v>13871</v>
      </c>
    </row>
    <row r="5916" spans="1:4" x14ac:dyDescent="0.25">
      <c r="A5916" s="139" t="s">
        <v>13872</v>
      </c>
      <c r="B5916" s="139" t="s">
        <v>1305</v>
      </c>
      <c r="C5916" s="139" t="s">
        <v>1683</v>
      </c>
      <c r="D5916" s="139" t="s">
        <v>13873</v>
      </c>
    </row>
    <row r="5917" spans="1:4" x14ac:dyDescent="0.25">
      <c r="A5917" s="139" t="s">
        <v>13874</v>
      </c>
      <c r="B5917" s="139" t="s">
        <v>13875</v>
      </c>
      <c r="C5917" s="139" t="s">
        <v>65</v>
      </c>
      <c r="D5917" s="139" t="s">
        <v>13876</v>
      </c>
    </row>
    <row r="5918" spans="1:4" x14ac:dyDescent="0.25">
      <c r="A5918" s="139" t="s">
        <v>13877</v>
      </c>
      <c r="B5918" s="139" t="s">
        <v>13875</v>
      </c>
      <c r="C5918" s="139" t="s">
        <v>65</v>
      </c>
      <c r="D5918" s="139" t="s">
        <v>13878</v>
      </c>
    </row>
    <row r="5919" spans="1:4" x14ac:dyDescent="0.25">
      <c r="A5919" s="139" t="s">
        <v>13879</v>
      </c>
      <c r="B5919" s="139" t="s">
        <v>13880</v>
      </c>
      <c r="C5919" s="139" t="s">
        <v>33</v>
      </c>
      <c r="D5919" s="139" t="s">
        <v>13881</v>
      </c>
    </row>
    <row r="5920" spans="1:4" x14ac:dyDescent="0.25">
      <c r="A5920" s="139" t="s">
        <v>13882</v>
      </c>
      <c r="B5920" s="139" t="s">
        <v>13880</v>
      </c>
      <c r="C5920" s="139" t="s">
        <v>33</v>
      </c>
      <c r="D5920" s="139" t="s">
        <v>13883</v>
      </c>
    </row>
    <row r="5921" spans="1:4" x14ac:dyDescent="0.25">
      <c r="A5921" s="139" t="s">
        <v>13884</v>
      </c>
      <c r="B5921" s="139" t="s">
        <v>13885</v>
      </c>
      <c r="C5921" s="139" t="s">
        <v>33</v>
      </c>
      <c r="D5921" s="139" t="s">
        <v>13886</v>
      </c>
    </row>
    <row r="5922" spans="1:4" x14ac:dyDescent="0.25">
      <c r="A5922" s="139" t="s">
        <v>13887</v>
      </c>
      <c r="B5922" s="139" t="s">
        <v>13885</v>
      </c>
      <c r="C5922" s="139" t="s">
        <v>33</v>
      </c>
      <c r="D5922" s="139" t="s">
        <v>13888</v>
      </c>
    </row>
    <row r="5923" spans="1:4" x14ac:dyDescent="0.25">
      <c r="A5923" s="139" t="s">
        <v>13889</v>
      </c>
      <c r="B5923" s="139" t="s">
        <v>13890</v>
      </c>
      <c r="C5923" s="139" t="s">
        <v>33</v>
      </c>
      <c r="D5923" s="139" t="s">
        <v>13891</v>
      </c>
    </row>
    <row r="5924" spans="1:4" x14ac:dyDescent="0.25">
      <c r="A5924" s="139" t="s">
        <v>13892</v>
      </c>
      <c r="B5924" s="139" t="s">
        <v>13890</v>
      </c>
      <c r="C5924" s="139" t="s">
        <v>33</v>
      </c>
      <c r="D5924" s="139" t="s">
        <v>13893</v>
      </c>
    </row>
    <row r="5925" spans="1:4" x14ac:dyDescent="0.25">
      <c r="A5925" s="139" t="s">
        <v>13894</v>
      </c>
      <c r="B5925" s="139" t="s">
        <v>13895</v>
      </c>
      <c r="C5925" s="139" t="s">
        <v>33</v>
      </c>
      <c r="D5925" s="139" t="s">
        <v>13896</v>
      </c>
    </row>
    <row r="5926" spans="1:4" x14ac:dyDescent="0.25">
      <c r="A5926" s="139" t="s">
        <v>13897</v>
      </c>
      <c r="B5926" s="139" t="s">
        <v>13895</v>
      </c>
      <c r="C5926" s="139" t="s">
        <v>33</v>
      </c>
      <c r="D5926" s="139" t="s">
        <v>13898</v>
      </c>
    </row>
    <row r="5927" spans="1:4" x14ac:dyDescent="0.25">
      <c r="A5927" s="139" t="s">
        <v>13899</v>
      </c>
      <c r="B5927" s="139" t="s">
        <v>5900</v>
      </c>
      <c r="C5927" s="139" t="s">
        <v>33</v>
      </c>
      <c r="D5927" s="139" t="s">
        <v>13900</v>
      </c>
    </row>
    <row r="5928" spans="1:4" x14ac:dyDescent="0.25">
      <c r="A5928" s="139" t="s">
        <v>13901</v>
      </c>
      <c r="B5928" s="139" t="s">
        <v>5900</v>
      </c>
      <c r="C5928" s="139" t="s">
        <v>33</v>
      </c>
      <c r="D5928" s="139" t="s">
        <v>13902</v>
      </c>
    </row>
    <row r="5929" spans="1:4" x14ac:dyDescent="0.25">
      <c r="A5929" s="139" t="s">
        <v>13903</v>
      </c>
      <c r="B5929" s="139" t="s">
        <v>13904</v>
      </c>
      <c r="C5929" s="139" t="s">
        <v>33</v>
      </c>
      <c r="D5929" s="139" t="s">
        <v>13905</v>
      </c>
    </row>
    <row r="5930" spans="1:4" x14ac:dyDescent="0.25">
      <c r="A5930" s="139" t="s">
        <v>13906</v>
      </c>
      <c r="B5930" s="139" t="s">
        <v>13904</v>
      </c>
      <c r="C5930" s="139" t="s">
        <v>33</v>
      </c>
      <c r="D5930" s="139" t="s">
        <v>13907</v>
      </c>
    </row>
    <row r="5931" spans="1:4" x14ac:dyDescent="0.25">
      <c r="A5931" s="139" t="s">
        <v>13908</v>
      </c>
      <c r="B5931" s="139" t="s">
        <v>13909</v>
      </c>
      <c r="C5931" s="139" t="s">
        <v>112</v>
      </c>
      <c r="D5931" s="139" t="s">
        <v>13910</v>
      </c>
    </row>
    <row r="5932" spans="1:4" x14ac:dyDescent="0.25">
      <c r="A5932" s="139" t="s">
        <v>13911</v>
      </c>
      <c r="B5932" s="139" t="s">
        <v>13909</v>
      </c>
      <c r="C5932" s="139" t="s">
        <v>112</v>
      </c>
      <c r="D5932" s="139" t="s">
        <v>13912</v>
      </c>
    </row>
    <row r="5933" spans="1:4" x14ac:dyDescent="0.25">
      <c r="A5933" s="139" t="s">
        <v>13913</v>
      </c>
      <c r="B5933" s="139" t="s">
        <v>13914</v>
      </c>
      <c r="C5933" s="139" t="s">
        <v>112</v>
      </c>
      <c r="D5933" s="139" t="s">
        <v>13915</v>
      </c>
    </row>
    <row r="5934" spans="1:4" x14ac:dyDescent="0.25">
      <c r="A5934" s="139" t="s">
        <v>13916</v>
      </c>
      <c r="B5934" s="139" t="s">
        <v>13914</v>
      </c>
      <c r="C5934" s="139" t="s">
        <v>112</v>
      </c>
      <c r="D5934" s="139" t="s">
        <v>13917</v>
      </c>
    </row>
    <row r="5935" spans="1:4" x14ac:dyDescent="0.25">
      <c r="A5935" s="139" t="s">
        <v>13918</v>
      </c>
      <c r="B5935" s="139" t="s">
        <v>13636</v>
      </c>
      <c r="C5935" s="139" t="s">
        <v>112</v>
      </c>
      <c r="D5935" s="139" t="s">
        <v>13919</v>
      </c>
    </row>
    <row r="5936" spans="1:4" x14ac:dyDescent="0.25">
      <c r="A5936" s="139" t="s">
        <v>13920</v>
      </c>
      <c r="B5936" s="139" t="s">
        <v>13636</v>
      </c>
      <c r="C5936" s="139" t="s">
        <v>112</v>
      </c>
      <c r="D5936" s="139" t="s">
        <v>13921</v>
      </c>
    </row>
    <row r="5937" spans="1:4" x14ac:dyDescent="0.25">
      <c r="A5937" s="139" t="s">
        <v>13922</v>
      </c>
      <c r="B5937" s="139" t="s">
        <v>13923</v>
      </c>
      <c r="C5937" s="139" t="s">
        <v>112</v>
      </c>
      <c r="D5937" s="139" t="s">
        <v>13924</v>
      </c>
    </row>
    <row r="5938" spans="1:4" x14ac:dyDescent="0.25">
      <c r="A5938" s="139" t="s">
        <v>13925</v>
      </c>
      <c r="B5938" s="139" t="s">
        <v>13923</v>
      </c>
      <c r="C5938" s="139" t="s">
        <v>112</v>
      </c>
      <c r="D5938" s="139" t="s">
        <v>13926</v>
      </c>
    </row>
    <row r="5939" spans="1:4" x14ac:dyDescent="0.25">
      <c r="A5939" s="139" t="s">
        <v>13927</v>
      </c>
      <c r="B5939" s="139" t="s">
        <v>13928</v>
      </c>
      <c r="C5939" s="139" t="s">
        <v>112</v>
      </c>
      <c r="D5939" s="139" t="s">
        <v>13929</v>
      </c>
    </row>
    <row r="5940" spans="1:4" x14ac:dyDescent="0.25">
      <c r="A5940" s="139" t="s">
        <v>13930</v>
      </c>
      <c r="B5940" s="139" t="s">
        <v>13928</v>
      </c>
      <c r="C5940" s="139" t="s">
        <v>112</v>
      </c>
      <c r="D5940" s="139" t="s">
        <v>13931</v>
      </c>
    </row>
    <row r="5941" spans="1:4" x14ac:dyDescent="0.25">
      <c r="A5941" s="139" t="s">
        <v>13932</v>
      </c>
      <c r="B5941" s="139" t="s">
        <v>12860</v>
      </c>
      <c r="C5941" s="139" t="s">
        <v>112</v>
      </c>
      <c r="D5941" s="139" t="s">
        <v>13933</v>
      </c>
    </row>
    <row r="5942" spans="1:4" x14ac:dyDescent="0.25">
      <c r="A5942" s="139" t="s">
        <v>13934</v>
      </c>
      <c r="B5942" s="139" t="s">
        <v>12860</v>
      </c>
      <c r="C5942" s="139" t="s">
        <v>112</v>
      </c>
      <c r="D5942" s="139" t="s">
        <v>13935</v>
      </c>
    </row>
    <row r="5943" spans="1:4" x14ac:dyDescent="0.25">
      <c r="A5943" s="139" t="s">
        <v>13936</v>
      </c>
      <c r="B5943" s="139" t="s">
        <v>13937</v>
      </c>
      <c r="C5943" s="139" t="s">
        <v>112</v>
      </c>
      <c r="D5943" s="139" t="s">
        <v>13938</v>
      </c>
    </row>
    <row r="5944" spans="1:4" x14ac:dyDescent="0.25">
      <c r="A5944" s="139" t="s">
        <v>13939</v>
      </c>
      <c r="B5944" s="139" t="s">
        <v>13937</v>
      </c>
      <c r="C5944" s="139" t="s">
        <v>112</v>
      </c>
      <c r="D5944" s="139" t="s">
        <v>13940</v>
      </c>
    </row>
    <row r="5945" spans="1:4" x14ac:dyDescent="0.25">
      <c r="A5945" s="139" t="s">
        <v>13941</v>
      </c>
      <c r="B5945" s="139" t="s">
        <v>13942</v>
      </c>
      <c r="C5945" s="139" t="s">
        <v>112</v>
      </c>
      <c r="D5945" s="139" t="s">
        <v>13943</v>
      </c>
    </row>
    <row r="5946" spans="1:4" x14ac:dyDescent="0.25">
      <c r="A5946" s="139" t="s">
        <v>13944</v>
      </c>
      <c r="B5946" s="139" t="s">
        <v>13942</v>
      </c>
      <c r="C5946" s="139" t="s">
        <v>112</v>
      </c>
      <c r="D5946" s="139" t="s">
        <v>13945</v>
      </c>
    </row>
    <row r="5947" spans="1:4" x14ac:dyDescent="0.25">
      <c r="A5947" s="139" t="s">
        <v>13946</v>
      </c>
      <c r="B5947" s="139" t="s">
        <v>13654</v>
      </c>
      <c r="C5947" s="139" t="s">
        <v>112</v>
      </c>
      <c r="D5947" s="139" t="s">
        <v>13947</v>
      </c>
    </row>
    <row r="5948" spans="1:4" x14ac:dyDescent="0.25">
      <c r="A5948" s="139" t="s">
        <v>13948</v>
      </c>
      <c r="B5948" s="139" t="s">
        <v>13654</v>
      </c>
      <c r="C5948" s="139" t="s">
        <v>112</v>
      </c>
      <c r="D5948" s="139" t="s">
        <v>13949</v>
      </c>
    </row>
    <row r="5949" spans="1:4" x14ac:dyDescent="0.25">
      <c r="A5949" s="139" t="s">
        <v>13950</v>
      </c>
      <c r="B5949" s="139" t="s">
        <v>8487</v>
      </c>
      <c r="C5949" s="139" t="s">
        <v>112</v>
      </c>
      <c r="D5949" s="139" t="s">
        <v>13951</v>
      </c>
    </row>
    <row r="5950" spans="1:4" x14ac:dyDescent="0.25">
      <c r="A5950" s="139" t="s">
        <v>13952</v>
      </c>
      <c r="B5950" s="139" t="s">
        <v>8487</v>
      </c>
      <c r="C5950" s="139" t="s">
        <v>112</v>
      </c>
      <c r="D5950" s="139" t="s">
        <v>13953</v>
      </c>
    </row>
    <row r="5951" spans="1:4" x14ac:dyDescent="0.25">
      <c r="A5951" s="139" t="s">
        <v>13954</v>
      </c>
      <c r="B5951" s="139" t="s">
        <v>7441</v>
      </c>
      <c r="C5951" s="139" t="s">
        <v>112</v>
      </c>
      <c r="D5951" s="139" t="s">
        <v>13955</v>
      </c>
    </row>
    <row r="5952" spans="1:4" x14ac:dyDescent="0.25">
      <c r="A5952" s="139" t="s">
        <v>13956</v>
      </c>
      <c r="B5952" s="139" t="s">
        <v>7441</v>
      </c>
      <c r="C5952" s="139" t="s">
        <v>112</v>
      </c>
      <c r="D5952" s="139" t="s">
        <v>13957</v>
      </c>
    </row>
    <row r="5953" spans="1:4" x14ac:dyDescent="0.25">
      <c r="A5953" s="139" t="s">
        <v>13958</v>
      </c>
      <c r="B5953" s="139" t="s">
        <v>13959</v>
      </c>
      <c r="C5953" s="139" t="s">
        <v>112</v>
      </c>
      <c r="D5953" s="139" t="s">
        <v>13960</v>
      </c>
    </row>
    <row r="5954" spans="1:4" x14ac:dyDescent="0.25">
      <c r="A5954" s="139" t="s">
        <v>13961</v>
      </c>
      <c r="B5954" s="139" t="s">
        <v>13959</v>
      </c>
      <c r="C5954" s="139" t="s">
        <v>112</v>
      </c>
      <c r="D5954" s="139" t="s">
        <v>13962</v>
      </c>
    </row>
    <row r="5955" spans="1:4" x14ac:dyDescent="0.25">
      <c r="A5955" s="139" t="s">
        <v>13963</v>
      </c>
      <c r="B5955" s="139" t="s">
        <v>13964</v>
      </c>
      <c r="C5955" s="139" t="s">
        <v>112</v>
      </c>
      <c r="D5955" s="139" t="s">
        <v>13965</v>
      </c>
    </row>
    <row r="5956" spans="1:4" x14ac:dyDescent="0.25">
      <c r="A5956" s="139" t="s">
        <v>13966</v>
      </c>
      <c r="B5956" s="139" t="s">
        <v>13964</v>
      </c>
      <c r="C5956" s="139" t="s">
        <v>112</v>
      </c>
      <c r="D5956" s="139" t="s">
        <v>13967</v>
      </c>
    </row>
    <row r="5957" spans="1:4" x14ac:dyDescent="0.25">
      <c r="A5957" s="139" t="s">
        <v>13968</v>
      </c>
      <c r="B5957" s="139" t="s">
        <v>11527</v>
      </c>
      <c r="C5957" s="139" t="s">
        <v>112</v>
      </c>
      <c r="D5957" s="139" t="s">
        <v>13969</v>
      </c>
    </row>
    <row r="5958" spans="1:4" x14ac:dyDescent="0.25">
      <c r="A5958" s="139" t="s">
        <v>13970</v>
      </c>
      <c r="B5958" s="139" t="s">
        <v>11527</v>
      </c>
      <c r="C5958" s="139" t="s">
        <v>112</v>
      </c>
      <c r="D5958" s="139" t="s">
        <v>13971</v>
      </c>
    </row>
    <row r="5959" spans="1:4" x14ac:dyDescent="0.25">
      <c r="A5959" s="139" t="s">
        <v>13972</v>
      </c>
      <c r="B5959" s="139" t="s">
        <v>2506</v>
      </c>
      <c r="C5959" s="139" t="s">
        <v>112</v>
      </c>
      <c r="D5959" s="139" t="s">
        <v>13973</v>
      </c>
    </row>
    <row r="5960" spans="1:4" x14ac:dyDescent="0.25">
      <c r="A5960" s="139" t="s">
        <v>13974</v>
      </c>
      <c r="B5960" s="139" t="s">
        <v>2506</v>
      </c>
      <c r="C5960" s="139" t="s">
        <v>112</v>
      </c>
      <c r="D5960" s="139" t="s">
        <v>13975</v>
      </c>
    </row>
    <row r="5961" spans="1:4" x14ac:dyDescent="0.25">
      <c r="A5961" s="139" t="s">
        <v>13976</v>
      </c>
      <c r="B5961" s="139" t="s">
        <v>13672</v>
      </c>
      <c r="C5961" s="139" t="s">
        <v>112</v>
      </c>
      <c r="D5961" s="139" t="s">
        <v>13977</v>
      </c>
    </row>
    <row r="5962" spans="1:4" x14ac:dyDescent="0.25">
      <c r="A5962" s="139" t="s">
        <v>13978</v>
      </c>
      <c r="B5962" s="139" t="s">
        <v>13672</v>
      </c>
      <c r="C5962" s="139" t="s">
        <v>112</v>
      </c>
      <c r="D5962" s="139" t="s">
        <v>13979</v>
      </c>
    </row>
    <row r="5963" spans="1:4" x14ac:dyDescent="0.25">
      <c r="A5963" s="139" t="s">
        <v>13980</v>
      </c>
      <c r="B5963" s="139" t="s">
        <v>13669</v>
      </c>
      <c r="C5963" s="139" t="s">
        <v>112</v>
      </c>
      <c r="D5963" s="139" t="s">
        <v>13981</v>
      </c>
    </row>
    <row r="5964" spans="1:4" x14ac:dyDescent="0.25">
      <c r="A5964" s="139" t="s">
        <v>13982</v>
      </c>
      <c r="B5964" s="139" t="s">
        <v>13669</v>
      </c>
      <c r="C5964" s="139" t="s">
        <v>112</v>
      </c>
      <c r="D5964" s="139" t="s">
        <v>13983</v>
      </c>
    </row>
    <row r="5965" spans="1:4" x14ac:dyDescent="0.25">
      <c r="A5965" s="139" t="s">
        <v>13984</v>
      </c>
      <c r="B5965" s="139" t="s">
        <v>13666</v>
      </c>
      <c r="C5965" s="139" t="s">
        <v>112</v>
      </c>
      <c r="D5965" s="139" t="s">
        <v>13985</v>
      </c>
    </row>
    <row r="5966" spans="1:4" x14ac:dyDescent="0.25">
      <c r="A5966" s="139" t="s">
        <v>13986</v>
      </c>
      <c r="B5966" s="139" t="s">
        <v>13666</v>
      </c>
      <c r="C5966" s="139" t="s">
        <v>112</v>
      </c>
      <c r="D5966" s="139" t="s">
        <v>13987</v>
      </c>
    </row>
    <row r="5967" spans="1:4" x14ac:dyDescent="0.25">
      <c r="A5967" s="139" t="s">
        <v>13988</v>
      </c>
      <c r="B5967" s="139" t="s">
        <v>13663</v>
      </c>
      <c r="C5967" s="139" t="s">
        <v>112</v>
      </c>
      <c r="D5967" s="139" t="s">
        <v>13989</v>
      </c>
    </row>
    <row r="5968" spans="1:4" x14ac:dyDescent="0.25">
      <c r="A5968" s="139" t="s">
        <v>13990</v>
      </c>
      <c r="B5968" s="139" t="s">
        <v>13663</v>
      </c>
      <c r="C5968" s="139" t="s">
        <v>112</v>
      </c>
      <c r="D5968" s="139" t="s">
        <v>13991</v>
      </c>
    </row>
    <row r="5969" spans="1:4" x14ac:dyDescent="0.25">
      <c r="A5969" s="139" t="s">
        <v>13992</v>
      </c>
      <c r="B5969" s="139" t="s">
        <v>13660</v>
      </c>
      <c r="C5969" s="139" t="s">
        <v>112</v>
      </c>
      <c r="D5969" s="139" t="s">
        <v>13993</v>
      </c>
    </row>
    <row r="5970" spans="1:4" x14ac:dyDescent="0.25">
      <c r="A5970" s="139" t="s">
        <v>13994</v>
      </c>
      <c r="B5970" s="139" t="s">
        <v>13660</v>
      </c>
      <c r="C5970" s="139" t="s">
        <v>112</v>
      </c>
      <c r="D5970" s="139" t="s">
        <v>13995</v>
      </c>
    </row>
    <row r="5971" spans="1:4" x14ac:dyDescent="0.25">
      <c r="A5971" s="139" t="s">
        <v>13996</v>
      </c>
      <c r="B5971" s="139" t="s">
        <v>13657</v>
      </c>
      <c r="C5971" s="139" t="s">
        <v>112</v>
      </c>
      <c r="D5971" s="139" t="s">
        <v>13997</v>
      </c>
    </row>
    <row r="5972" spans="1:4" x14ac:dyDescent="0.25">
      <c r="A5972" s="139" t="s">
        <v>13998</v>
      </c>
      <c r="B5972" s="139" t="s">
        <v>13657</v>
      </c>
      <c r="C5972" s="139" t="s">
        <v>112</v>
      </c>
      <c r="D5972" s="139" t="s">
        <v>13999</v>
      </c>
    </row>
    <row r="5973" spans="1:4" x14ac:dyDescent="0.25">
      <c r="A5973" s="139" t="s">
        <v>14000</v>
      </c>
      <c r="B5973" s="139" t="s">
        <v>14001</v>
      </c>
      <c r="C5973" s="139" t="s">
        <v>112</v>
      </c>
      <c r="D5973" s="139" t="s">
        <v>14002</v>
      </c>
    </row>
    <row r="5974" spans="1:4" x14ac:dyDescent="0.25">
      <c r="A5974" s="139" t="s">
        <v>14003</v>
      </c>
      <c r="B5974" s="139" t="s">
        <v>14001</v>
      </c>
      <c r="C5974" s="139" t="s">
        <v>112</v>
      </c>
      <c r="D5974" s="139" t="s">
        <v>14004</v>
      </c>
    </row>
    <row r="5975" spans="1:4" x14ac:dyDescent="0.25">
      <c r="A5975" s="139" t="s">
        <v>14005</v>
      </c>
      <c r="B5975" s="139" t="s">
        <v>13651</v>
      </c>
      <c r="C5975" s="139" t="s">
        <v>112</v>
      </c>
      <c r="D5975" s="139" t="s">
        <v>14006</v>
      </c>
    </row>
    <row r="5976" spans="1:4" x14ac:dyDescent="0.25">
      <c r="A5976" s="139" t="s">
        <v>14007</v>
      </c>
      <c r="B5976" s="139" t="s">
        <v>13651</v>
      </c>
      <c r="C5976" s="139" t="s">
        <v>112</v>
      </c>
      <c r="D5976" s="139" t="s">
        <v>14008</v>
      </c>
    </row>
    <row r="5977" spans="1:4" x14ac:dyDescent="0.25">
      <c r="A5977" s="139" t="s">
        <v>14009</v>
      </c>
      <c r="B5977" s="139" t="s">
        <v>13648</v>
      </c>
      <c r="C5977" s="139" t="s">
        <v>112</v>
      </c>
      <c r="D5977" s="139" t="s">
        <v>14010</v>
      </c>
    </row>
    <row r="5978" spans="1:4" x14ac:dyDescent="0.25">
      <c r="A5978" s="139" t="s">
        <v>14011</v>
      </c>
      <c r="B5978" s="139" t="s">
        <v>13648</v>
      </c>
      <c r="C5978" s="139" t="s">
        <v>112</v>
      </c>
      <c r="D5978" s="139" t="s">
        <v>14012</v>
      </c>
    </row>
    <row r="5979" spans="1:4" x14ac:dyDescent="0.25">
      <c r="A5979" s="139" t="s">
        <v>14013</v>
      </c>
      <c r="B5979" s="139" t="s">
        <v>13645</v>
      </c>
      <c r="C5979" s="139" t="s">
        <v>112</v>
      </c>
      <c r="D5979" s="139" t="s">
        <v>14014</v>
      </c>
    </row>
    <row r="5980" spans="1:4" x14ac:dyDescent="0.25">
      <c r="A5980" s="139" t="s">
        <v>14015</v>
      </c>
      <c r="B5980" s="139" t="s">
        <v>13645</v>
      </c>
      <c r="C5980" s="139" t="s">
        <v>112</v>
      </c>
      <c r="D5980" s="139" t="s">
        <v>14016</v>
      </c>
    </row>
    <row r="5981" spans="1:4" x14ac:dyDescent="0.25">
      <c r="A5981" s="139" t="s">
        <v>14017</v>
      </c>
      <c r="B5981" s="139" t="s">
        <v>13642</v>
      </c>
      <c r="C5981" s="139" t="s">
        <v>112</v>
      </c>
      <c r="D5981" s="139" t="s">
        <v>14018</v>
      </c>
    </row>
    <row r="5982" spans="1:4" x14ac:dyDescent="0.25">
      <c r="A5982" s="139" t="s">
        <v>14019</v>
      </c>
      <c r="B5982" s="139" t="s">
        <v>13642</v>
      </c>
      <c r="C5982" s="139" t="s">
        <v>112</v>
      </c>
      <c r="D5982" s="139" t="s">
        <v>14020</v>
      </c>
    </row>
    <row r="5983" spans="1:4" x14ac:dyDescent="0.25">
      <c r="A5983" s="139" t="s">
        <v>14021</v>
      </c>
      <c r="B5983" s="139" t="s">
        <v>13639</v>
      </c>
      <c r="C5983" s="139" t="s">
        <v>112</v>
      </c>
      <c r="D5983" s="139" t="s">
        <v>14022</v>
      </c>
    </row>
    <row r="5984" spans="1:4" x14ac:dyDescent="0.25">
      <c r="A5984" s="139" t="s">
        <v>14023</v>
      </c>
      <c r="B5984" s="139" t="s">
        <v>13639</v>
      </c>
      <c r="C5984" s="139" t="s">
        <v>112</v>
      </c>
      <c r="D5984" s="139" t="s">
        <v>14024</v>
      </c>
    </row>
    <row r="5985" spans="1:4" x14ac:dyDescent="0.25">
      <c r="A5985" s="139" t="s">
        <v>14025</v>
      </c>
      <c r="B5985" s="139" t="s">
        <v>14026</v>
      </c>
      <c r="C5985" s="139" t="s">
        <v>112</v>
      </c>
      <c r="D5985" s="139" t="s">
        <v>14027</v>
      </c>
    </row>
    <row r="5986" spans="1:4" x14ac:dyDescent="0.25">
      <c r="A5986" s="139" t="s">
        <v>14028</v>
      </c>
      <c r="B5986" s="139" t="s">
        <v>14026</v>
      </c>
      <c r="C5986" s="139" t="s">
        <v>112</v>
      </c>
      <c r="D5986" s="139" t="s">
        <v>14029</v>
      </c>
    </row>
    <row r="5987" spans="1:4" x14ac:dyDescent="0.25">
      <c r="A5987" s="139" t="s">
        <v>14030</v>
      </c>
      <c r="B5987" s="139" t="s">
        <v>14031</v>
      </c>
      <c r="C5987" s="139" t="s">
        <v>112</v>
      </c>
      <c r="D5987" s="139" t="s">
        <v>14032</v>
      </c>
    </row>
    <row r="5988" spans="1:4" x14ac:dyDescent="0.25">
      <c r="A5988" s="139" t="s">
        <v>14033</v>
      </c>
      <c r="B5988" s="139" t="s">
        <v>14031</v>
      </c>
      <c r="C5988" s="139" t="s">
        <v>112</v>
      </c>
      <c r="D5988" s="139" t="s">
        <v>14034</v>
      </c>
    </row>
    <row r="5989" spans="1:4" x14ac:dyDescent="0.25">
      <c r="A5989" s="139" t="s">
        <v>14035</v>
      </c>
      <c r="B5989" s="139" t="s">
        <v>14036</v>
      </c>
      <c r="C5989" s="139" t="s">
        <v>112</v>
      </c>
      <c r="D5989" s="139" t="s">
        <v>14037</v>
      </c>
    </row>
    <row r="5990" spans="1:4" x14ac:dyDescent="0.25">
      <c r="A5990" s="139" t="s">
        <v>14038</v>
      </c>
      <c r="B5990" s="139" t="s">
        <v>14036</v>
      </c>
      <c r="C5990" s="139" t="s">
        <v>112</v>
      </c>
      <c r="D5990" s="139" t="s">
        <v>14039</v>
      </c>
    </row>
    <row r="5991" spans="1:4" x14ac:dyDescent="0.25">
      <c r="A5991" s="139" t="s">
        <v>14040</v>
      </c>
      <c r="B5991" s="139" t="s">
        <v>11521</v>
      </c>
      <c r="C5991" s="139" t="s">
        <v>112</v>
      </c>
      <c r="D5991" s="139" t="s">
        <v>14041</v>
      </c>
    </row>
    <row r="5992" spans="1:4" x14ac:dyDescent="0.25">
      <c r="A5992" s="139" t="s">
        <v>14042</v>
      </c>
      <c r="B5992" s="139" t="s">
        <v>11521</v>
      </c>
      <c r="C5992" s="139" t="s">
        <v>112</v>
      </c>
      <c r="D5992" s="139" t="s">
        <v>14043</v>
      </c>
    </row>
    <row r="5993" spans="1:4" x14ac:dyDescent="0.25">
      <c r="A5993" s="139" t="s">
        <v>14044</v>
      </c>
      <c r="B5993" s="139" t="s">
        <v>13633</v>
      </c>
      <c r="C5993" s="139" t="s">
        <v>112</v>
      </c>
      <c r="D5993" s="139" t="s">
        <v>14045</v>
      </c>
    </row>
    <row r="5994" spans="1:4" x14ac:dyDescent="0.25">
      <c r="A5994" s="139" t="s">
        <v>14046</v>
      </c>
      <c r="B5994" s="139" t="s">
        <v>13633</v>
      </c>
      <c r="C5994" s="139" t="s">
        <v>112</v>
      </c>
      <c r="D5994" s="139" t="s">
        <v>14047</v>
      </c>
    </row>
    <row r="5995" spans="1:4" x14ac:dyDescent="0.25">
      <c r="A5995" s="139" t="s">
        <v>14048</v>
      </c>
      <c r="B5995" s="139" t="s">
        <v>13630</v>
      </c>
      <c r="C5995" s="139" t="s">
        <v>112</v>
      </c>
      <c r="D5995" s="139" t="s">
        <v>14049</v>
      </c>
    </row>
    <row r="5996" spans="1:4" x14ac:dyDescent="0.25">
      <c r="A5996" s="139" t="s">
        <v>14050</v>
      </c>
      <c r="B5996" s="139" t="s">
        <v>13630</v>
      </c>
      <c r="C5996" s="139" t="s">
        <v>112</v>
      </c>
      <c r="D5996" s="139" t="s">
        <v>14051</v>
      </c>
    </row>
    <row r="5997" spans="1:4" x14ac:dyDescent="0.25">
      <c r="A5997" s="139" t="s">
        <v>14052</v>
      </c>
      <c r="B5997" s="139" t="s">
        <v>8680</v>
      </c>
      <c r="C5997" s="139" t="s">
        <v>112</v>
      </c>
      <c r="D5997" s="139" t="s">
        <v>14053</v>
      </c>
    </row>
    <row r="5998" spans="1:4" x14ac:dyDescent="0.25">
      <c r="A5998" s="139" t="s">
        <v>14054</v>
      </c>
      <c r="B5998" s="139" t="s">
        <v>8680</v>
      </c>
      <c r="C5998" s="139" t="s">
        <v>112</v>
      </c>
      <c r="D5998" s="139" t="s">
        <v>14055</v>
      </c>
    </row>
    <row r="5999" spans="1:4" x14ac:dyDescent="0.25">
      <c r="A5999" s="139" t="s">
        <v>14056</v>
      </c>
      <c r="B5999" s="139" t="s">
        <v>13625</v>
      </c>
      <c r="C5999" s="139" t="s">
        <v>112</v>
      </c>
      <c r="D5999" s="139" t="s">
        <v>14057</v>
      </c>
    </row>
    <row r="6000" spans="1:4" x14ac:dyDescent="0.25">
      <c r="A6000" s="139" t="s">
        <v>14058</v>
      </c>
      <c r="B6000" s="139" t="s">
        <v>13625</v>
      </c>
      <c r="C6000" s="139" t="s">
        <v>112</v>
      </c>
      <c r="D6000" s="139" t="s">
        <v>14059</v>
      </c>
    </row>
    <row r="6001" spans="1:4" x14ac:dyDescent="0.25">
      <c r="A6001" s="139" t="s">
        <v>14060</v>
      </c>
      <c r="B6001" s="139" t="s">
        <v>13622</v>
      </c>
      <c r="C6001" s="139" t="s">
        <v>112</v>
      </c>
      <c r="D6001" s="139" t="s">
        <v>14061</v>
      </c>
    </row>
    <row r="6002" spans="1:4" x14ac:dyDescent="0.25">
      <c r="A6002" s="139" t="s">
        <v>14062</v>
      </c>
      <c r="B6002" s="139" t="s">
        <v>13622</v>
      </c>
      <c r="C6002" s="139" t="s">
        <v>112</v>
      </c>
      <c r="D6002" s="139" t="s">
        <v>14063</v>
      </c>
    </row>
    <row r="6003" spans="1:4" x14ac:dyDescent="0.25">
      <c r="A6003" s="139" t="s">
        <v>14064</v>
      </c>
      <c r="B6003" s="139" t="s">
        <v>6665</v>
      </c>
      <c r="C6003" s="139" t="s">
        <v>658</v>
      </c>
      <c r="D6003" s="139" t="s">
        <v>14065</v>
      </c>
    </row>
    <row r="6004" spans="1:4" x14ac:dyDescent="0.25">
      <c r="A6004" s="139" t="s">
        <v>14066</v>
      </c>
      <c r="B6004" s="139" t="s">
        <v>6665</v>
      </c>
      <c r="C6004" s="139" t="s">
        <v>658</v>
      </c>
      <c r="D6004" s="139" t="s">
        <v>14067</v>
      </c>
    </row>
    <row r="6005" spans="1:4" x14ac:dyDescent="0.25">
      <c r="A6005" s="139" t="s">
        <v>14068</v>
      </c>
      <c r="B6005" s="139" t="s">
        <v>959</v>
      </c>
      <c r="C6005" s="139" t="s">
        <v>658</v>
      </c>
      <c r="D6005" s="139" t="s">
        <v>14069</v>
      </c>
    </row>
    <row r="6006" spans="1:4" x14ac:dyDescent="0.25">
      <c r="A6006" s="139" t="s">
        <v>14070</v>
      </c>
      <c r="B6006" s="139" t="s">
        <v>959</v>
      </c>
      <c r="C6006" s="139" t="s">
        <v>658</v>
      </c>
      <c r="D6006" s="139" t="s">
        <v>14071</v>
      </c>
    </row>
    <row r="6007" spans="1:4" x14ac:dyDescent="0.25">
      <c r="A6007" s="139" t="s">
        <v>14072</v>
      </c>
      <c r="B6007" s="139" t="s">
        <v>13619</v>
      </c>
      <c r="C6007" s="139" t="s">
        <v>658</v>
      </c>
      <c r="D6007" s="139" t="s">
        <v>14073</v>
      </c>
    </row>
    <row r="6008" spans="1:4" x14ac:dyDescent="0.25">
      <c r="A6008" s="139" t="s">
        <v>14074</v>
      </c>
      <c r="B6008" s="139" t="s">
        <v>13619</v>
      </c>
      <c r="C6008" s="139" t="s">
        <v>658</v>
      </c>
      <c r="D6008" s="139" t="s">
        <v>14075</v>
      </c>
    </row>
    <row r="6009" spans="1:4" x14ac:dyDescent="0.25">
      <c r="A6009" s="139" t="s">
        <v>14076</v>
      </c>
      <c r="B6009" s="139" t="s">
        <v>3383</v>
      </c>
      <c r="C6009" s="139" t="s">
        <v>658</v>
      </c>
      <c r="D6009" s="139" t="s">
        <v>14077</v>
      </c>
    </row>
    <row r="6010" spans="1:4" x14ac:dyDescent="0.25">
      <c r="A6010" s="139" t="s">
        <v>14078</v>
      </c>
      <c r="B6010" s="139" t="s">
        <v>3383</v>
      </c>
      <c r="C6010" s="139" t="s">
        <v>658</v>
      </c>
      <c r="D6010" s="139" t="s">
        <v>14079</v>
      </c>
    </row>
    <row r="6011" spans="1:4" x14ac:dyDescent="0.25">
      <c r="A6011" s="139" t="s">
        <v>14080</v>
      </c>
      <c r="B6011" s="139" t="s">
        <v>14081</v>
      </c>
      <c r="C6011" s="139" t="s">
        <v>65</v>
      </c>
      <c r="D6011" s="139" t="s">
        <v>14082</v>
      </c>
    </row>
    <row r="6012" spans="1:4" x14ac:dyDescent="0.25">
      <c r="A6012" s="139" t="s">
        <v>14083</v>
      </c>
      <c r="B6012" s="139" t="s">
        <v>14081</v>
      </c>
      <c r="C6012" s="139" t="s">
        <v>65</v>
      </c>
      <c r="D6012" s="139" t="s">
        <v>14084</v>
      </c>
    </row>
    <row r="6013" spans="1:4" x14ac:dyDescent="0.25">
      <c r="A6013" s="139" t="s">
        <v>14085</v>
      </c>
      <c r="B6013" s="139" t="s">
        <v>3344</v>
      </c>
      <c r="C6013" s="139" t="s">
        <v>65</v>
      </c>
      <c r="D6013" s="139" t="s">
        <v>14086</v>
      </c>
    </row>
    <row r="6014" spans="1:4" x14ac:dyDescent="0.25">
      <c r="A6014" s="139" t="s">
        <v>14087</v>
      </c>
      <c r="B6014" s="139" t="s">
        <v>3344</v>
      </c>
      <c r="C6014" s="139" t="s">
        <v>65</v>
      </c>
      <c r="D6014" s="139" t="s">
        <v>14088</v>
      </c>
    </row>
    <row r="6015" spans="1:4" x14ac:dyDescent="0.25">
      <c r="A6015" s="139" t="s">
        <v>14089</v>
      </c>
      <c r="B6015" s="139" t="s">
        <v>4665</v>
      </c>
      <c r="C6015" s="139" t="s">
        <v>65</v>
      </c>
      <c r="D6015" s="139" t="s">
        <v>14090</v>
      </c>
    </row>
    <row r="6016" spans="1:4" x14ac:dyDescent="0.25">
      <c r="A6016" s="139" t="s">
        <v>14091</v>
      </c>
      <c r="B6016" s="139" t="s">
        <v>4665</v>
      </c>
      <c r="C6016" s="139" t="s">
        <v>65</v>
      </c>
      <c r="D6016" s="139" t="s">
        <v>14092</v>
      </c>
    </row>
    <row r="6017" spans="1:4" x14ac:dyDescent="0.25">
      <c r="A6017" s="139" t="s">
        <v>14093</v>
      </c>
      <c r="B6017" s="139" t="s">
        <v>14094</v>
      </c>
      <c r="C6017" s="139" t="s">
        <v>65</v>
      </c>
      <c r="D6017" s="139" t="s">
        <v>14095</v>
      </c>
    </row>
    <row r="6018" spans="1:4" x14ac:dyDescent="0.25">
      <c r="A6018" s="139" t="s">
        <v>14096</v>
      </c>
      <c r="B6018" s="139" t="s">
        <v>14094</v>
      </c>
      <c r="C6018" s="139" t="s">
        <v>65</v>
      </c>
      <c r="D6018" s="139" t="s">
        <v>14097</v>
      </c>
    </row>
    <row r="6019" spans="1:4" x14ac:dyDescent="0.25">
      <c r="A6019" s="139" t="s">
        <v>14098</v>
      </c>
      <c r="B6019" s="139" t="s">
        <v>7013</v>
      </c>
      <c r="C6019" s="139" t="s">
        <v>65</v>
      </c>
      <c r="D6019" s="139" t="s">
        <v>14099</v>
      </c>
    </row>
    <row r="6020" spans="1:4" x14ac:dyDescent="0.25">
      <c r="A6020" s="139" t="s">
        <v>14100</v>
      </c>
      <c r="B6020" s="139" t="s">
        <v>7013</v>
      </c>
      <c r="C6020" s="139" t="s">
        <v>65</v>
      </c>
      <c r="D6020" s="139" t="s">
        <v>14101</v>
      </c>
    </row>
    <row r="6021" spans="1:4" x14ac:dyDescent="0.25">
      <c r="A6021" s="139" t="s">
        <v>14102</v>
      </c>
      <c r="B6021" s="139" t="s">
        <v>2153</v>
      </c>
      <c r="C6021" s="139" t="s">
        <v>65</v>
      </c>
      <c r="D6021" s="139" t="s">
        <v>14103</v>
      </c>
    </row>
    <row r="6022" spans="1:4" x14ac:dyDescent="0.25">
      <c r="A6022" s="139" t="s">
        <v>14104</v>
      </c>
      <c r="B6022" s="139" t="s">
        <v>2153</v>
      </c>
      <c r="C6022" s="139" t="s">
        <v>65</v>
      </c>
      <c r="D6022" s="139" t="s">
        <v>14105</v>
      </c>
    </row>
    <row r="6023" spans="1:4" x14ac:dyDescent="0.25">
      <c r="A6023" s="139" t="s">
        <v>14106</v>
      </c>
      <c r="B6023" s="139" t="s">
        <v>13608</v>
      </c>
      <c r="C6023" s="139" t="s">
        <v>65</v>
      </c>
      <c r="D6023" s="139" t="s">
        <v>14107</v>
      </c>
    </row>
    <row r="6024" spans="1:4" x14ac:dyDescent="0.25">
      <c r="A6024" s="139" t="s">
        <v>14108</v>
      </c>
      <c r="B6024" s="139" t="s">
        <v>13608</v>
      </c>
      <c r="C6024" s="139" t="s">
        <v>65</v>
      </c>
      <c r="D6024" s="139" t="s">
        <v>14109</v>
      </c>
    </row>
    <row r="6025" spans="1:4" x14ac:dyDescent="0.25">
      <c r="A6025" s="139" t="s">
        <v>14110</v>
      </c>
      <c r="B6025" s="139" t="s">
        <v>13605</v>
      </c>
      <c r="C6025" s="139" t="s">
        <v>44</v>
      </c>
      <c r="D6025" s="139" t="s">
        <v>14111</v>
      </c>
    </row>
    <row r="6026" spans="1:4" x14ac:dyDescent="0.25">
      <c r="A6026" s="139" t="s">
        <v>14112</v>
      </c>
      <c r="B6026" s="139" t="s">
        <v>13605</v>
      </c>
      <c r="C6026" s="139" t="s">
        <v>44</v>
      </c>
      <c r="D6026" s="139" t="s">
        <v>14113</v>
      </c>
    </row>
    <row r="6027" spans="1:4" x14ac:dyDescent="0.25">
      <c r="A6027" s="139" t="s">
        <v>14114</v>
      </c>
      <c r="B6027" s="139" t="s">
        <v>13602</v>
      </c>
      <c r="C6027" s="139" t="s">
        <v>44</v>
      </c>
      <c r="D6027" s="139" t="s">
        <v>14115</v>
      </c>
    </row>
    <row r="6028" spans="1:4" x14ac:dyDescent="0.25">
      <c r="A6028" s="139" t="s">
        <v>14116</v>
      </c>
      <c r="B6028" s="139" t="s">
        <v>13602</v>
      </c>
      <c r="C6028" s="139" t="s">
        <v>44</v>
      </c>
      <c r="D6028" s="139" t="s">
        <v>14117</v>
      </c>
    </row>
    <row r="6029" spans="1:4" x14ac:dyDescent="0.25">
      <c r="A6029" s="139" t="s">
        <v>14118</v>
      </c>
      <c r="B6029" s="139" t="s">
        <v>4665</v>
      </c>
      <c r="C6029" s="139" t="s">
        <v>44</v>
      </c>
      <c r="D6029" s="139" t="s">
        <v>14119</v>
      </c>
    </row>
    <row r="6030" spans="1:4" x14ac:dyDescent="0.25">
      <c r="A6030" s="139" t="s">
        <v>14120</v>
      </c>
      <c r="B6030" s="139" t="s">
        <v>4665</v>
      </c>
      <c r="C6030" s="139" t="s">
        <v>44</v>
      </c>
      <c r="D6030" s="139" t="s">
        <v>14121</v>
      </c>
    </row>
    <row r="6031" spans="1:4" x14ac:dyDescent="0.25">
      <c r="A6031" s="139" t="s">
        <v>14122</v>
      </c>
      <c r="B6031" s="139" t="s">
        <v>1049</v>
      </c>
      <c r="C6031" s="139" t="s">
        <v>44</v>
      </c>
      <c r="D6031" s="139" t="s">
        <v>14123</v>
      </c>
    </row>
    <row r="6032" spans="1:4" x14ac:dyDescent="0.25">
      <c r="A6032" s="139" t="s">
        <v>14124</v>
      </c>
      <c r="B6032" s="139" t="s">
        <v>1049</v>
      </c>
      <c r="C6032" s="139" t="s">
        <v>44</v>
      </c>
      <c r="D6032" s="139" t="s">
        <v>14125</v>
      </c>
    </row>
    <row r="6033" spans="1:4" x14ac:dyDescent="0.25">
      <c r="A6033" s="139" t="s">
        <v>14126</v>
      </c>
      <c r="B6033" s="139" t="s">
        <v>14127</v>
      </c>
      <c r="C6033" s="139" t="s">
        <v>65</v>
      </c>
      <c r="D6033" s="139" t="s">
        <v>14128</v>
      </c>
    </row>
    <row r="6034" spans="1:4" x14ac:dyDescent="0.25">
      <c r="A6034" s="139" t="s">
        <v>14129</v>
      </c>
      <c r="B6034" s="139" t="s">
        <v>14127</v>
      </c>
      <c r="C6034" s="139" t="s">
        <v>65</v>
      </c>
      <c r="D6034" s="139" t="s">
        <v>14130</v>
      </c>
    </row>
    <row r="6035" spans="1:4" x14ac:dyDescent="0.25">
      <c r="A6035" s="139" t="s">
        <v>14131</v>
      </c>
      <c r="B6035" s="139" t="s">
        <v>14132</v>
      </c>
      <c r="C6035" s="139" t="s">
        <v>65</v>
      </c>
      <c r="D6035" s="139" t="s">
        <v>14133</v>
      </c>
    </row>
    <row r="6036" spans="1:4" x14ac:dyDescent="0.25">
      <c r="A6036" s="139" t="s">
        <v>14134</v>
      </c>
      <c r="B6036" s="139" t="s">
        <v>14132</v>
      </c>
      <c r="C6036" s="139" t="s">
        <v>65</v>
      </c>
      <c r="D6036" s="139" t="s">
        <v>14135</v>
      </c>
    </row>
    <row r="6037" spans="1:4" x14ac:dyDescent="0.25">
      <c r="A6037" s="139" t="s">
        <v>14136</v>
      </c>
      <c r="B6037" s="139" t="s">
        <v>14137</v>
      </c>
      <c r="C6037" s="139" t="s">
        <v>2895</v>
      </c>
      <c r="D6037" s="139" t="s">
        <v>14138</v>
      </c>
    </row>
    <row r="6038" spans="1:4" x14ac:dyDescent="0.25">
      <c r="A6038" s="139" t="s">
        <v>14139</v>
      </c>
      <c r="B6038" s="139" t="s">
        <v>14137</v>
      </c>
      <c r="C6038" s="139" t="s">
        <v>2895</v>
      </c>
      <c r="D6038" s="139" t="s">
        <v>14140</v>
      </c>
    </row>
    <row r="6039" spans="1:4" x14ac:dyDescent="0.25">
      <c r="A6039" s="139" t="s">
        <v>14141</v>
      </c>
      <c r="B6039" s="139" t="s">
        <v>14142</v>
      </c>
      <c r="C6039" s="139" t="s">
        <v>2895</v>
      </c>
      <c r="D6039" s="139" t="s">
        <v>14143</v>
      </c>
    </row>
    <row r="6040" spans="1:4" x14ac:dyDescent="0.25">
      <c r="A6040" s="139" t="s">
        <v>14144</v>
      </c>
      <c r="B6040" s="139" t="s">
        <v>14142</v>
      </c>
      <c r="C6040" s="139" t="s">
        <v>2895</v>
      </c>
      <c r="D6040" s="139" t="s">
        <v>14145</v>
      </c>
    </row>
    <row r="6041" spans="1:4" x14ac:dyDescent="0.25">
      <c r="A6041" s="139" t="s">
        <v>14146</v>
      </c>
      <c r="B6041" s="139" t="s">
        <v>14142</v>
      </c>
      <c r="C6041" s="139" t="s">
        <v>2895</v>
      </c>
      <c r="D6041" s="139" t="s">
        <v>14147</v>
      </c>
    </row>
    <row r="6042" spans="1:4" x14ac:dyDescent="0.25">
      <c r="A6042" s="139" t="s">
        <v>14148</v>
      </c>
      <c r="B6042" s="139" t="s">
        <v>14142</v>
      </c>
      <c r="C6042" s="139" t="s">
        <v>2895</v>
      </c>
      <c r="D6042" s="139" t="s">
        <v>14149</v>
      </c>
    </row>
    <row r="6043" spans="1:4" x14ac:dyDescent="0.25">
      <c r="A6043" s="139" t="s">
        <v>14150</v>
      </c>
      <c r="B6043" s="139" t="s">
        <v>14137</v>
      </c>
      <c r="C6043" s="139" t="s">
        <v>2895</v>
      </c>
      <c r="D6043" s="139" t="s">
        <v>14151</v>
      </c>
    </row>
    <row r="6044" spans="1:4" x14ac:dyDescent="0.25">
      <c r="A6044" s="139" t="s">
        <v>14152</v>
      </c>
      <c r="B6044" s="139" t="s">
        <v>14137</v>
      </c>
      <c r="C6044" s="139" t="s">
        <v>2895</v>
      </c>
      <c r="D6044" s="139" t="s">
        <v>14153</v>
      </c>
    </row>
    <row r="6045" spans="1:4" x14ac:dyDescent="0.25">
      <c r="A6045" s="139" t="s">
        <v>14154</v>
      </c>
      <c r="B6045" s="139" t="s">
        <v>14127</v>
      </c>
      <c r="C6045" s="139" t="s">
        <v>33</v>
      </c>
      <c r="D6045" s="139" t="s">
        <v>14155</v>
      </c>
    </row>
    <row r="6046" spans="1:4" x14ac:dyDescent="0.25">
      <c r="A6046" s="139" t="s">
        <v>14156</v>
      </c>
      <c r="B6046" s="139" t="s">
        <v>14127</v>
      </c>
      <c r="C6046" s="139" t="s">
        <v>33</v>
      </c>
      <c r="D6046" s="139" t="s">
        <v>14157</v>
      </c>
    </row>
    <row r="6047" spans="1:4" x14ac:dyDescent="0.25">
      <c r="A6047" s="139" t="s">
        <v>14158</v>
      </c>
      <c r="B6047" s="139" t="s">
        <v>14132</v>
      </c>
      <c r="C6047" s="139" t="s">
        <v>33</v>
      </c>
      <c r="D6047" s="139" t="s">
        <v>14159</v>
      </c>
    </row>
    <row r="6048" spans="1:4" x14ac:dyDescent="0.25">
      <c r="A6048" s="139" t="s">
        <v>14160</v>
      </c>
      <c r="B6048" s="139" t="s">
        <v>14132</v>
      </c>
      <c r="C6048" s="139" t="s">
        <v>33</v>
      </c>
      <c r="D6048" s="139" t="s">
        <v>14161</v>
      </c>
    </row>
    <row r="6049" spans="1:4" x14ac:dyDescent="0.25">
      <c r="A6049" s="139" t="s">
        <v>14162</v>
      </c>
      <c r="B6049" s="139" t="s">
        <v>422</v>
      </c>
      <c r="C6049" s="139" t="s">
        <v>33</v>
      </c>
      <c r="D6049" s="139" t="s">
        <v>14163</v>
      </c>
    </row>
    <row r="6050" spans="1:4" x14ac:dyDescent="0.25">
      <c r="A6050" s="139" t="s">
        <v>14164</v>
      </c>
      <c r="B6050" s="139" t="s">
        <v>422</v>
      </c>
      <c r="C6050" s="139" t="s">
        <v>33</v>
      </c>
      <c r="D6050" s="139" t="s">
        <v>14165</v>
      </c>
    </row>
    <row r="6051" spans="1:4" x14ac:dyDescent="0.25">
      <c r="A6051" s="139" t="s">
        <v>14166</v>
      </c>
      <c r="B6051" s="139" t="s">
        <v>14167</v>
      </c>
      <c r="C6051" s="139" t="s">
        <v>123</v>
      </c>
      <c r="D6051" s="139" t="s">
        <v>14168</v>
      </c>
    </row>
    <row r="6052" spans="1:4" x14ac:dyDescent="0.25">
      <c r="A6052" s="139" t="s">
        <v>14169</v>
      </c>
      <c r="B6052" s="139" t="s">
        <v>14167</v>
      </c>
      <c r="C6052" s="139" t="s">
        <v>123</v>
      </c>
      <c r="D6052" s="139" t="s">
        <v>14170</v>
      </c>
    </row>
    <row r="6053" spans="1:4" x14ac:dyDescent="0.25">
      <c r="A6053" s="139" t="s">
        <v>14171</v>
      </c>
      <c r="B6053" s="139" t="s">
        <v>14172</v>
      </c>
      <c r="C6053" s="139" t="s">
        <v>123</v>
      </c>
      <c r="D6053" s="139" t="s">
        <v>14173</v>
      </c>
    </row>
    <row r="6054" spans="1:4" x14ac:dyDescent="0.25">
      <c r="A6054" s="139" t="s">
        <v>14174</v>
      </c>
      <c r="B6054" s="139" t="s">
        <v>14172</v>
      </c>
      <c r="C6054" s="139" t="s">
        <v>123</v>
      </c>
      <c r="D6054" s="139" t="s">
        <v>14175</v>
      </c>
    </row>
    <row r="6055" spans="1:4" x14ac:dyDescent="0.25">
      <c r="A6055" s="139" t="s">
        <v>14176</v>
      </c>
      <c r="B6055" s="139" t="s">
        <v>14177</v>
      </c>
      <c r="C6055" s="139" t="s">
        <v>65</v>
      </c>
      <c r="D6055" s="139" t="s">
        <v>14178</v>
      </c>
    </row>
    <row r="6056" spans="1:4" x14ac:dyDescent="0.25">
      <c r="A6056" s="139" t="s">
        <v>14179</v>
      </c>
      <c r="B6056" s="139" t="s">
        <v>14177</v>
      </c>
      <c r="C6056" s="139" t="s">
        <v>65</v>
      </c>
      <c r="D6056" s="139" t="s">
        <v>14180</v>
      </c>
    </row>
    <row r="6057" spans="1:4" x14ac:dyDescent="0.25">
      <c r="A6057" s="139" t="s">
        <v>14181</v>
      </c>
      <c r="B6057" s="139" t="s">
        <v>14182</v>
      </c>
      <c r="C6057" s="139" t="s">
        <v>65</v>
      </c>
      <c r="D6057" s="139" t="s">
        <v>14183</v>
      </c>
    </row>
    <row r="6058" spans="1:4" x14ac:dyDescent="0.25">
      <c r="A6058" s="139" t="s">
        <v>14184</v>
      </c>
      <c r="B6058" s="139" t="s">
        <v>14182</v>
      </c>
      <c r="C6058" s="139" t="s">
        <v>65</v>
      </c>
      <c r="D6058" s="139" t="s">
        <v>14185</v>
      </c>
    </row>
    <row r="6059" spans="1:4" x14ac:dyDescent="0.25">
      <c r="A6059" s="139" t="s">
        <v>14186</v>
      </c>
      <c r="B6059" s="139" t="s">
        <v>14187</v>
      </c>
      <c r="C6059" s="139" t="s">
        <v>65</v>
      </c>
      <c r="D6059" s="139" t="s">
        <v>14188</v>
      </c>
    </row>
    <row r="6060" spans="1:4" x14ac:dyDescent="0.25">
      <c r="A6060" s="139" t="s">
        <v>14189</v>
      </c>
      <c r="B6060" s="139" t="s">
        <v>14187</v>
      </c>
      <c r="C6060" s="139" t="s">
        <v>65</v>
      </c>
      <c r="D6060" s="139" t="s">
        <v>14190</v>
      </c>
    </row>
    <row r="6061" spans="1:4" x14ac:dyDescent="0.25">
      <c r="A6061" s="139" t="s">
        <v>14191</v>
      </c>
      <c r="B6061" s="139" t="s">
        <v>4156</v>
      </c>
      <c r="C6061" s="139" t="s">
        <v>65</v>
      </c>
      <c r="D6061" s="139" t="s">
        <v>14192</v>
      </c>
    </row>
    <row r="6062" spans="1:4" x14ac:dyDescent="0.25">
      <c r="A6062" s="139" t="s">
        <v>14193</v>
      </c>
      <c r="B6062" s="139" t="s">
        <v>4156</v>
      </c>
      <c r="C6062" s="139" t="s">
        <v>65</v>
      </c>
      <c r="D6062" s="139" t="s">
        <v>14194</v>
      </c>
    </row>
    <row r="6063" spans="1:4" x14ac:dyDescent="0.25">
      <c r="A6063" s="139" t="s">
        <v>14195</v>
      </c>
      <c r="B6063" s="139" t="s">
        <v>675</v>
      </c>
      <c r="C6063" s="139" t="s">
        <v>65</v>
      </c>
      <c r="D6063" s="139" t="s">
        <v>14196</v>
      </c>
    </row>
    <row r="6064" spans="1:4" x14ac:dyDescent="0.25">
      <c r="A6064" s="139" t="s">
        <v>14197</v>
      </c>
      <c r="B6064" s="139" t="s">
        <v>675</v>
      </c>
      <c r="C6064" s="139" t="s">
        <v>65</v>
      </c>
      <c r="D6064" s="139" t="s">
        <v>14198</v>
      </c>
    </row>
    <row r="6065" spans="1:4" x14ac:dyDescent="0.25">
      <c r="A6065" s="139" t="s">
        <v>14199</v>
      </c>
      <c r="B6065" s="139" t="s">
        <v>14200</v>
      </c>
      <c r="C6065" s="139" t="s">
        <v>65</v>
      </c>
      <c r="D6065" s="139" t="s">
        <v>14201</v>
      </c>
    </row>
    <row r="6066" spans="1:4" x14ac:dyDescent="0.25">
      <c r="A6066" s="139" t="s">
        <v>14202</v>
      </c>
      <c r="B6066" s="139" t="s">
        <v>14200</v>
      </c>
      <c r="C6066" s="139" t="s">
        <v>65</v>
      </c>
      <c r="D6066" s="139" t="s">
        <v>14203</v>
      </c>
    </row>
    <row r="6067" spans="1:4" x14ac:dyDescent="0.25">
      <c r="A6067" s="139" t="s">
        <v>14204</v>
      </c>
      <c r="B6067" s="139" t="s">
        <v>4442</v>
      </c>
      <c r="C6067" s="139" t="s">
        <v>65</v>
      </c>
      <c r="D6067" s="139" t="s">
        <v>14205</v>
      </c>
    </row>
    <row r="6068" spans="1:4" x14ac:dyDescent="0.25">
      <c r="A6068" s="139" t="s">
        <v>14206</v>
      </c>
      <c r="B6068" s="139" t="s">
        <v>4442</v>
      </c>
      <c r="C6068" s="139" t="s">
        <v>65</v>
      </c>
      <c r="D6068" s="139" t="s">
        <v>14207</v>
      </c>
    </row>
    <row r="6069" spans="1:4" x14ac:dyDescent="0.25">
      <c r="A6069" s="139" t="s">
        <v>14208</v>
      </c>
      <c r="B6069" s="139" t="s">
        <v>3383</v>
      </c>
      <c r="C6069" s="139" t="s">
        <v>65</v>
      </c>
      <c r="D6069" s="139" t="s">
        <v>14209</v>
      </c>
    </row>
    <row r="6070" spans="1:4" x14ac:dyDescent="0.25">
      <c r="A6070" s="139" t="s">
        <v>14210</v>
      </c>
      <c r="B6070" s="139" t="s">
        <v>3383</v>
      </c>
      <c r="C6070" s="139" t="s">
        <v>65</v>
      </c>
      <c r="D6070" s="139" t="s">
        <v>14211</v>
      </c>
    </row>
    <row r="6071" spans="1:4" x14ac:dyDescent="0.25">
      <c r="A6071" s="139" t="s">
        <v>14212</v>
      </c>
      <c r="B6071" s="139" t="s">
        <v>6652</v>
      </c>
      <c r="C6071" s="139" t="s">
        <v>65</v>
      </c>
      <c r="D6071" s="139" t="s">
        <v>14213</v>
      </c>
    </row>
    <row r="6072" spans="1:4" x14ac:dyDescent="0.25">
      <c r="A6072" s="139" t="s">
        <v>14214</v>
      </c>
      <c r="B6072" s="139" t="s">
        <v>6652</v>
      </c>
      <c r="C6072" s="139" t="s">
        <v>65</v>
      </c>
      <c r="D6072" s="139" t="s">
        <v>14215</v>
      </c>
    </row>
    <row r="6073" spans="1:4" x14ac:dyDescent="0.25">
      <c r="A6073" s="139" t="s">
        <v>14216</v>
      </c>
      <c r="B6073" s="139" t="s">
        <v>14217</v>
      </c>
      <c r="C6073" s="139" t="s">
        <v>65</v>
      </c>
      <c r="D6073" s="139" t="s">
        <v>14218</v>
      </c>
    </row>
    <row r="6074" spans="1:4" x14ac:dyDescent="0.25">
      <c r="A6074" s="139" t="s">
        <v>14219</v>
      </c>
      <c r="B6074" s="139" t="s">
        <v>14217</v>
      </c>
      <c r="C6074" s="139" t="s">
        <v>65</v>
      </c>
      <c r="D6074" s="139" t="s">
        <v>14220</v>
      </c>
    </row>
    <row r="6075" spans="1:4" x14ac:dyDescent="0.25">
      <c r="A6075" s="139" t="s">
        <v>14221</v>
      </c>
      <c r="B6075" s="139" t="s">
        <v>14222</v>
      </c>
      <c r="C6075" s="139" t="s">
        <v>127</v>
      </c>
      <c r="D6075" s="139" t="s">
        <v>14223</v>
      </c>
    </row>
    <row r="6076" spans="1:4" x14ac:dyDescent="0.25">
      <c r="A6076" s="139" t="s">
        <v>14224</v>
      </c>
      <c r="B6076" s="139" t="s">
        <v>14222</v>
      </c>
      <c r="C6076" s="139" t="s">
        <v>127</v>
      </c>
      <c r="D6076" s="139" t="s">
        <v>14225</v>
      </c>
    </row>
    <row r="6077" spans="1:4" x14ac:dyDescent="0.25">
      <c r="A6077" s="139" t="s">
        <v>14226</v>
      </c>
      <c r="B6077" s="139" t="s">
        <v>3575</v>
      </c>
      <c r="C6077" s="139" t="s">
        <v>123</v>
      </c>
      <c r="D6077" s="139" t="s">
        <v>14227</v>
      </c>
    </row>
    <row r="6078" spans="1:4" x14ac:dyDescent="0.25">
      <c r="A6078" s="139" t="s">
        <v>14228</v>
      </c>
      <c r="B6078" s="139" t="s">
        <v>3575</v>
      </c>
      <c r="C6078" s="139" t="s">
        <v>123</v>
      </c>
      <c r="D6078" s="139" t="s">
        <v>14229</v>
      </c>
    </row>
    <row r="6079" spans="1:4" x14ac:dyDescent="0.25">
      <c r="A6079" s="139" t="s">
        <v>14230</v>
      </c>
      <c r="B6079" s="139" t="s">
        <v>14231</v>
      </c>
      <c r="C6079" s="139" t="s">
        <v>123</v>
      </c>
      <c r="D6079" s="139" t="s">
        <v>14232</v>
      </c>
    </row>
    <row r="6080" spans="1:4" x14ac:dyDescent="0.25">
      <c r="A6080" s="139" t="s">
        <v>14233</v>
      </c>
      <c r="B6080" s="139" t="s">
        <v>14231</v>
      </c>
      <c r="C6080" s="139" t="s">
        <v>123</v>
      </c>
      <c r="D6080" s="139" t="s">
        <v>14234</v>
      </c>
    </row>
    <row r="6081" spans="1:4" x14ac:dyDescent="0.25">
      <c r="A6081" s="139" t="s">
        <v>14235</v>
      </c>
      <c r="B6081" s="139" t="s">
        <v>14236</v>
      </c>
      <c r="C6081" s="139" t="s">
        <v>123</v>
      </c>
      <c r="D6081" s="139" t="s">
        <v>14237</v>
      </c>
    </row>
    <row r="6082" spans="1:4" x14ac:dyDescent="0.25">
      <c r="A6082" s="139" t="s">
        <v>14238</v>
      </c>
      <c r="B6082" s="139" t="s">
        <v>14236</v>
      </c>
      <c r="C6082" s="139" t="s">
        <v>123</v>
      </c>
      <c r="D6082" s="139" t="s">
        <v>14239</v>
      </c>
    </row>
    <row r="6083" spans="1:4" x14ac:dyDescent="0.25">
      <c r="A6083" s="139" t="s">
        <v>14240</v>
      </c>
      <c r="B6083" s="139" t="s">
        <v>14241</v>
      </c>
      <c r="C6083" s="139" t="s">
        <v>123</v>
      </c>
      <c r="D6083" s="139" t="s">
        <v>14242</v>
      </c>
    </row>
    <row r="6084" spans="1:4" x14ac:dyDescent="0.25">
      <c r="A6084" s="139" t="s">
        <v>14243</v>
      </c>
      <c r="B6084" s="139" t="s">
        <v>14241</v>
      </c>
      <c r="C6084" s="139" t="s">
        <v>123</v>
      </c>
      <c r="D6084" s="139" t="s">
        <v>14244</v>
      </c>
    </row>
    <row r="6085" spans="1:4" x14ac:dyDescent="0.25">
      <c r="A6085" s="139" t="s">
        <v>14245</v>
      </c>
      <c r="B6085" s="139" t="s">
        <v>14246</v>
      </c>
      <c r="C6085" s="139" t="s">
        <v>123</v>
      </c>
      <c r="D6085" s="139" t="s">
        <v>14247</v>
      </c>
    </row>
    <row r="6086" spans="1:4" x14ac:dyDescent="0.25">
      <c r="A6086" s="139" t="s">
        <v>14248</v>
      </c>
      <c r="B6086" s="139" t="s">
        <v>14246</v>
      </c>
      <c r="C6086" s="139" t="s">
        <v>123</v>
      </c>
      <c r="D6086" s="139" t="s">
        <v>14249</v>
      </c>
    </row>
    <row r="6087" spans="1:4" x14ac:dyDescent="0.25">
      <c r="A6087" s="139" t="s">
        <v>14250</v>
      </c>
      <c r="B6087" s="139" t="s">
        <v>14251</v>
      </c>
      <c r="C6087" s="139" t="s">
        <v>123</v>
      </c>
      <c r="D6087" s="139" t="s">
        <v>14252</v>
      </c>
    </row>
    <row r="6088" spans="1:4" x14ac:dyDescent="0.25">
      <c r="A6088" s="139" t="s">
        <v>14253</v>
      </c>
      <c r="B6088" s="139" t="s">
        <v>14251</v>
      </c>
      <c r="C6088" s="139" t="s">
        <v>123</v>
      </c>
      <c r="D6088" s="139" t="s">
        <v>14254</v>
      </c>
    </row>
    <row r="6089" spans="1:4" x14ac:dyDescent="0.25">
      <c r="A6089" s="139" t="s">
        <v>14255</v>
      </c>
      <c r="B6089" s="139" t="s">
        <v>14256</v>
      </c>
      <c r="C6089" s="139" t="s">
        <v>127</v>
      </c>
      <c r="D6089" s="139" t="s">
        <v>14257</v>
      </c>
    </row>
    <row r="6090" spans="1:4" x14ac:dyDescent="0.25">
      <c r="A6090" s="139" t="s">
        <v>14258</v>
      </c>
      <c r="B6090" s="139" t="s">
        <v>14256</v>
      </c>
      <c r="C6090" s="139" t="s">
        <v>127</v>
      </c>
      <c r="D6090" s="139" t="s">
        <v>14259</v>
      </c>
    </row>
    <row r="6091" spans="1:4" x14ac:dyDescent="0.25">
      <c r="A6091" s="139" t="s">
        <v>14260</v>
      </c>
      <c r="B6091" s="139" t="s">
        <v>13849</v>
      </c>
      <c r="C6091" s="139" t="s">
        <v>127</v>
      </c>
      <c r="D6091" s="139" t="s">
        <v>14261</v>
      </c>
    </row>
    <row r="6092" spans="1:4" x14ac:dyDescent="0.25">
      <c r="A6092" s="139" t="s">
        <v>14262</v>
      </c>
      <c r="B6092" s="139" t="s">
        <v>13849</v>
      </c>
      <c r="C6092" s="139" t="s">
        <v>127</v>
      </c>
      <c r="D6092" s="139" t="s">
        <v>14263</v>
      </c>
    </row>
    <row r="6093" spans="1:4" x14ac:dyDescent="0.25">
      <c r="A6093" s="139" t="s">
        <v>14264</v>
      </c>
      <c r="B6093" s="139" t="s">
        <v>14265</v>
      </c>
      <c r="C6093" s="139" t="s">
        <v>127</v>
      </c>
      <c r="D6093" s="139" t="s">
        <v>14266</v>
      </c>
    </row>
    <row r="6094" spans="1:4" x14ac:dyDescent="0.25">
      <c r="A6094" s="139" t="s">
        <v>14267</v>
      </c>
      <c r="B6094" s="139" t="s">
        <v>14265</v>
      </c>
      <c r="C6094" s="139" t="s">
        <v>127</v>
      </c>
      <c r="D6094" s="139" t="s">
        <v>14268</v>
      </c>
    </row>
    <row r="6095" spans="1:4" x14ac:dyDescent="0.25">
      <c r="A6095" s="139" t="s">
        <v>14269</v>
      </c>
      <c r="B6095" s="139" t="s">
        <v>12827</v>
      </c>
      <c r="C6095" s="139" t="s">
        <v>127</v>
      </c>
      <c r="D6095" s="139" t="s">
        <v>14270</v>
      </c>
    </row>
    <row r="6096" spans="1:4" x14ac:dyDescent="0.25">
      <c r="A6096" s="139" t="s">
        <v>14271</v>
      </c>
      <c r="B6096" s="139" t="s">
        <v>12827</v>
      </c>
      <c r="C6096" s="139" t="s">
        <v>127</v>
      </c>
      <c r="D6096" s="139" t="s">
        <v>14272</v>
      </c>
    </row>
    <row r="6097" spans="1:4" x14ac:dyDescent="0.25">
      <c r="A6097" s="139" t="s">
        <v>14273</v>
      </c>
      <c r="B6097" s="139" t="s">
        <v>14274</v>
      </c>
      <c r="C6097" s="139" t="s">
        <v>127</v>
      </c>
      <c r="D6097" s="139" t="s">
        <v>14275</v>
      </c>
    </row>
    <row r="6098" spans="1:4" x14ac:dyDescent="0.25">
      <c r="A6098" s="139" t="s">
        <v>14276</v>
      </c>
      <c r="B6098" s="139" t="s">
        <v>14274</v>
      </c>
      <c r="C6098" s="139" t="s">
        <v>127</v>
      </c>
      <c r="D6098" s="139" t="s">
        <v>14277</v>
      </c>
    </row>
    <row r="6099" spans="1:4" x14ac:dyDescent="0.25">
      <c r="A6099" s="139" t="s">
        <v>14278</v>
      </c>
      <c r="B6099" s="139" t="s">
        <v>8815</v>
      </c>
      <c r="C6099" s="139" t="s">
        <v>33</v>
      </c>
      <c r="D6099" s="139" t="s">
        <v>14279</v>
      </c>
    </row>
    <row r="6100" spans="1:4" x14ac:dyDescent="0.25">
      <c r="A6100" s="139" t="s">
        <v>14280</v>
      </c>
      <c r="B6100" s="139" t="s">
        <v>8815</v>
      </c>
      <c r="C6100" s="139" t="s">
        <v>33</v>
      </c>
      <c r="D6100" s="139" t="s">
        <v>14281</v>
      </c>
    </row>
    <row r="6101" spans="1:4" x14ac:dyDescent="0.25">
      <c r="A6101" s="139" t="s">
        <v>14282</v>
      </c>
      <c r="B6101" s="139" t="s">
        <v>6449</v>
      </c>
      <c r="C6101" s="139" t="s">
        <v>33</v>
      </c>
      <c r="D6101" s="139" t="s">
        <v>14283</v>
      </c>
    </row>
    <row r="6102" spans="1:4" x14ac:dyDescent="0.25">
      <c r="A6102" s="139" t="s">
        <v>14284</v>
      </c>
      <c r="B6102" s="139" t="s">
        <v>6449</v>
      </c>
      <c r="C6102" s="139" t="s">
        <v>33</v>
      </c>
      <c r="D6102" s="139" t="s">
        <v>14285</v>
      </c>
    </row>
    <row r="6103" spans="1:4" x14ac:dyDescent="0.25">
      <c r="A6103" s="139" t="s">
        <v>14286</v>
      </c>
      <c r="B6103" s="139" t="s">
        <v>1039</v>
      </c>
      <c r="C6103" s="139" t="s">
        <v>664</v>
      </c>
      <c r="D6103" s="139" t="s">
        <v>14287</v>
      </c>
    </row>
    <row r="6104" spans="1:4" x14ac:dyDescent="0.25">
      <c r="A6104" s="139" t="s">
        <v>14288</v>
      </c>
      <c r="B6104" s="139" t="s">
        <v>1039</v>
      </c>
      <c r="C6104" s="139" t="s">
        <v>664</v>
      </c>
      <c r="D6104" s="139" t="s">
        <v>14289</v>
      </c>
    </row>
    <row r="6105" spans="1:4" x14ac:dyDescent="0.25">
      <c r="A6105" s="139" t="s">
        <v>14290</v>
      </c>
      <c r="B6105" s="139" t="s">
        <v>14291</v>
      </c>
      <c r="C6105" s="139" t="s">
        <v>33</v>
      </c>
      <c r="D6105" s="139" t="s">
        <v>14292</v>
      </c>
    </row>
    <row r="6106" spans="1:4" x14ac:dyDescent="0.25">
      <c r="A6106" s="139" t="s">
        <v>14293</v>
      </c>
      <c r="B6106" s="139" t="s">
        <v>14291</v>
      </c>
      <c r="C6106" s="139" t="s">
        <v>33</v>
      </c>
      <c r="D6106" s="139" t="s">
        <v>14294</v>
      </c>
    </row>
    <row r="6107" spans="1:4" x14ac:dyDescent="0.25">
      <c r="A6107" s="139" t="s">
        <v>14295</v>
      </c>
      <c r="B6107" s="139" t="s">
        <v>14296</v>
      </c>
      <c r="C6107" s="139" t="s">
        <v>123</v>
      </c>
      <c r="D6107" s="139" t="s">
        <v>14297</v>
      </c>
    </row>
    <row r="6108" spans="1:4" x14ac:dyDescent="0.25">
      <c r="A6108" s="139" t="s">
        <v>14298</v>
      </c>
      <c r="B6108" s="139" t="s">
        <v>14296</v>
      </c>
      <c r="C6108" s="139" t="s">
        <v>123</v>
      </c>
      <c r="D6108" s="139" t="s">
        <v>14299</v>
      </c>
    </row>
    <row r="6109" spans="1:4" x14ac:dyDescent="0.25">
      <c r="A6109" s="139" t="s">
        <v>14300</v>
      </c>
      <c r="B6109" s="139" t="s">
        <v>3951</v>
      </c>
      <c r="C6109" s="139" t="s">
        <v>33</v>
      </c>
      <c r="D6109" s="139" t="s">
        <v>14301</v>
      </c>
    </row>
    <row r="6110" spans="1:4" x14ac:dyDescent="0.25">
      <c r="A6110" s="139" t="s">
        <v>14302</v>
      </c>
      <c r="B6110" s="139" t="s">
        <v>3951</v>
      </c>
      <c r="C6110" s="139" t="s">
        <v>33</v>
      </c>
      <c r="D6110" s="139" t="s">
        <v>14303</v>
      </c>
    </row>
    <row r="6111" spans="1:4" x14ac:dyDescent="0.25">
      <c r="A6111" s="139" t="s">
        <v>14304</v>
      </c>
      <c r="B6111" s="139" t="s">
        <v>14305</v>
      </c>
      <c r="C6111" s="139" t="s">
        <v>127</v>
      </c>
      <c r="D6111" s="139" t="s">
        <v>14306</v>
      </c>
    </row>
    <row r="6112" spans="1:4" x14ac:dyDescent="0.25">
      <c r="A6112" s="139" t="s">
        <v>14307</v>
      </c>
      <c r="B6112" s="139" t="s">
        <v>14305</v>
      </c>
      <c r="C6112" s="139" t="s">
        <v>127</v>
      </c>
      <c r="D6112" s="139" t="s">
        <v>14308</v>
      </c>
    </row>
    <row r="6113" spans="1:4" x14ac:dyDescent="0.25">
      <c r="A6113" s="139" t="s">
        <v>14309</v>
      </c>
      <c r="B6113" s="139" t="s">
        <v>13831</v>
      </c>
      <c r="C6113" s="139" t="s">
        <v>127</v>
      </c>
      <c r="D6113" s="139" t="s">
        <v>14310</v>
      </c>
    </row>
    <row r="6114" spans="1:4" x14ac:dyDescent="0.25">
      <c r="A6114" s="139" t="s">
        <v>14311</v>
      </c>
      <c r="B6114" s="139" t="s">
        <v>13831</v>
      </c>
      <c r="C6114" s="139" t="s">
        <v>127</v>
      </c>
      <c r="D6114" s="139" t="s">
        <v>14312</v>
      </c>
    </row>
    <row r="6115" spans="1:4" x14ac:dyDescent="0.25">
      <c r="A6115" s="139" t="s">
        <v>14313</v>
      </c>
      <c r="B6115" s="139" t="s">
        <v>14314</v>
      </c>
      <c r="C6115" s="139" t="s">
        <v>127</v>
      </c>
      <c r="D6115" s="139" t="s">
        <v>14315</v>
      </c>
    </row>
    <row r="6116" spans="1:4" x14ac:dyDescent="0.25">
      <c r="A6116" s="139" t="s">
        <v>14316</v>
      </c>
      <c r="B6116" s="139" t="s">
        <v>14314</v>
      </c>
      <c r="C6116" s="139" t="s">
        <v>127</v>
      </c>
      <c r="D6116" s="139" t="s">
        <v>14317</v>
      </c>
    </row>
    <row r="6117" spans="1:4" x14ac:dyDescent="0.25">
      <c r="A6117" s="139" t="s">
        <v>14318</v>
      </c>
      <c r="B6117" s="139" t="s">
        <v>14319</v>
      </c>
      <c r="C6117" s="139" t="s">
        <v>65</v>
      </c>
      <c r="D6117" s="139" t="s">
        <v>14320</v>
      </c>
    </row>
    <row r="6118" spans="1:4" x14ac:dyDescent="0.25">
      <c r="A6118" s="139" t="s">
        <v>14321</v>
      </c>
      <c r="B6118" s="139" t="s">
        <v>14319</v>
      </c>
      <c r="C6118" s="139" t="s">
        <v>65</v>
      </c>
      <c r="D6118" s="139" t="s">
        <v>14322</v>
      </c>
    </row>
    <row r="6119" spans="1:4" x14ac:dyDescent="0.25">
      <c r="A6119" s="139" t="s">
        <v>14323</v>
      </c>
      <c r="B6119" s="139" t="s">
        <v>14314</v>
      </c>
      <c r="C6119" s="139" t="s">
        <v>65</v>
      </c>
      <c r="D6119" s="139" t="s">
        <v>14324</v>
      </c>
    </row>
    <row r="6120" spans="1:4" x14ac:dyDescent="0.25">
      <c r="A6120" s="139" t="s">
        <v>14325</v>
      </c>
      <c r="B6120" s="139" t="s">
        <v>14314</v>
      </c>
      <c r="C6120" s="139" t="s">
        <v>65</v>
      </c>
      <c r="D6120" s="139" t="s">
        <v>14326</v>
      </c>
    </row>
    <row r="6121" spans="1:4" x14ac:dyDescent="0.25">
      <c r="A6121" s="139" t="s">
        <v>14327</v>
      </c>
      <c r="B6121" s="139" t="s">
        <v>1054</v>
      </c>
      <c r="C6121" s="139" t="s">
        <v>65</v>
      </c>
      <c r="D6121" s="139" t="s">
        <v>14328</v>
      </c>
    </row>
    <row r="6122" spans="1:4" x14ac:dyDescent="0.25">
      <c r="A6122" s="139" t="s">
        <v>14329</v>
      </c>
      <c r="B6122" s="139" t="s">
        <v>1054</v>
      </c>
      <c r="C6122" s="139" t="s">
        <v>65</v>
      </c>
      <c r="D6122" s="139" t="s">
        <v>14330</v>
      </c>
    </row>
    <row r="6123" spans="1:4" x14ac:dyDescent="0.25">
      <c r="A6123" s="139" t="s">
        <v>14331</v>
      </c>
      <c r="B6123" s="139" t="s">
        <v>14332</v>
      </c>
      <c r="C6123" s="139" t="s">
        <v>112</v>
      </c>
      <c r="D6123" s="139" t="s">
        <v>14333</v>
      </c>
    </row>
    <row r="6124" spans="1:4" x14ac:dyDescent="0.25">
      <c r="A6124" s="139" t="s">
        <v>14334</v>
      </c>
      <c r="B6124" s="139" t="s">
        <v>14332</v>
      </c>
      <c r="C6124" s="139" t="s">
        <v>112</v>
      </c>
      <c r="D6124" s="139" t="s">
        <v>14335</v>
      </c>
    </row>
    <row r="6125" spans="1:4" x14ac:dyDescent="0.25">
      <c r="A6125" s="139" t="s">
        <v>14336</v>
      </c>
      <c r="B6125" s="139" t="s">
        <v>14337</v>
      </c>
      <c r="C6125" s="139" t="s">
        <v>112</v>
      </c>
      <c r="D6125" s="139" t="s">
        <v>14338</v>
      </c>
    </row>
    <row r="6126" spans="1:4" x14ac:dyDescent="0.25">
      <c r="A6126" s="139" t="s">
        <v>14339</v>
      </c>
      <c r="B6126" s="139" t="s">
        <v>14337</v>
      </c>
      <c r="C6126" s="139" t="s">
        <v>112</v>
      </c>
      <c r="D6126" s="139" t="s">
        <v>14340</v>
      </c>
    </row>
    <row r="6127" spans="1:4" x14ac:dyDescent="0.25">
      <c r="A6127" s="139" t="s">
        <v>14341</v>
      </c>
      <c r="B6127" s="139" t="s">
        <v>13278</v>
      </c>
      <c r="C6127" s="139" t="s">
        <v>112</v>
      </c>
      <c r="D6127" s="139" t="s">
        <v>14342</v>
      </c>
    </row>
    <row r="6128" spans="1:4" x14ac:dyDescent="0.25">
      <c r="A6128" s="139" t="s">
        <v>14343</v>
      </c>
      <c r="B6128" s="139" t="s">
        <v>13278</v>
      </c>
      <c r="C6128" s="139" t="s">
        <v>112</v>
      </c>
      <c r="D6128" s="139" t="s">
        <v>14344</v>
      </c>
    </row>
    <row r="6129" spans="1:4" x14ac:dyDescent="0.25">
      <c r="A6129" s="139" t="s">
        <v>14345</v>
      </c>
      <c r="B6129" s="139" t="s">
        <v>14346</v>
      </c>
      <c r="C6129" s="139" t="s">
        <v>112</v>
      </c>
      <c r="D6129" s="139" t="s">
        <v>14347</v>
      </c>
    </row>
    <row r="6130" spans="1:4" x14ac:dyDescent="0.25">
      <c r="A6130" s="139" t="s">
        <v>14348</v>
      </c>
      <c r="B6130" s="139" t="s">
        <v>14346</v>
      </c>
      <c r="C6130" s="139" t="s">
        <v>112</v>
      </c>
      <c r="D6130" s="139" t="s">
        <v>14349</v>
      </c>
    </row>
    <row r="6131" spans="1:4" x14ac:dyDescent="0.25">
      <c r="A6131" s="139" t="s">
        <v>14350</v>
      </c>
      <c r="B6131" s="139" t="s">
        <v>11064</v>
      </c>
      <c r="C6131" s="139" t="s">
        <v>112</v>
      </c>
      <c r="D6131" s="139" t="s">
        <v>14351</v>
      </c>
    </row>
    <row r="6132" spans="1:4" x14ac:dyDescent="0.25">
      <c r="A6132" s="139" t="s">
        <v>14352</v>
      </c>
      <c r="B6132" s="139" t="s">
        <v>11064</v>
      </c>
      <c r="C6132" s="139" t="s">
        <v>112</v>
      </c>
      <c r="D6132" s="139" t="s">
        <v>14353</v>
      </c>
    </row>
    <row r="6133" spans="1:4" x14ac:dyDescent="0.25">
      <c r="A6133" s="139" t="s">
        <v>14354</v>
      </c>
      <c r="B6133" s="139" t="s">
        <v>14355</v>
      </c>
      <c r="C6133" s="139" t="s">
        <v>112</v>
      </c>
      <c r="D6133" s="139" t="s">
        <v>14356</v>
      </c>
    </row>
    <row r="6134" spans="1:4" x14ac:dyDescent="0.25">
      <c r="A6134" s="139" t="s">
        <v>14357</v>
      </c>
      <c r="B6134" s="139" t="s">
        <v>14355</v>
      </c>
      <c r="C6134" s="139" t="s">
        <v>112</v>
      </c>
      <c r="D6134" s="139" t="s">
        <v>14358</v>
      </c>
    </row>
    <row r="6135" spans="1:4" x14ac:dyDescent="0.25">
      <c r="A6135" s="139" t="s">
        <v>14359</v>
      </c>
      <c r="B6135" s="139" t="s">
        <v>13351</v>
      </c>
      <c r="C6135" s="139" t="s">
        <v>112</v>
      </c>
      <c r="D6135" s="139" t="s">
        <v>14360</v>
      </c>
    </row>
    <row r="6136" spans="1:4" x14ac:dyDescent="0.25">
      <c r="A6136" s="139" t="s">
        <v>14361</v>
      </c>
      <c r="B6136" s="139" t="s">
        <v>13351</v>
      </c>
      <c r="C6136" s="139" t="s">
        <v>112</v>
      </c>
      <c r="D6136" s="139" t="s">
        <v>14362</v>
      </c>
    </row>
    <row r="6137" spans="1:4" x14ac:dyDescent="0.25">
      <c r="A6137" s="139" t="s">
        <v>14363</v>
      </c>
      <c r="B6137" s="139" t="s">
        <v>14364</v>
      </c>
      <c r="C6137" s="139" t="s">
        <v>112</v>
      </c>
      <c r="D6137" s="139" t="s">
        <v>14365</v>
      </c>
    </row>
    <row r="6138" spans="1:4" x14ac:dyDescent="0.25">
      <c r="A6138" s="139" t="s">
        <v>14366</v>
      </c>
      <c r="B6138" s="139" t="s">
        <v>14364</v>
      </c>
      <c r="C6138" s="139" t="s">
        <v>112</v>
      </c>
      <c r="D6138" s="139" t="s">
        <v>14367</v>
      </c>
    </row>
    <row r="6139" spans="1:4" x14ac:dyDescent="0.25">
      <c r="A6139" s="139" t="s">
        <v>14368</v>
      </c>
      <c r="B6139" s="139" t="s">
        <v>14369</v>
      </c>
      <c r="C6139" s="139" t="s">
        <v>112</v>
      </c>
      <c r="D6139" s="139" t="s">
        <v>14370</v>
      </c>
    </row>
    <row r="6140" spans="1:4" x14ac:dyDescent="0.25">
      <c r="A6140" s="139" t="s">
        <v>14371</v>
      </c>
      <c r="B6140" s="139" t="s">
        <v>14369</v>
      </c>
      <c r="C6140" s="139" t="s">
        <v>112</v>
      </c>
      <c r="D6140" s="139" t="s">
        <v>14372</v>
      </c>
    </row>
    <row r="6141" spans="1:4" x14ac:dyDescent="0.25">
      <c r="A6141" s="139" t="s">
        <v>14373</v>
      </c>
      <c r="B6141" s="139" t="s">
        <v>14374</v>
      </c>
      <c r="C6141" s="139" t="s">
        <v>123</v>
      </c>
      <c r="D6141" s="139" t="s">
        <v>14375</v>
      </c>
    </row>
    <row r="6142" spans="1:4" x14ac:dyDescent="0.25">
      <c r="A6142" s="139" t="s">
        <v>14376</v>
      </c>
      <c r="B6142" s="139" t="s">
        <v>14374</v>
      </c>
      <c r="C6142" s="139" t="s">
        <v>123</v>
      </c>
      <c r="D6142" s="139" t="s">
        <v>14377</v>
      </c>
    </row>
    <row r="6143" spans="1:4" x14ac:dyDescent="0.25">
      <c r="A6143" s="139" t="s">
        <v>14378</v>
      </c>
      <c r="B6143" s="139" t="s">
        <v>14379</v>
      </c>
      <c r="C6143" s="139" t="s">
        <v>112</v>
      </c>
      <c r="D6143" s="139" t="s">
        <v>14380</v>
      </c>
    </row>
    <row r="6144" spans="1:4" x14ac:dyDescent="0.25">
      <c r="A6144" s="139" t="s">
        <v>14381</v>
      </c>
      <c r="B6144" s="139" t="s">
        <v>14379</v>
      </c>
      <c r="C6144" s="139" t="s">
        <v>112</v>
      </c>
      <c r="D6144" s="139" t="s">
        <v>14382</v>
      </c>
    </row>
    <row r="6145" spans="1:4" x14ac:dyDescent="0.25">
      <c r="A6145" s="139" t="s">
        <v>14383</v>
      </c>
      <c r="B6145" s="139" t="s">
        <v>14384</v>
      </c>
      <c r="C6145" s="139" t="s">
        <v>112</v>
      </c>
      <c r="D6145" s="139" t="s">
        <v>14385</v>
      </c>
    </row>
    <row r="6146" spans="1:4" x14ac:dyDescent="0.25">
      <c r="A6146" s="139" t="s">
        <v>14386</v>
      </c>
      <c r="B6146" s="139" t="s">
        <v>14384</v>
      </c>
      <c r="C6146" s="139" t="s">
        <v>112</v>
      </c>
      <c r="D6146" s="139" t="s">
        <v>14387</v>
      </c>
    </row>
    <row r="6147" spans="1:4" x14ac:dyDescent="0.25">
      <c r="A6147" s="139" t="s">
        <v>14388</v>
      </c>
      <c r="B6147" s="139" t="s">
        <v>14389</v>
      </c>
      <c r="C6147" s="139" t="s">
        <v>112</v>
      </c>
      <c r="D6147" s="139" t="s">
        <v>14390</v>
      </c>
    </row>
    <row r="6148" spans="1:4" x14ac:dyDescent="0.25">
      <c r="A6148" s="139" t="s">
        <v>14391</v>
      </c>
      <c r="B6148" s="139" t="s">
        <v>14389</v>
      </c>
      <c r="C6148" s="139" t="s">
        <v>112</v>
      </c>
      <c r="D6148" s="139" t="s">
        <v>14392</v>
      </c>
    </row>
    <row r="6149" spans="1:4" x14ac:dyDescent="0.25">
      <c r="A6149" s="139" t="s">
        <v>14393</v>
      </c>
      <c r="B6149" s="139" t="s">
        <v>14394</v>
      </c>
      <c r="C6149" s="139" t="s">
        <v>375</v>
      </c>
      <c r="D6149" s="139" t="s">
        <v>14395</v>
      </c>
    </row>
    <row r="6150" spans="1:4" x14ac:dyDescent="0.25">
      <c r="A6150" s="139" t="s">
        <v>14396</v>
      </c>
      <c r="B6150" s="139" t="s">
        <v>14394</v>
      </c>
      <c r="C6150" s="139" t="s">
        <v>375</v>
      </c>
      <c r="D6150" s="139" t="s">
        <v>14397</v>
      </c>
    </row>
    <row r="6151" spans="1:4" x14ac:dyDescent="0.25">
      <c r="A6151" s="139" t="s">
        <v>14398</v>
      </c>
      <c r="B6151" s="139" t="s">
        <v>14399</v>
      </c>
      <c r="C6151" s="139" t="s">
        <v>112</v>
      </c>
      <c r="D6151" s="139" t="s">
        <v>14400</v>
      </c>
    </row>
    <row r="6152" spans="1:4" x14ac:dyDescent="0.25">
      <c r="A6152" s="139" t="s">
        <v>14401</v>
      </c>
      <c r="B6152" s="139" t="s">
        <v>14399</v>
      </c>
      <c r="C6152" s="139" t="s">
        <v>112</v>
      </c>
      <c r="D6152" s="139" t="s">
        <v>14402</v>
      </c>
    </row>
    <row r="6153" spans="1:4" x14ac:dyDescent="0.25">
      <c r="A6153" s="139" t="s">
        <v>14403</v>
      </c>
      <c r="B6153" s="139" t="s">
        <v>14404</v>
      </c>
      <c r="C6153" s="139" t="s">
        <v>112</v>
      </c>
      <c r="D6153" s="139" t="s">
        <v>14405</v>
      </c>
    </row>
    <row r="6154" spans="1:4" x14ac:dyDescent="0.25">
      <c r="A6154" s="139" t="s">
        <v>14406</v>
      </c>
      <c r="B6154" s="139" t="s">
        <v>14404</v>
      </c>
      <c r="C6154" s="139" t="s">
        <v>112</v>
      </c>
      <c r="D6154" s="139" t="s">
        <v>14407</v>
      </c>
    </row>
    <row r="6155" spans="1:4" x14ac:dyDescent="0.25">
      <c r="A6155" s="139" t="s">
        <v>14408</v>
      </c>
      <c r="B6155" s="139" t="s">
        <v>3024</v>
      </c>
      <c r="C6155" s="139" t="s">
        <v>112</v>
      </c>
      <c r="D6155" s="139" t="s">
        <v>14409</v>
      </c>
    </row>
    <row r="6156" spans="1:4" x14ac:dyDescent="0.25">
      <c r="A6156" s="139" t="s">
        <v>14410</v>
      </c>
      <c r="B6156" s="139" t="s">
        <v>3024</v>
      </c>
      <c r="C6156" s="139" t="s">
        <v>112</v>
      </c>
      <c r="D6156" s="139" t="s">
        <v>14411</v>
      </c>
    </row>
    <row r="6157" spans="1:4" x14ac:dyDescent="0.25">
      <c r="A6157" s="139" t="s">
        <v>14412</v>
      </c>
      <c r="B6157" s="139" t="s">
        <v>14413</v>
      </c>
      <c r="C6157" s="139" t="s">
        <v>112</v>
      </c>
      <c r="D6157" s="139" t="s">
        <v>14414</v>
      </c>
    </row>
    <row r="6158" spans="1:4" x14ac:dyDescent="0.25">
      <c r="A6158" s="139" t="s">
        <v>14415</v>
      </c>
      <c r="B6158" s="139" t="s">
        <v>14413</v>
      </c>
      <c r="C6158" s="139" t="s">
        <v>112</v>
      </c>
      <c r="D6158" s="139" t="s">
        <v>14416</v>
      </c>
    </row>
    <row r="6159" spans="1:4" x14ac:dyDescent="0.25">
      <c r="A6159" s="139" t="s">
        <v>14417</v>
      </c>
      <c r="B6159" s="139" t="s">
        <v>14418</v>
      </c>
      <c r="C6159" s="139" t="s">
        <v>112</v>
      </c>
      <c r="D6159" s="139" t="s">
        <v>14419</v>
      </c>
    </row>
    <row r="6160" spans="1:4" x14ac:dyDescent="0.25">
      <c r="A6160" s="139" t="s">
        <v>14420</v>
      </c>
      <c r="B6160" s="139" t="s">
        <v>14418</v>
      </c>
      <c r="C6160" s="139" t="s">
        <v>112</v>
      </c>
      <c r="D6160" s="139" t="s">
        <v>14421</v>
      </c>
    </row>
    <row r="6161" spans="1:4" x14ac:dyDescent="0.25">
      <c r="A6161" s="139" t="s">
        <v>14422</v>
      </c>
      <c r="B6161" s="139" t="s">
        <v>14423</v>
      </c>
      <c r="C6161" s="139" t="s">
        <v>112</v>
      </c>
      <c r="D6161" s="139" t="s">
        <v>14424</v>
      </c>
    </row>
    <row r="6162" spans="1:4" x14ac:dyDescent="0.25">
      <c r="A6162" s="139" t="s">
        <v>14425</v>
      </c>
      <c r="B6162" s="139" t="s">
        <v>14423</v>
      </c>
      <c r="C6162" s="139" t="s">
        <v>112</v>
      </c>
      <c r="D6162" s="139" t="s">
        <v>14426</v>
      </c>
    </row>
    <row r="6163" spans="1:4" x14ac:dyDescent="0.25">
      <c r="A6163" s="139" t="s">
        <v>14427</v>
      </c>
      <c r="B6163" s="139" t="s">
        <v>14428</v>
      </c>
      <c r="C6163" s="139" t="s">
        <v>112</v>
      </c>
      <c r="D6163" s="139" t="s">
        <v>14429</v>
      </c>
    </row>
    <row r="6164" spans="1:4" x14ac:dyDescent="0.25">
      <c r="A6164" s="139" t="s">
        <v>14430</v>
      </c>
      <c r="B6164" s="139" t="s">
        <v>14428</v>
      </c>
      <c r="C6164" s="139" t="s">
        <v>112</v>
      </c>
      <c r="D6164" s="139" t="s">
        <v>14431</v>
      </c>
    </row>
    <row r="6165" spans="1:4" x14ac:dyDescent="0.25">
      <c r="A6165" s="139" t="s">
        <v>14432</v>
      </c>
      <c r="B6165" s="139" t="s">
        <v>14433</v>
      </c>
      <c r="C6165" s="139" t="s">
        <v>112</v>
      </c>
      <c r="D6165" s="139" t="s">
        <v>14434</v>
      </c>
    </row>
    <row r="6166" spans="1:4" x14ac:dyDescent="0.25">
      <c r="A6166" s="139" t="s">
        <v>14435</v>
      </c>
      <c r="B6166" s="139" t="s">
        <v>14433</v>
      </c>
      <c r="C6166" s="139" t="s">
        <v>112</v>
      </c>
      <c r="D6166" s="139" t="s">
        <v>14436</v>
      </c>
    </row>
    <row r="6167" spans="1:4" x14ac:dyDescent="0.25">
      <c r="A6167" s="139" t="s">
        <v>14437</v>
      </c>
      <c r="B6167" s="139" t="s">
        <v>14438</v>
      </c>
      <c r="C6167" s="139" t="s">
        <v>112</v>
      </c>
      <c r="D6167" s="139" t="s">
        <v>14439</v>
      </c>
    </row>
    <row r="6168" spans="1:4" x14ac:dyDescent="0.25">
      <c r="A6168" s="139" t="s">
        <v>14440</v>
      </c>
      <c r="B6168" s="139" t="s">
        <v>14438</v>
      </c>
      <c r="C6168" s="139" t="s">
        <v>112</v>
      </c>
      <c r="D6168" s="139" t="s">
        <v>14441</v>
      </c>
    </row>
    <row r="6169" spans="1:4" x14ac:dyDescent="0.25">
      <c r="A6169" s="139" t="s">
        <v>14442</v>
      </c>
      <c r="B6169" s="139" t="s">
        <v>14443</v>
      </c>
      <c r="C6169" s="139" t="s">
        <v>112</v>
      </c>
      <c r="D6169" s="139" t="s">
        <v>14444</v>
      </c>
    </row>
    <row r="6170" spans="1:4" x14ac:dyDescent="0.25">
      <c r="A6170" s="139" t="s">
        <v>14445</v>
      </c>
      <c r="B6170" s="139" t="s">
        <v>14443</v>
      </c>
      <c r="C6170" s="139" t="s">
        <v>112</v>
      </c>
      <c r="D6170" s="139" t="s">
        <v>14446</v>
      </c>
    </row>
    <row r="6171" spans="1:4" x14ac:dyDescent="0.25">
      <c r="A6171" s="139" t="s">
        <v>14447</v>
      </c>
      <c r="B6171" s="139" t="s">
        <v>14448</v>
      </c>
      <c r="C6171" s="139" t="s">
        <v>112</v>
      </c>
      <c r="D6171" s="139" t="s">
        <v>14449</v>
      </c>
    </row>
    <row r="6172" spans="1:4" x14ac:dyDescent="0.25">
      <c r="A6172" s="139" t="s">
        <v>14450</v>
      </c>
      <c r="B6172" s="139" t="s">
        <v>14448</v>
      </c>
      <c r="C6172" s="139" t="s">
        <v>112</v>
      </c>
      <c r="D6172" s="139" t="s">
        <v>14451</v>
      </c>
    </row>
    <row r="6173" spans="1:4" x14ac:dyDescent="0.25">
      <c r="A6173" s="139" t="s">
        <v>14452</v>
      </c>
      <c r="B6173" s="139" t="s">
        <v>14453</v>
      </c>
      <c r="C6173" s="139" t="s">
        <v>112</v>
      </c>
      <c r="D6173" s="139" t="s">
        <v>14454</v>
      </c>
    </row>
    <row r="6174" spans="1:4" x14ac:dyDescent="0.25">
      <c r="A6174" s="139" t="s">
        <v>14455</v>
      </c>
      <c r="B6174" s="139" t="s">
        <v>14453</v>
      </c>
      <c r="C6174" s="139" t="s">
        <v>112</v>
      </c>
      <c r="D6174" s="139" t="s">
        <v>14456</v>
      </c>
    </row>
    <row r="6175" spans="1:4" x14ac:dyDescent="0.25">
      <c r="A6175" s="139" t="s">
        <v>14457</v>
      </c>
      <c r="B6175" s="139" t="s">
        <v>14458</v>
      </c>
      <c r="C6175" s="139" t="s">
        <v>112</v>
      </c>
      <c r="D6175" s="139" t="s">
        <v>14459</v>
      </c>
    </row>
    <row r="6176" spans="1:4" x14ac:dyDescent="0.25">
      <c r="A6176" s="139" t="s">
        <v>14460</v>
      </c>
      <c r="B6176" s="139" t="s">
        <v>14458</v>
      </c>
      <c r="C6176" s="139" t="s">
        <v>112</v>
      </c>
      <c r="D6176" s="139" t="s">
        <v>14461</v>
      </c>
    </row>
    <row r="6177" spans="1:4" x14ac:dyDescent="0.25">
      <c r="A6177" s="139" t="s">
        <v>14462</v>
      </c>
      <c r="B6177" s="139" t="s">
        <v>14463</v>
      </c>
      <c r="C6177" s="139" t="s">
        <v>112</v>
      </c>
      <c r="D6177" s="139" t="s">
        <v>14464</v>
      </c>
    </row>
    <row r="6178" spans="1:4" x14ac:dyDescent="0.25">
      <c r="A6178" s="139" t="s">
        <v>14465</v>
      </c>
      <c r="B6178" s="139" t="s">
        <v>14463</v>
      </c>
      <c r="C6178" s="139" t="s">
        <v>112</v>
      </c>
      <c r="D6178" s="139" t="s">
        <v>14466</v>
      </c>
    </row>
    <row r="6179" spans="1:4" x14ac:dyDescent="0.25">
      <c r="A6179" s="139" t="s">
        <v>14467</v>
      </c>
      <c r="B6179" s="139" t="s">
        <v>14468</v>
      </c>
      <c r="C6179" s="139" t="s">
        <v>112</v>
      </c>
      <c r="D6179" s="139" t="s">
        <v>14469</v>
      </c>
    </row>
    <row r="6180" spans="1:4" x14ac:dyDescent="0.25">
      <c r="A6180" s="139" t="s">
        <v>14470</v>
      </c>
      <c r="B6180" s="139" t="s">
        <v>14468</v>
      </c>
      <c r="C6180" s="139" t="s">
        <v>112</v>
      </c>
      <c r="D6180" s="139" t="s">
        <v>14471</v>
      </c>
    </row>
    <row r="6181" spans="1:4" x14ac:dyDescent="0.25">
      <c r="A6181" s="139" t="s">
        <v>14472</v>
      </c>
      <c r="B6181" s="139" t="s">
        <v>12889</v>
      </c>
      <c r="C6181" s="139" t="s">
        <v>112</v>
      </c>
      <c r="D6181" s="139" t="s">
        <v>14473</v>
      </c>
    </row>
    <row r="6182" spans="1:4" x14ac:dyDescent="0.25">
      <c r="A6182" s="139" t="s">
        <v>14474</v>
      </c>
      <c r="B6182" s="139" t="s">
        <v>12946</v>
      </c>
      <c r="C6182" s="139" t="s">
        <v>112</v>
      </c>
      <c r="D6182" s="139" t="s">
        <v>14475</v>
      </c>
    </row>
    <row r="6183" spans="1:4" x14ac:dyDescent="0.25">
      <c r="A6183" s="139" t="s">
        <v>14476</v>
      </c>
      <c r="B6183" s="139" t="s">
        <v>13393</v>
      </c>
      <c r="C6183" s="139" t="s">
        <v>112</v>
      </c>
      <c r="D6183" s="139" t="s">
        <v>14477</v>
      </c>
    </row>
    <row r="6184" spans="1:4" x14ac:dyDescent="0.25">
      <c r="A6184" s="139" t="s">
        <v>14478</v>
      </c>
      <c r="B6184" s="139" t="s">
        <v>13393</v>
      </c>
      <c r="C6184" s="139" t="s">
        <v>112</v>
      </c>
      <c r="D6184" s="139" t="s">
        <v>14479</v>
      </c>
    </row>
    <row r="6185" spans="1:4" x14ac:dyDescent="0.25">
      <c r="A6185" s="139" t="s">
        <v>14480</v>
      </c>
      <c r="B6185" s="139" t="s">
        <v>14481</v>
      </c>
      <c r="C6185" s="139" t="s">
        <v>112</v>
      </c>
      <c r="D6185" s="139" t="s">
        <v>14482</v>
      </c>
    </row>
    <row r="6186" spans="1:4" x14ac:dyDescent="0.25">
      <c r="A6186" s="139" t="s">
        <v>14483</v>
      </c>
      <c r="B6186" s="139" t="s">
        <v>14481</v>
      </c>
      <c r="C6186" s="139" t="s">
        <v>112</v>
      </c>
      <c r="D6186" s="139" t="s">
        <v>14484</v>
      </c>
    </row>
    <row r="6187" spans="1:4" x14ac:dyDescent="0.25">
      <c r="A6187" s="139" t="s">
        <v>14485</v>
      </c>
      <c r="B6187" s="139" t="s">
        <v>14486</v>
      </c>
      <c r="C6187" s="139" t="s">
        <v>112</v>
      </c>
      <c r="D6187" s="139" t="s">
        <v>14487</v>
      </c>
    </row>
    <row r="6188" spans="1:4" x14ac:dyDescent="0.25">
      <c r="A6188" s="139" t="s">
        <v>14488</v>
      </c>
      <c r="B6188" s="139" t="s">
        <v>14486</v>
      </c>
      <c r="C6188" s="139" t="s">
        <v>112</v>
      </c>
      <c r="D6188" s="139" t="s">
        <v>14489</v>
      </c>
    </row>
    <row r="6189" spans="1:4" x14ac:dyDescent="0.25">
      <c r="A6189" s="139" t="s">
        <v>14490</v>
      </c>
      <c r="B6189" s="139" t="s">
        <v>14491</v>
      </c>
      <c r="C6189" s="139" t="s">
        <v>112</v>
      </c>
      <c r="D6189" s="139" t="s">
        <v>14492</v>
      </c>
    </row>
    <row r="6190" spans="1:4" x14ac:dyDescent="0.25">
      <c r="A6190" s="139" t="s">
        <v>14493</v>
      </c>
      <c r="B6190" s="139" t="s">
        <v>14491</v>
      </c>
      <c r="C6190" s="139" t="s">
        <v>112</v>
      </c>
      <c r="D6190" s="139" t="s">
        <v>14494</v>
      </c>
    </row>
    <row r="6191" spans="1:4" x14ac:dyDescent="0.25">
      <c r="A6191" s="139" t="s">
        <v>14495</v>
      </c>
      <c r="B6191" s="139" t="s">
        <v>14496</v>
      </c>
      <c r="C6191" s="139" t="s">
        <v>123</v>
      </c>
      <c r="D6191" s="139" t="s">
        <v>14497</v>
      </c>
    </row>
    <row r="6192" spans="1:4" x14ac:dyDescent="0.25">
      <c r="A6192" s="139" t="s">
        <v>14498</v>
      </c>
      <c r="B6192" s="139" t="s">
        <v>14496</v>
      </c>
      <c r="C6192" s="139" t="s">
        <v>123</v>
      </c>
      <c r="D6192" s="139" t="s">
        <v>14499</v>
      </c>
    </row>
    <row r="6193" spans="1:4" x14ac:dyDescent="0.25">
      <c r="A6193" s="139" t="s">
        <v>14500</v>
      </c>
      <c r="B6193" s="139" t="s">
        <v>14501</v>
      </c>
      <c r="C6193" s="139" t="s">
        <v>123</v>
      </c>
      <c r="D6193" s="139" t="s">
        <v>14502</v>
      </c>
    </row>
    <row r="6194" spans="1:4" x14ac:dyDescent="0.25">
      <c r="A6194" s="139" t="s">
        <v>14503</v>
      </c>
      <c r="B6194" s="139" t="s">
        <v>14501</v>
      </c>
      <c r="C6194" s="139" t="s">
        <v>123</v>
      </c>
      <c r="D6194" s="139" t="s">
        <v>14504</v>
      </c>
    </row>
    <row r="6195" spans="1:4" x14ac:dyDescent="0.25">
      <c r="A6195" s="139" t="s">
        <v>14505</v>
      </c>
      <c r="B6195" s="139" t="s">
        <v>13438</v>
      </c>
      <c r="C6195" s="139" t="s">
        <v>123</v>
      </c>
      <c r="D6195" s="139" t="s">
        <v>14506</v>
      </c>
    </row>
    <row r="6196" spans="1:4" x14ac:dyDescent="0.25">
      <c r="A6196" s="139" t="s">
        <v>14507</v>
      </c>
      <c r="B6196" s="139" t="s">
        <v>13438</v>
      </c>
      <c r="C6196" s="139" t="s">
        <v>123</v>
      </c>
      <c r="D6196" s="139" t="s">
        <v>14508</v>
      </c>
    </row>
    <row r="6197" spans="1:4" x14ac:dyDescent="0.25">
      <c r="A6197" s="139" t="s">
        <v>14509</v>
      </c>
      <c r="B6197" s="139" t="s">
        <v>11208</v>
      </c>
      <c r="C6197" s="139" t="s">
        <v>123</v>
      </c>
      <c r="D6197" s="139" t="s">
        <v>14510</v>
      </c>
    </row>
    <row r="6198" spans="1:4" x14ac:dyDescent="0.25">
      <c r="A6198" s="139" t="s">
        <v>14511</v>
      </c>
      <c r="B6198" s="139" t="s">
        <v>11208</v>
      </c>
      <c r="C6198" s="139" t="s">
        <v>123</v>
      </c>
      <c r="D6198" s="139" t="s">
        <v>14512</v>
      </c>
    </row>
    <row r="6199" spans="1:4" x14ac:dyDescent="0.25">
      <c r="A6199" s="139" t="s">
        <v>14513</v>
      </c>
      <c r="B6199" s="139" t="s">
        <v>14514</v>
      </c>
      <c r="C6199" s="139" t="s">
        <v>123</v>
      </c>
      <c r="D6199" s="139" t="s">
        <v>14515</v>
      </c>
    </row>
    <row r="6200" spans="1:4" x14ac:dyDescent="0.25">
      <c r="A6200" s="139" t="s">
        <v>14516</v>
      </c>
      <c r="B6200" s="139" t="s">
        <v>14514</v>
      </c>
      <c r="C6200" s="139" t="s">
        <v>123</v>
      </c>
      <c r="D6200" s="139" t="s">
        <v>14517</v>
      </c>
    </row>
    <row r="6201" spans="1:4" x14ac:dyDescent="0.25">
      <c r="A6201" s="139" t="s">
        <v>14518</v>
      </c>
      <c r="B6201" s="139" t="s">
        <v>11410</v>
      </c>
      <c r="C6201" s="139" t="s">
        <v>123</v>
      </c>
      <c r="D6201" s="139" t="s">
        <v>14519</v>
      </c>
    </row>
    <row r="6202" spans="1:4" x14ac:dyDescent="0.25">
      <c r="A6202" s="139" t="s">
        <v>14520</v>
      </c>
      <c r="B6202" s="139" t="s">
        <v>11410</v>
      </c>
      <c r="C6202" s="139" t="s">
        <v>123</v>
      </c>
      <c r="D6202" s="139" t="s">
        <v>14521</v>
      </c>
    </row>
    <row r="6203" spans="1:4" x14ac:dyDescent="0.25">
      <c r="A6203" s="139" t="s">
        <v>14522</v>
      </c>
      <c r="B6203" s="139" t="s">
        <v>14523</v>
      </c>
      <c r="C6203" s="139" t="s">
        <v>535</v>
      </c>
      <c r="D6203" s="139" t="s">
        <v>14524</v>
      </c>
    </row>
    <row r="6204" spans="1:4" x14ac:dyDescent="0.25">
      <c r="A6204" s="139" t="s">
        <v>14525</v>
      </c>
      <c r="B6204" s="139" t="s">
        <v>14523</v>
      </c>
      <c r="C6204" s="139" t="s">
        <v>535</v>
      </c>
      <c r="D6204" s="139" t="s">
        <v>14526</v>
      </c>
    </row>
    <row r="6205" spans="1:4" x14ac:dyDescent="0.25">
      <c r="A6205" s="139" t="s">
        <v>14527</v>
      </c>
      <c r="B6205" s="139" t="s">
        <v>14528</v>
      </c>
      <c r="C6205" s="139" t="s">
        <v>535</v>
      </c>
      <c r="D6205" s="139" t="s">
        <v>14529</v>
      </c>
    </row>
    <row r="6206" spans="1:4" x14ac:dyDescent="0.25">
      <c r="A6206" s="139" t="s">
        <v>14530</v>
      </c>
      <c r="B6206" s="139" t="s">
        <v>14528</v>
      </c>
      <c r="C6206" s="139" t="s">
        <v>535</v>
      </c>
      <c r="D6206" s="139" t="s">
        <v>14531</v>
      </c>
    </row>
    <row r="6207" spans="1:4" x14ac:dyDescent="0.25">
      <c r="A6207" s="139" t="s">
        <v>14532</v>
      </c>
      <c r="B6207" s="139" t="s">
        <v>14533</v>
      </c>
      <c r="C6207" s="139" t="s">
        <v>535</v>
      </c>
      <c r="D6207" s="139" t="s">
        <v>14534</v>
      </c>
    </row>
    <row r="6208" spans="1:4" x14ac:dyDescent="0.25">
      <c r="A6208" s="139" t="s">
        <v>14535</v>
      </c>
      <c r="B6208" s="139" t="s">
        <v>14533</v>
      </c>
      <c r="C6208" s="139" t="s">
        <v>535</v>
      </c>
      <c r="D6208" s="139" t="s">
        <v>14536</v>
      </c>
    </row>
    <row r="6209" spans="1:4" x14ac:dyDescent="0.25">
      <c r="A6209" s="139" t="s">
        <v>14537</v>
      </c>
      <c r="B6209" s="139" t="s">
        <v>14538</v>
      </c>
      <c r="C6209" s="139" t="s">
        <v>535</v>
      </c>
      <c r="D6209" s="139" t="s">
        <v>14539</v>
      </c>
    </row>
    <row r="6210" spans="1:4" x14ac:dyDescent="0.25">
      <c r="A6210" s="139" t="s">
        <v>14540</v>
      </c>
      <c r="B6210" s="139" t="s">
        <v>14538</v>
      </c>
      <c r="C6210" s="139" t="s">
        <v>535</v>
      </c>
      <c r="D6210" s="139" t="s">
        <v>14541</v>
      </c>
    </row>
    <row r="6211" spans="1:4" x14ac:dyDescent="0.25">
      <c r="A6211" s="139" t="s">
        <v>14542</v>
      </c>
      <c r="B6211" s="139" t="s">
        <v>14543</v>
      </c>
      <c r="C6211" s="139" t="s">
        <v>535</v>
      </c>
      <c r="D6211" s="139" t="s">
        <v>14544</v>
      </c>
    </row>
    <row r="6212" spans="1:4" x14ac:dyDescent="0.25">
      <c r="A6212" s="139" t="s">
        <v>14545</v>
      </c>
      <c r="B6212" s="139" t="s">
        <v>14543</v>
      </c>
      <c r="C6212" s="139" t="s">
        <v>535</v>
      </c>
      <c r="D6212" s="139" t="s">
        <v>14546</v>
      </c>
    </row>
    <row r="6213" spans="1:4" x14ac:dyDescent="0.25">
      <c r="A6213" s="139" t="s">
        <v>14547</v>
      </c>
      <c r="B6213" s="139" t="s">
        <v>14548</v>
      </c>
      <c r="C6213" s="139" t="s">
        <v>535</v>
      </c>
      <c r="D6213" s="139" t="s">
        <v>14549</v>
      </c>
    </row>
    <row r="6214" spans="1:4" x14ac:dyDescent="0.25">
      <c r="A6214" s="139" t="s">
        <v>14550</v>
      </c>
      <c r="B6214" s="139" t="s">
        <v>14548</v>
      </c>
      <c r="C6214" s="139" t="s">
        <v>535</v>
      </c>
      <c r="D6214" s="139" t="s">
        <v>14551</v>
      </c>
    </row>
    <row r="6215" spans="1:4" x14ac:dyDescent="0.25">
      <c r="A6215" s="139" t="s">
        <v>14552</v>
      </c>
      <c r="B6215" s="139" t="s">
        <v>14553</v>
      </c>
      <c r="C6215" s="139" t="s">
        <v>535</v>
      </c>
      <c r="D6215" s="139" t="s">
        <v>14554</v>
      </c>
    </row>
    <row r="6216" spans="1:4" x14ac:dyDescent="0.25">
      <c r="A6216" s="139" t="s">
        <v>14555</v>
      </c>
      <c r="B6216" s="139" t="s">
        <v>14553</v>
      </c>
      <c r="C6216" s="139" t="s">
        <v>535</v>
      </c>
      <c r="D6216" s="139" t="s">
        <v>14556</v>
      </c>
    </row>
    <row r="6217" spans="1:4" x14ac:dyDescent="0.25">
      <c r="A6217" s="139" t="s">
        <v>14557</v>
      </c>
      <c r="B6217" s="139" t="s">
        <v>14558</v>
      </c>
      <c r="C6217" s="139" t="s">
        <v>535</v>
      </c>
      <c r="D6217" s="139" t="s">
        <v>14559</v>
      </c>
    </row>
    <row r="6218" spans="1:4" x14ac:dyDescent="0.25">
      <c r="A6218" s="139" t="s">
        <v>14560</v>
      </c>
      <c r="B6218" s="139" t="s">
        <v>14558</v>
      </c>
      <c r="C6218" s="139" t="s">
        <v>535</v>
      </c>
      <c r="D6218" s="139" t="s">
        <v>14561</v>
      </c>
    </row>
    <row r="6219" spans="1:4" x14ac:dyDescent="0.25">
      <c r="A6219" s="139" t="s">
        <v>14562</v>
      </c>
      <c r="B6219" s="139" t="s">
        <v>14563</v>
      </c>
      <c r="C6219" s="139" t="s">
        <v>535</v>
      </c>
      <c r="D6219" s="139" t="s">
        <v>14564</v>
      </c>
    </row>
    <row r="6220" spans="1:4" x14ac:dyDescent="0.25">
      <c r="A6220" s="139" t="s">
        <v>14565</v>
      </c>
      <c r="B6220" s="139" t="s">
        <v>14563</v>
      </c>
      <c r="C6220" s="139" t="s">
        <v>535</v>
      </c>
      <c r="D6220" s="139" t="s">
        <v>14566</v>
      </c>
    </row>
    <row r="6221" spans="1:4" x14ac:dyDescent="0.25">
      <c r="A6221" s="139" t="s">
        <v>14567</v>
      </c>
      <c r="B6221" s="139" t="s">
        <v>14568</v>
      </c>
      <c r="C6221" s="139" t="s">
        <v>535</v>
      </c>
      <c r="D6221" s="139" t="s">
        <v>14569</v>
      </c>
    </row>
    <row r="6222" spans="1:4" x14ac:dyDescent="0.25">
      <c r="A6222" s="139" t="s">
        <v>14570</v>
      </c>
      <c r="B6222" s="139" t="s">
        <v>14568</v>
      </c>
      <c r="C6222" s="139" t="s">
        <v>535</v>
      </c>
      <c r="D6222" s="139" t="s">
        <v>14571</v>
      </c>
    </row>
    <row r="6223" spans="1:4" x14ac:dyDescent="0.25">
      <c r="A6223" s="139" t="s">
        <v>14572</v>
      </c>
      <c r="B6223" s="139" t="s">
        <v>14573</v>
      </c>
      <c r="C6223" s="139" t="s">
        <v>535</v>
      </c>
      <c r="D6223" s="139" t="s">
        <v>14574</v>
      </c>
    </row>
    <row r="6224" spans="1:4" x14ac:dyDescent="0.25">
      <c r="A6224" s="139" t="s">
        <v>14575</v>
      </c>
      <c r="B6224" s="139" t="s">
        <v>14573</v>
      </c>
      <c r="C6224" s="139" t="s">
        <v>535</v>
      </c>
      <c r="D6224" s="139" t="s">
        <v>14576</v>
      </c>
    </row>
    <row r="6225" spans="1:4" x14ac:dyDescent="0.25">
      <c r="A6225" s="139" t="s">
        <v>14577</v>
      </c>
      <c r="B6225" s="139" t="s">
        <v>11421</v>
      </c>
      <c r="C6225" s="139" t="s">
        <v>535</v>
      </c>
      <c r="D6225" s="139" t="s">
        <v>14578</v>
      </c>
    </row>
    <row r="6226" spans="1:4" x14ac:dyDescent="0.25">
      <c r="A6226" s="139" t="s">
        <v>14579</v>
      </c>
      <c r="B6226" s="139" t="s">
        <v>11421</v>
      </c>
      <c r="C6226" s="139" t="s">
        <v>535</v>
      </c>
      <c r="D6226" s="139" t="s">
        <v>14580</v>
      </c>
    </row>
    <row r="6227" spans="1:4" x14ac:dyDescent="0.25">
      <c r="A6227" s="139" t="s">
        <v>14581</v>
      </c>
      <c r="B6227" s="139" t="s">
        <v>14582</v>
      </c>
      <c r="C6227" s="139" t="s">
        <v>535</v>
      </c>
      <c r="D6227" s="139" t="s">
        <v>14583</v>
      </c>
    </row>
    <row r="6228" spans="1:4" x14ac:dyDescent="0.25">
      <c r="A6228" s="139" t="s">
        <v>14584</v>
      </c>
      <c r="B6228" s="139" t="s">
        <v>14582</v>
      </c>
      <c r="C6228" s="139" t="s">
        <v>535</v>
      </c>
      <c r="D6228" s="139" t="s">
        <v>14585</v>
      </c>
    </row>
    <row r="6229" spans="1:4" x14ac:dyDescent="0.25">
      <c r="A6229" s="139" t="s">
        <v>14586</v>
      </c>
      <c r="B6229" s="139" t="s">
        <v>11119</v>
      </c>
      <c r="C6229" s="139" t="s">
        <v>535</v>
      </c>
      <c r="D6229" s="139" t="s">
        <v>14587</v>
      </c>
    </row>
    <row r="6230" spans="1:4" x14ac:dyDescent="0.25">
      <c r="A6230" s="139" t="s">
        <v>14588</v>
      </c>
      <c r="B6230" s="139" t="s">
        <v>11119</v>
      </c>
      <c r="C6230" s="139" t="s">
        <v>535</v>
      </c>
      <c r="D6230" s="139" t="s">
        <v>14589</v>
      </c>
    </row>
    <row r="6231" spans="1:4" x14ac:dyDescent="0.25">
      <c r="A6231" s="139" t="s">
        <v>14590</v>
      </c>
      <c r="B6231" s="139" t="s">
        <v>11124</v>
      </c>
      <c r="C6231" s="139" t="s">
        <v>123</v>
      </c>
      <c r="D6231" s="139" t="s">
        <v>14591</v>
      </c>
    </row>
    <row r="6232" spans="1:4" x14ac:dyDescent="0.25">
      <c r="A6232" s="139" t="s">
        <v>14592</v>
      </c>
      <c r="B6232" s="139" t="s">
        <v>11124</v>
      </c>
      <c r="C6232" s="139" t="s">
        <v>123</v>
      </c>
      <c r="D6232" s="139" t="s">
        <v>14593</v>
      </c>
    </row>
    <row r="6233" spans="1:4" x14ac:dyDescent="0.25">
      <c r="A6233" s="139" t="s">
        <v>14594</v>
      </c>
      <c r="B6233" s="139" t="s">
        <v>2994</v>
      </c>
      <c r="C6233" s="139" t="s">
        <v>535</v>
      </c>
      <c r="D6233" s="139" t="s">
        <v>14595</v>
      </c>
    </row>
    <row r="6234" spans="1:4" x14ac:dyDescent="0.25">
      <c r="A6234" s="139" t="s">
        <v>14596</v>
      </c>
      <c r="B6234" s="139" t="s">
        <v>2994</v>
      </c>
      <c r="C6234" s="139" t="s">
        <v>535</v>
      </c>
      <c r="D6234" s="139" t="s">
        <v>14597</v>
      </c>
    </row>
    <row r="6235" spans="1:4" x14ac:dyDescent="0.25">
      <c r="A6235" s="139" t="s">
        <v>14598</v>
      </c>
      <c r="B6235" s="139" t="s">
        <v>13438</v>
      </c>
      <c r="C6235" s="139" t="s">
        <v>535</v>
      </c>
      <c r="D6235" s="139" t="s">
        <v>14599</v>
      </c>
    </row>
    <row r="6236" spans="1:4" x14ac:dyDescent="0.25">
      <c r="A6236" s="139" t="s">
        <v>14600</v>
      </c>
      <c r="B6236" s="139" t="s">
        <v>13438</v>
      </c>
      <c r="C6236" s="139" t="s">
        <v>535</v>
      </c>
      <c r="D6236" s="139" t="s">
        <v>14601</v>
      </c>
    </row>
    <row r="6237" spans="1:4" x14ac:dyDescent="0.25">
      <c r="A6237" s="139" t="s">
        <v>14602</v>
      </c>
      <c r="B6237" s="139" t="s">
        <v>2999</v>
      </c>
      <c r="C6237" s="139" t="s">
        <v>535</v>
      </c>
      <c r="D6237" s="139" t="s">
        <v>14603</v>
      </c>
    </row>
    <row r="6238" spans="1:4" x14ac:dyDescent="0.25">
      <c r="A6238" s="139" t="s">
        <v>14604</v>
      </c>
      <c r="B6238" s="139" t="s">
        <v>2999</v>
      </c>
      <c r="C6238" s="139" t="s">
        <v>535</v>
      </c>
      <c r="D6238" s="139" t="s">
        <v>14605</v>
      </c>
    </row>
    <row r="6239" spans="1:4" x14ac:dyDescent="0.25">
      <c r="A6239" s="139" t="s">
        <v>14606</v>
      </c>
      <c r="B6239" s="139" t="s">
        <v>13122</v>
      </c>
      <c r="C6239" s="139" t="s">
        <v>535</v>
      </c>
      <c r="D6239" s="139" t="s">
        <v>14607</v>
      </c>
    </row>
    <row r="6240" spans="1:4" x14ac:dyDescent="0.25">
      <c r="A6240" s="139" t="s">
        <v>14608</v>
      </c>
      <c r="B6240" s="139" t="s">
        <v>13122</v>
      </c>
      <c r="C6240" s="139" t="s">
        <v>535</v>
      </c>
      <c r="D6240" s="139" t="s">
        <v>14609</v>
      </c>
    </row>
    <row r="6241" spans="1:4" x14ac:dyDescent="0.25">
      <c r="A6241" s="139" t="s">
        <v>14610</v>
      </c>
      <c r="B6241" s="139" t="s">
        <v>14611</v>
      </c>
      <c r="C6241" s="139" t="s">
        <v>535</v>
      </c>
      <c r="D6241" s="139" t="s">
        <v>14612</v>
      </c>
    </row>
    <row r="6242" spans="1:4" x14ac:dyDescent="0.25">
      <c r="A6242" s="139" t="s">
        <v>14613</v>
      </c>
      <c r="B6242" s="139" t="s">
        <v>14611</v>
      </c>
      <c r="C6242" s="139" t="s">
        <v>535</v>
      </c>
      <c r="D6242" s="139" t="s">
        <v>14614</v>
      </c>
    </row>
    <row r="6243" spans="1:4" x14ac:dyDescent="0.25">
      <c r="A6243" s="139" t="s">
        <v>14615</v>
      </c>
      <c r="B6243" s="139" t="s">
        <v>14616</v>
      </c>
      <c r="C6243" s="139" t="s">
        <v>535</v>
      </c>
      <c r="D6243" s="139" t="s">
        <v>14617</v>
      </c>
    </row>
    <row r="6244" spans="1:4" x14ac:dyDescent="0.25">
      <c r="A6244" s="139" t="s">
        <v>14618</v>
      </c>
      <c r="B6244" s="139" t="s">
        <v>14616</v>
      </c>
      <c r="C6244" s="139" t="s">
        <v>535</v>
      </c>
      <c r="D6244" s="139" t="s">
        <v>14619</v>
      </c>
    </row>
    <row r="6245" spans="1:4" x14ac:dyDescent="0.25">
      <c r="A6245" s="139" t="s">
        <v>14620</v>
      </c>
      <c r="B6245" s="139" t="s">
        <v>14621</v>
      </c>
      <c r="C6245" s="139" t="s">
        <v>535</v>
      </c>
      <c r="D6245" s="139" t="s">
        <v>14622</v>
      </c>
    </row>
    <row r="6246" spans="1:4" x14ac:dyDescent="0.25">
      <c r="A6246" s="139" t="s">
        <v>14623</v>
      </c>
      <c r="B6246" s="139" t="s">
        <v>14621</v>
      </c>
      <c r="C6246" s="139" t="s">
        <v>535</v>
      </c>
      <c r="D6246" s="139" t="s">
        <v>14624</v>
      </c>
    </row>
    <row r="6247" spans="1:4" x14ac:dyDescent="0.25">
      <c r="A6247" s="139" t="s">
        <v>14625</v>
      </c>
      <c r="B6247" s="139" t="s">
        <v>14626</v>
      </c>
      <c r="C6247" s="139" t="s">
        <v>535</v>
      </c>
      <c r="D6247" s="139" t="s">
        <v>14627</v>
      </c>
    </row>
    <row r="6248" spans="1:4" x14ac:dyDescent="0.25">
      <c r="A6248" s="139" t="s">
        <v>14628</v>
      </c>
      <c r="B6248" s="139" t="s">
        <v>14626</v>
      </c>
      <c r="C6248" s="139" t="s">
        <v>535</v>
      </c>
      <c r="D6248" s="139" t="s">
        <v>14629</v>
      </c>
    </row>
    <row r="6249" spans="1:4" x14ac:dyDescent="0.25">
      <c r="A6249" s="139" t="s">
        <v>14630</v>
      </c>
      <c r="B6249" s="139" t="s">
        <v>14631</v>
      </c>
      <c r="C6249" s="139" t="s">
        <v>535</v>
      </c>
      <c r="D6249" s="139" t="s">
        <v>14632</v>
      </c>
    </row>
    <row r="6250" spans="1:4" x14ac:dyDescent="0.25">
      <c r="A6250" s="139" t="s">
        <v>14633</v>
      </c>
      <c r="B6250" s="139" t="s">
        <v>14631</v>
      </c>
      <c r="C6250" s="139" t="s">
        <v>535</v>
      </c>
      <c r="D6250" s="139" t="s">
        <v>14634</v>
      </c>
    </row>
    <row r="6251" spans="1:4" x14ac:dyDescent="0.25">
      <c r="A6251" s="139" t="s">
        <v>14635</v>
      </c>
      <c r="B6251" s="139" t="s">
        <v>11706</v>
      </c>
      <c r="C6251" s="139" t="s">
        <v>535</v>
      </c>
      <c r="D6251" s="139" t="s">
        <v>14636</v>
      </c>
    </row>
    <row r="6252" spans="1:4" x14ac:dyDescent="0.25">
      <c r="A6252" s="139" t="s">
        <v>14637</v>
      </c>
      <c r="B6252" s="139" t="s">
        <v>11706</v>
      </c>
      <c r="C6252" s="139" t="s">
        <v>535</v>
      </c>
      <c r="D6252" s="139" t="s">
        <v>14638</v>
      </c>
    </row>
    <row r="6253" spans="1:4" x14ac:dyDescent="0.25">
      <c r="A6253" s="139" t="s">
        <v>14639</v>
      </c>
      <c r="B6253" s="139" t="s">
        <v>14640</v>
      </c>
      <c r="C6253" s="139" t="s">
        <v>535</v>
      </c>
      <c r="D6253" s="139" t="s">
        <v>14641</v>
      </c>
    </row>
    <row r="6254" spans="1:4" x14ac:dyDescent="0.25">
      <c r="A6254" s="139" t="s">
        <v>14642</v>
      </c>
      <c r="B6254" s="139" t="s">
        <v>14640</v>
      </c>
      <c r="C6254" s="139" t="s">
        <v>535</v>
      </c>
      <c r="D6254" s="139" t="s">
        <v>14643</v>
      </c>
    </row>
    <row r="6255" spans="1:4" x14ac:dyDescent="0.25">
      <c r="A6255" s="139" t="s">
        <v>14644</v>
      </c>
      <c r="B6255" s="139" t="s">
        <v>14645</v>
      </c>
      <c r="C6255" s="139" t="s">
        <v>535</v>
      </c>
      <c r="D6255" s="139" t="s">
        <v>14646</v>
      </c>
    </row>
    <row r="6256" spans="1:4" x14ac:dyDescent="0.25">
      <c r="A6256" s="139" t="s">
        <v>14647</v>
      </c>
      <c r="B6256" s="139" t="s">
        <v>14645</v>
      </c>
      <c r="C6256" s="139" t="s">
        <v>535</v>
      </c>
      <c r="D6256" s="139" t="s">
        <v>14648</v>
      </c>
    </row>
    <row r="6257" spans="1:4" x14ac:dyDescent="0.25">
      <c r="A6257" s="139" t="s">
        <v>14649</v>
      </c>
      <c r="B6257" s="139" t="s">
        <v>14650</v>
      </c>
      <c r="C6257" s="139" t="s">
        <v>664</v>
      </c>
      <c r="D6257" s="139" t="s">
        <v>14651</v>
      </c>
    </row>
    <row r="6258" spans="1:4" x14ac:dyDescent="0.25">
      <c r="A6258" s="139" t="s">
        <v>14652</v>
      </c>
      <c r="B6258" s="139" t="s">
        <v>14650</v>
      </c>
      <c r="C6258" s="139" t="s">
        <v>664</v>
      </c>
      <c r="D6258" s="139" t="s">
        <v>14653</v>
      </c>
    </row>
    <row r="6259" spans="1:4" x14ac:dyDescent="0.25">
      <c r="A6259" s="139" t="s">
        <v>14654</v>
      </c>
      <c r="B6259" s="139" t="s">
        <v>14655</v>
      </c>
      <c r="C6259" s="139" t="s">
        <v>664</v>
      </c>
      <c r="D6259" s="139" t="s">
        <v>14656</v>
      </c>
    </row>
    <row r="6260" spans="1:4" x14ac:dyDescent="0.25">
      <c r="A6260" s="139" t="s">
        <v>14657</v>
      </c>
      <c r="B6260" s="139" t="s">
        <v>14655</v>
      </c>
      <c r="C6260" s="139" t="s">
        <v>664</v>
      </c>
      <c r="D6260" s="139" t="s">
        <v>14658</v>
      </c>
    </row>
    <row r="6261" spans="1:4" x14ac:dyDescent="0.25">
      <c r="A6261" s="139" t="s">
        <v>14659</v>
      </c>
      <c r="B6261" s="139" t="s">
        <v>14660</v>
      </c>
      <c r="C6261" s="139" t="s">
        <v>664</v>
      </c>
      <c r="D6261" s="139" t="s">
        <v>14661</v>
      </c>
    </row>
    <row r="6262" spans="1:4" x14ac:dyDescent="0.25">
      <c r="A6262" s="139" t="s">
        <v>14662</v>
      </c>
      <c r="B6262" s="139" t="s">
        <v>14660</v>
      </c>
      <c r="C6262" s="139" t="s">
        <v>664</v>
      </c>
      <c r="D6262" s="139" t="s">
        <v>14663</v>
      </c>
    </row>
    <row r="6263" spans="1:4" x14ac:dyDescent="0.25">
      <c r="A6263" s="139" t="s">
        <v>14664</v>
      </c>
      <c r="B6263" s="139" t="s">
        <v>14665</v>
      </c>
      <c r="C6263" s="139" t="s">
        <v>664</v>
      </c>
      <c r="D6263" s="139" t="s">
        <v>14666</v>
      </c>
    </row>
    <row r="6264" spans="1:4" x14ac:dyDescent="0.25">
      <c r="A6264" s="139" t="s">
        <v>14667</v>
      </c>
      <c r="B6264" s="139" t="s">
        <v>14665</v>
      </c>
      <c r="C6264" s="139" t="s">
        <v>664</v>
      </c>
      <c r="D6264" s="139" t="s">
        <v>14668</v>
      </c>
    </row>
    <row r="6265" spans="1:4" x14ac:dyDescent="0.25">
      <c r="A6265" s="139" t="s">
        <v>14669</v>
      </c>
      <c r="B6265" s="139" t="s">
        <v>14670</v>
      </c>
      <c r="C6265" s="139" t="s">
        <v>1820</v>
      </c>
      <c r="D6265" s="139" t="s">
        <v>14671</v>
      </c>
    </row>
    <row r="6266" spans="1:4" x14ac:dyDescent="0.25">
      <c r="A6266" s="139" t="s">
        <v>14672</v>
      </c>
      <c r="B6266" s="139" t="s">
        <v>14670</v>
      </c>
      <c r="C6266" s="139" t="s">
        <v>1820</v>
      </c>
      <c r="D6266" s="139" t="s">
        <v>14673</v>
      </c>
    </row>
    <row r="6267" spans="1:4" x14ac:dyDescent="0.25">
      <c r="A6267" s="139" t="s">
        <v>14674</v>
      </c>
      <c r="B6267" s="139" t="s">
        <v>14675</v>
      </c>
      <c r="C6267" s="139" t="s">
        <v>1820</v>
      </c>
      <c r="D6267" s="139" t="s">
        <v>14676</v>
      </c>
    </row>
    <row r="6268" spans="1:4" x14ac:dyDescent="0.25">
      <c r="A6268" s="139" t="s">
        <v>14677</v>
      </c>
      <c r="B6268" s="139" t="s">
        <v>14675</v>
      </c>
      <c r="C6268" s="139" t="s">
        <v>1820</v>
      </c>
      <c r="D6268" s="139" t="s">
        <v>14678</v>
      </c>
    </row>
    <row r="6269" spans="1:4" x14ac:dyDescent="0.25">
      <c r="A6269" s="139" t="s">
        <v>14679</v>
      </c>
      <c r="B6269" s="139" t="s">
        <v>14680</v>
      </c>
      <c r="C6269" s="139" t="s">
        <v>1820</v>
      </c>
      <c r="D6269" s="139" t="s">
        <v>14681</v>
      </c>
    </row>
    <row r="6270" spans="1:4" x14ac:dyDescent="0.25">
      <c r="A6270" s="139" t="s">
        <v>14682</v>
      </c>
      <c r="B6270" s="139" t="s">
        <v>14680</v>
      </c>
      <c r="C6270" s="139" t="s">
        <v>1820</v>
      </c>
      <c r="D6270" s="139" t="s">
        <v>14683</v>
      </c>
    </row>
    <row r="6271" spans="1:4" x14ac:dyDescent="0.25">
      <c r="A6271" s="139" t="s">
        <v>14684</v>
      </c>
      <c r="B6271" s="139" t="s">
        <v>14685</v>
      </c>
      <c r="C6271" s="139" t="s">
        <v>2895</v>
      </c>
      <c r="D6271" s="139" t="s">
        <v>14686</v>
      </c>
    </row>
    <row r="6272" spans="1:4" x14ac:dyDescent="0.25">
      <c r="A6272" s="139" t="s">
        <v>14687</v>
      </c>
      <c r="B6272" s="139" t="s">
        <v>14685</v>
      </c>
      <c r="C6272" s="139" t="s">
        <v>2895</v>
      </c>
      <c r="D6272" s="139" t="s">
        <v>14688</v>
      </c>
    </row>
    <row r="6273" spans="1:4" x14ac:dyDescent="0.25">
      <c r="A6273" s="139" t="s">
        <v>14689</v>
      </c>
      <c r="B6273" s="139" t="s">
        <v>13567</v>
      </c>
      <c r="C6273" s="139" t="s">
        <v>2895</v>
      </c>
      <c r="D6273" s="139" t="s">
        <v>14690</v>
      </c>
    </row>
    <row r="6274" spans="1:4" x14ac:dyDescent="0.25">
      <c r="A6274" s="139" t="s">
        <v>14691</v>
      </c>
      <c r="B6274" s="139" t="s">
        <v>13567</v>
      </c>
      <c r="C6274" s="139" t="s">
        <v>2895</v>
      </c>
      <c r="D6274" s="139" t="s">
        <v>14692</v>
      </c>
    </row>
    <row r="6275" spans="1:4" x14ac:dyDescent="0.25">
      <c r="A6275" s="139" t="s">
        <v>14693</v>
      </c>
      <c r="B6275" s="139" t="s">
        <v>2158</v>
      </c>
      <c r="C6275" s="139" t="s">
        <v>2895</v>
      </c>
      <c r="D6275" s="139" t="s">
        <v>14694</v>
      </c>
    </row>
    <row r="6276" spans="1:4" x14ac:dyDescent="0.25">
      <c r="A6276" s="139" t="s">
        <v>14695</v>
      </c>
      <c r="B6276" s="139" t="s">
        <v>2158</v>
      </c>
      <c r="C6276" s="139" t="s">
        <v>2895</v>
      </c>
      <c r="D6276" s="139" t="s">
        <v>14696</v>
      </c>
    </row>
    <row r="6277" spans="1:4" x14ac:dyDescent="0.25">
      <c r="A6277" s="139" t="s">
        <v>14697</v>
      </c>
      <c r="B6277" s="139" t="s">
        <v>2178</v>
      </c>
      <c r="C6277" s="139" t="s">
        <v>2895</v>
      </c>
      <c r="D6277" s="139" t="s">
        <v>14698</v>
      </c>
    </row>
    <row r="6278" spans="1:4" x14ac:dyDescent="0.25">
      <c r="A6278" s="139" t="s">
        <v>14699</v>
      </c>
      <c r="B6278" s="139" t="s">
        <v>2178</v>
      </c>
      <c r="C6278" s="139" t="s">
        <v>2895</v>
      </c>
      <c r="D6278" s="139" t="s">
        <v>14700</v>
      </c>
    </row>
    <row r="6279" spans="1:4" x14ac:dyDescent="0.25">
      <c r="A6279" s="139" t="s">
        <v>14701</v>
      </c>
      <c r="B6279" s="139" t="s">
        <v>10947</v>
      </c>
      <c r="C6279" s="139" t="s">
        <v>44</v>
      </c>
      <c r="D6279" s="139" t="s">
        <v>14702</v>
      </c>
    </row>
    <row r="6280" spans="1:4" x14ac:dyDescent="0.25">
      <c r="A6280" s="139" t="s">
        <v>14703</v>
      </c>
      <c r="B6280" s="139" t="s">
        <v>10947</v>
      </c>
      <c r="C6280" s="139" t="s">
        <v>44</v>
      </c>
      <c r="D6280" s="139" t="s">
        <v>14704</v>
      </c>
    </row>
    <row r="6281" spans="1:4" x14ac:dyDescent="0.25">
      <c r="A6281" s="139" t="s">
        <v>14705</v>
      </c>
      <c r="B6281" s="139" t="s">
        <v>14706</v>
      </c>
      <c r="C6281" s="139" t="s">
        <v>44</v>
      </c>
      <c r="D6281" s="139" t="s">
        <v>14707</v>
      </c>
    </row>
    <row r="6282" spans="1:4" x14ac:dyDescent="0.25">
      <c r="A6282" s="139" t="s">
        <v>14708</v>
      </c>
      <c r="B6282" s="139" t="s">
        <v>14706</v>
      </c>
      <c r="C6282" s="139" t="s">
        <v>44</v>
      </c>
      <c r="D6282" s="139" t="s">
        <v>14709</v>
      </c>
    </row>
    <row r="6283" spans="1:4" x14ac:dyDescent="0.25">
      <c r="A6283" s="139" t="s">
        <v>14710</v>
      </c>
      <c r="B6283" s="139" t="s">
        <v>14711</v>
      </c>
      <c r="C6283" s="139" t="s">
        <v>44</v>
      </c>
      <c r="D6283" s="139" t="s">
        <v>14712</v>
      </c>
    </row>
    <row r="6284" spans="1:4" x14ac:dyDescent="0.25">
      <c r="A6284" s="139" t="s">
        <v>14713</v>
      </c>
      <c r="B6284" s="139" t="s">
        <v>14711</v>
      </c>
      <c r="C6284" s="139" t="s">
        <v>44</v>
      </c>
      <c r="D6284" s="139" t="s">
        <v>14714</v>
      </c>
    </row>
    <row r="6285" spans="1:4" x14ac:dyDescent="0.25">
      <c r="A6285" s="139" t="s">
        <v>14715</v>
      </c>
      <c r="B6285" s="139" t="s">
        <v>6240</v>
      </c>
      <c r="C6285" s="139" t="s">
        <v>44</v>
      </c>
      <c r="D6285" s="139" t="s">
        <v>14716</v>
      </c>
    </row>
    <row r="6286" spans="1:4" x14ac:dyDescent="0.25">
      <c r="A6286" s="139" t="s">
        <v>14717</v>
      </c>
      <c r="B6286" s="139" t="s">
        <v>6240</v>
      </c>
      <c r="C6286" s="139" t="s">
        <v>44</v>
      </c>
      <c r="D6286" s="139" t="s">
        <v>14718</v>
      </c>
    </row>
    <row r="6287" spans="1:4" x14ac:dyDescent="0.25">
      <c r="A6287" s="139" t="s">
        <v>14719</v>
      </c>
      <c r="B6287" s="139" t="s">
        <v>14720</v>
      </c>
      <c r="C6287" s="139" t="s">
        <v>65</v>
      </c>
      <c r="D6287" s="139" t="s">
        <v>14721</v>
      </c>
    </row>
    <row r="6288" spans="1:4" x14ac:dyDescent="0.25">
      <c r="A6288" s="139" t="s">
        <v>14722</v>
      </c>
      <c r="B6288" s="139" t="s">
        <v>14720</v>
      </c>
      <c r="C6288" s="139" t="s">
        <v>65</v>
      </c>
      <c r="D6288" s="139" t="s">
        <v>14723</v>
      </c>
    </row>
    <row r="6289" spans="1:4" x14ac:dyDescent="0.25">
      <c r="A6289" s="139" t="s">
        <v>14724</v>
      </c>
      <c r="B6289" s="139" t="s">
        <v>14725</v>
      </c>
      <c r="C6289" s="139" t="s">
        <v>65</v>
      </c>
      <c r="D6289" s="139" t="s">
        <v>14726</v>
      </c>
    </row>
    <row r="6290" spans="1:4" x14ac:dyDescent="0.25">
      <c r="A6290" s="139" t="s">
        <v>14727</v>
      </c>
      <c r="B6290" s="139" t="s">
        <v>14725</v>
      </c>
      <c r="C6290" s="139" t="s">
        <v>65</v>
      </c>
      <c r="D6290" s="139" t="s">
        <v>14728</v>
      </c>
    </row>
    <row r="6291" spans="1:4" x14ac:dyDescent="0.25">
      <c r="A6291" s="139" t="s">
        <v>14729</v>
      </c>
      <c r="B6291" s="139" t="s">
        <v>14730</v>
      </c>
      <c r="C6291" s="139" t="s">
        <v>112</v>
      </c>
      <c r="D6291" s="139" t="s">
        <v>14731</v>
      </c>
    </row>
    <row r="6292" spans="1:4" x14ac:dyDescent="0.25">
      <c r="A6292" s="139" t="s">
        <v>14732</v>
      </c>
      <c r="B6292" s="139" t="s">
        <v>14730</v>
      </c>
      <c r="C6292" s="139" t="s">
        <v>112</v>
      </c>
      <c r="D6292" s="139" t="s">
        <v>14733</v>
      </c>
    </row>
    <row r="6293" spans="1:4" x14ac:dyDescent="0.25">
      <c r="A6293" s="139" t="s">
        <v>14734</v>
      </c>
      <c r="B6293" s="139" t="s">
        <v>14735</v>
      </c>
      <c r="C6293" s="139" t="s">
        <v>112</v>
      </c>
      <c r="D6293" s="139" t="s">
        <v>14736</v>
      </c>
    </row>
    <row r="6294" spans="1:4" x14ac:dyDescent="0.25">
      <c r="A6294" s="139" t="s">
        <v>14737</v>
      </c>
      <c r="B6294" s="139" t="s">
        <v>14735</v>
      </c>
      <c r="C6294" s="139" t="s">
        <v>112</v>
      </c>
      <c r="D6294" s="139" t="s">
        <v>14738</v>
      </c>
    </row>
    <row r="6295" spans="1:4" x14ac:dyDescent="0.25">
      <c r="A6295" s="139" t="s">
        <v>14739</v>
      </c>
      <c r="B6295" s="139" t="s">
        <v>14740</v>
      </c>
      <c r="C6295" s="139" t="s">
        <v>112</v>
      </c>
      <c r="D6295" s="139" t="s">
        <v>14741</v>
      </c>
    </row>
    <row r="6296" spans="1:4" x14ac:dyDescent="0.25">
      <c r="A6296" s="139" t="s">
        <v>14742</v>
      </c>
      <c r="B6296" s="139" t="s">
        <v>14740</v>
      </c>
      <c r="C6296" s="139" t="s">
        <v>112</v>
      </c>
      <c r="D6296" s="139" t="s">
        <v>14743</v>
      </c>
    </row>
    <row r="6297" spans="1:4" x14ac:dyDescent="0.25">
      <c r="A6297" s="139" t="s">
        <v>14744</v>
      </c>
      <c r="B6297" s="139" t="s">
        <v>14745</v>
      </c>
      <c r="C6297" s="139" t="s">
        <v>112</v>
      </c>
      <c r="D6297" s="139" t="s">
        <v>14746</v>
      </c>
    </row>
    <row r="6298" spans="1:4" x14ac:dyDescent="0.25">
      <c r="A6298" s="139" t="s">
        <v>14747</v>
      </c>
      <c r="B6298" s="139" t="s">
        <v>14745</v>
      </c>
      <c r="C6298" s="139" t="s">
        <v>112</v>
      </c>
      <c r="D6298" s="139" t="s">
        <v>14748</v>
      </c>
    </row>
    <row r="6299" spans="1:4" x14ac:dyDescent="0.25">
      <c r="A6299" s="139" t="s">
        <v>14749</v>
      </c>
      <c r="B6299" s="139" t="s">
        <v>14750</v>
      </c>
      <c r="C6299" s="139" t="s">
        <v>112</v>
      </c>
      <c r="D6299" s="139" t="s">
        <v>14751</v>
      </c>
    </row>
    <row r="6300" spans="1:4" x14ac:dyDescent="0.25">
      <c r="A6300" s="139" t="s">
        <v>14752</v>
      </c>
      <c r="B6300" s="139" t="s">
        <v>14750</v>
      </c>
      <c r="C6300" s="139" t="s">
        <v>112</v>
      </c>
      <c r="D6300" s="139" t="s">
        <v>14753</v>
      </c>
    </row>
    <row r="6301" spans="1:4" x14ac:dyDescent="0.25">
      <c r="A6301" s="139" t="s">
        <v>14754</v>
      </c>
      <c r="B6301" s="139" t="s">
        <v>14755</v>
      </c>
      <c r="C6301" s="139" t="s">
        <v>112</v>
      </c>
      <c r="D6301" s="139" t="s">
        <v>14756</v>
      </c>
    </row>
    <row r="6302" spans="1:4" x14ac:dyDescent="0.25">
      <c r="A6302" s="139" t="s">
        <v>14757</v>
      </c>
      <c r="B6302" s="139" t="s">
        <v>14755</v>
      </c>
      <c r="C6302" s="139" t="s">
        <v>112</v>
      </c>
      <c r="D6302" s="139" t="s">
        <v>14758</v>
      </c>
    </row>
    <row r="6303" spans="1:4" x14ac:dyDescent="0.25">
      <c r="A6303" s="139" t="s">
        <v>14759</v>
      </c>
      <c r="B6303" s="139" t="s">
        <v>14760</v>
      </c>
      <c r="C6303" s="139" t="s">
        <v>112</v>
      </c>
      <c r="D6303" s="139" t="s">
        <v>14761</v>
      </c>
    </row>
    <row r="6304" spans="1:4" x14ac:dyDescent="0.25">
      <c r="A6304" s="139" t="s">
        <v>14762</v>
      </c>
      <c r="B6304" s="139" t="s">
        <v>14760</v>
      </c>
      <c r="C6304" s="139" t="s">
        <v>112</v>
      </c>
      <c r="D6304" s="139" t="s">
        <v>14763</v>
      </c>
    </row>
    <row r="6305" spans="1:4" x14ac:dyDescent="0.25">
      <c r="A6305" s="139" t="s">
        <v>14764</v>
      </c>
      <c r="B6305" s="139" t="s">
        <v>13317</v>
      </c>
      <c r="C6305" s="139" t="s">
        <v>123</v>
      </c>
      <c r="D6305" s="139" t="s">
        <v>14765</v>
      </c>
    </row>
    <row r="6306" spans="1:4" x14ac:dyDescent="0.25">
      <c r="A6306" s="139" t="s">
        <v>14766</v>
      </c>
      <c r="B6306" s="139" t="s">
        <v>13317</v>
      </c>
      <c r="C6306" s="139" t="s">
        <v>123</v>
      </c>
      <c r="D6306" s="139" t="s">
        <v>14767</v>
      </c>
    </row>
    <row r="6307" spans="1:4" x14ac:dyDescent="0.25">
      <c r="A6307" s="139" t="s">
        <v>14768</v>
      </c>
      <c r="B6307" s="139" t="s">
        <v>14769</v>
      </c>
      <c r="C6307" s="139" t="s">
        <v>65</v>
      </c>
      <c r="D6307" s="139" t="s">
        <v>14770</v>
      </c>
    </row>
    <row r="6308" spans="1:4" x14ac:dyDescent="0.25">
      <c r="A6308" s="139" t="s">
        <v>14771</v>
      </c>
      <c r="B6308" s="139" t="s">
        <v>14769</v>
      </c>
      <c r="C6308" s="139" t="s">
        <v>65</v>
      </c>
      <c r="D6308" s="139" t="s">
        <v>14772</v>
      </c>
    </row>
    <row r="6309" spans="1:4" x14ac:dyDescent="0.25">
      <c r="A6309" s="139" t="s">
        <v>14773</v>
      </c>
      <c r="B6309" s="139" t="s">
        <v>14774</v>
      </c>
      <c r="C6309" s="139" t="s">
        <v>65</v>
      </c>
      <c r="D6309" s="139" t="s">
        <v>14775</v>
      </c>
    </row>
    <row r="6310" spans="1:4" x14ac:dyDescent="0.25">
      <c r="A6310" s="139" t="s">
        <v>14776</v>
      </c>
      <c r="B6310" s="139" t="s">
        <v>14774</v>
      </c>
      <c r="C6310" s="139" t="s">
        <v>65</v>
      </c>
      <c r="D6310" s="139" t="s">
        <v>14777</v>
      </c>
    </row>
    <row r="6311" spans="1:4" x14ac:dyDescent="0.25">
      <c r="A6311" s="139" t="s">
        <v>14778</v>
      </c>
      <c r="B6311" s="139" t="s">
        <v>12969</v>
      </c>
      <c r="C6311" s="139" t="s">
        <v>65</v>
      </c>
      <c r="D6311" s="139" t="s">
        <v>14779</v>
      </c>
    </row>
    <row r="6312" spans="1:4" x14ac:dyDescent="0.25">
      <c r="A6312" s="139" t="s">
        <v>14780</v>
      </c>
      <c r="B6312" s="139" t="s">
        <v>13557</v>
      </c>
      <c r="C6312" s="139" t="s">
        <v>535</v>
      </c>
      <c r="D6312" s="139" t="s">
        <v>14781</v>
      </c>
    </row>
    <row r="6313" spans="1:4" x14ac:dyDescent="0.25">
      <c r="A6313" s="139" t="s">
        <v>14782</v>
      </c>
      <c r="B6313" s="139" t="s">
        <v>13557</v>
      </c>
      <c r="C6313" s="139" t="s">
        <v>535</v>
      </c>
      <c r="D6313" s="139" t="s">
        <v>14783</v>
      </c>
    </row>
    <row r="6314" spans="1:4" x14ac:dyDescent="0.25">
      <c r="A6314" s="139" t="s">
        <v>14784</v>
      </c>
      <c r="B6314" s="139" t="s">
        <v>14785</v>
      </c>
      <c r="C6314" s="139" t="s">
        <v>65</v>
      </c>
      <c r="D6314" s="139" t="s">
        <v>14786</v>
      </c>
    </row>
    <row r="6315" spans="1:4" x14ac:dyDescent="0.25">
      <c r="A6315" s="139" t="s">
        <v>14787</v>
      </c>
      <c r="B6315" s="139" t="s">
        <v>14785</v>
      </c>
      <c r="C6315" s="139" t="s">
        <v>65</v>
      </c>
      <c r="D6315" s="139" t="s">
        <v>14788</v>
      </c>
    </row>
    <row r="6316" spans="1:4" x14ac:dyDescent="0.25">
      <c r="A6316" s="139" t="s">
        <v>14789</v>
      </c>
      <c r="B6316" s="139" t="s">
        <v>14790</v>
      </c>
      <c r="C6316" s="139" t="s">
        <v>535</v>
      </c>
      <c r="D6316" s="139" t="s">
        <v>14791</v>
      </c>
    </row>
    <row r="6317" spans="1:4" x14ac:dyDescent="0.25">
      <c r="A6317" s="139" t="s">
        <v>14792</v>
      </c>
      <c r="B6317" s="139" t="s">
        <v>14790</v>
      </c>
      <c r="C6317" s="139" t="s">
        <v>535</v>
      </c>
      <c r="D6317" s="139" t="s">
        <v>14793</v>
      </c>
    </row>
    <row r="6318" spans="1:4" x14ac:dyDescent="0.25">
      <c r="A6318" s="139" t="s">
        <v>14794</v>
      </c>
      <c r="B6318" s="139" t="s">
        <v>14795</v>
      </c>
      <c r="C6318" s="139" t="s">
        <v>33</v>
      </c>
      <c r="D6318" s="139" t="s">
        <v>14796</v>
      </c>
    </row>
    <row r="6319" spans="1:4" x14ac:dyDescent="0.25">
      <c r="A6319" s="139" t="s">
        <v>14797</v>
      </c>
      <c r="B6319" s="139" t="s">
        <v>14795</v>
      </c>
      <c r="C6319" s="139" t="s">
        <v>33</v>
      </c>
      <c r="D6319" s="139" t="s">
        <v>14798</v>
      </c>
    </row>
    <row r="6320" spans="1:4" x14ac:dyDescent="0.25">
      <c r="A6320" s="139" t="s">
        <v>14799</v>
      </c>
      <c r="B6320" s="139" t="s">
        <v>14800</v>
      </c>
      <c r="C6320" s="139" t="s">
        <v>33</v>
      </c>
      <c r="D6320" s="139" t="s">
        <v>14801</v>
      </c>
    </row>
    <row r="6321" spans="1:4" x14ac:dyDescent="0.25">
      <c r="A6321" s="139" t="s">
        <v>14802</v>
      </c>
      <c r="B6321" s="139" t="s">
        <v>14800</v>
      </c>
      <c r="C6321" s="139" t="s">
        <v>33</v>
      </c>
      <c r="D6321" s="139" t="s">
        <v>14803</v>
      </c>
    </row>
    <row r="6322" spans="1:4" x14ac:dyDescent="0.25">
      <c r="A6322" s="139" t="s">
        <v>14804</v>
      </c>
      <c r="B6322" s="139" t="s">
        <v>14805</v>
      </c>
      <c r="C6322" s="139" t="s">
        <v>33</v>
      </c>
      <c r="D6322" s="139" t="s">
        <v>14806</v>
      </c>
    </row>
    <row r="6323" spans="1:4" x14ac:dyDescent="0.25">
      <c r="A6323" s="139" t="s">
        <v>14807</v>
      </c>
      <c r="B6323" s="139" t="s">
        <v>14805</v>
      </c>
      <c r="C6323" s="139" t="s">
        <v>33</v>
      </c>
      <c r="D6323" s="139" t="s">
        <v>14808</v>
      </c>
    </row>
    <row r="6324" spans="1:4" x14ac:dyDescent="0.25">
      <c r="A6324" s="139" t="s">
        <v>14809</v>
      </c>
      <c r="B6324" s="139" t="s">
        <v>14810</v>
      </c>
      <c r="C6324" s="139" t="s">
        <v>112</v>
      </c>
      <c r="D6324" s="139" t="s">
        <v>14811</v>
      </c>
    </row>
    <row r="6325" spans="1:4" x14ac:dyDescent="0.25">
      <c r="A6325" s="139" t="s">
        <v>14812</v>
      </c>
      <c r="B6325" s="139" t="s">
        <v>14810</v>
      </c>
      <c r="C6325" s="139" t="s">
        <v>112</v>
      </c>
      <c r="D6325" s="139" t="s">
        <v>14813</v>
      </c>
    </row>
    <row r="6326" spans="1:4" x14ac:dyDescent="0.25">
      <c r="A6326" s="139" t="s">
        <v>14814</v>
      </c>
      <c r="B6326" s="139" t="s">
        <v>13346</v>
      </c>
      <c r="C6326" s="139" t="s">
        <v>112</v>
      </c>
      <c r="D6326" s="139" t="s">
        <v>14815</v>
      </c>
    </row>
    <row r="6327" spans="1:4" x14ac:dyDescent="0.25">
      <c r="A6327" s="139" t="s">
        <v>14816</v>
      </c>
      <c r="B6327" s="139" t="s">
        <v>13346</v>
      </c>
      <c r="C6327" s="139" t="s">
        <v>112</v>
      </c>
      <c r="D6327" s="139" t="s">
        <v>14817</v>
      </c>
    </row>
    <row r="6328" spans="1:4" x14ac:dyDescent="0.25">
      <c r="A6328" s="139" t="s">
        <v>14818</v>
      </c>
      <c r="B6328" s="139" t="s">
        <v>14819</v>
      </c>
      <c r="C6328" s="139" t="s">
        <v>112</v>
      </c>
      <c r="D6328" s="139" t="s">
        <v>14820</v>
      </c>
    </row>
    <row r="6329" spans="1:4" x14ac:dyDescent="0.25">
      <c r="A6329" s="139" t="s">
        <v>14821</v>
      </c>
      <c r="B6329" s="139" t="s">
        <v>14819</v>
      </c>
      <c r="C6329" s="139" t="s">
        <v>112</v>
      </c>
      <c r="D6329" s="139" t="s">
        <v>14822</v>
      </c>
    </row>
    <row r="6330" spans="1:4" x14ac:dyDescent="0.25">
      <c r="A6330" s="139" t="s">
        <v>14823</v>
      </c>
      <c r="B6330" s="139" t="s">
        <v>14824</v>
      </c>
      <c r="C6330" s="139" t="s">
        <v>112</v>
      </c>
      <c r="D6330" s="139" t="s">
        <v>14825</v>
      </c>
    </row>
    <row r="6331" spans="1:4" x14ac:dyDescent="0.25">
      <c r="A6331" s="139" t="s">
        <v>14826</v>
      </c>
      <c r="B6331" s="139" t="s">
        <v>14824</v>
      </c>
      <c r="C6331" s="139" t="s">
        <v>112</v>
      </c>
      <c r="D6331" s="139" t="s">
        <v>14827</v>
      </c>
    </row>
    <row r="6332" spans="1:4" x14ac:dyDescent="0.25">
      <c r="A6332" s="139" t="s">
        <v>14828</v>
      </c>
      <c r="B6332" s="139" t="s">
        <v>14829</v>
      </c>
      <c r="C6332" s="139" t="s">
        <v>112</v>
      </c>
      <c r="D6332" s="139" t="s">
        <v>14830</v>
      </c>
    </row>
    <row r="6333" spans="1:4" x14ac:dyDescent="0.25">
      <c r="A6333" s="139" t="s">
        <v>14831</v>
      </c>
      <c r="B6333" s="139" t="s">
        <v>14829</v>
      </c>
      <c r="C6333" s="139" t="s">
        <v>112</v>
      </c>
      <c r="D6333" s="139" t="s">
        <v>14832</v>
      </c>
    </row>
    <row r="6334" spans="1:4" x14ac:dyDescent="0.25">
      <c r="A6334" s="139" t="s">
        <v>14833</v>
      </c>
      <c r="B6334" s="139" t="s">
        <v>14834</v>
      </c>
      <c r="C6334" s="139" t="s">
        <v>112</v>
      </c>
      <c r="D6334" s="139" t="s">
        <v>14835</v>
      </c>
    </row>
    <row r="6335" spans="1:4" x14ac:dyDescent="0.25">
      <c r="A6335" s="139" t="s">
        <v>14836</v>
      </c>
      <c r="B6335" s="139" t="s">
        <v>14834</v>
      </c>
      <c r="C6335" s="139" t="s">
        <v>112</v>
      </c>
      <c r="D6335" s="139" t="s">
        <v>14837</v>
      </c>
    </row>
    <row r="6336" spans="1:4" x14ac:dyDescent="0.25">
      <c r="A6336" s="139" t="s">
        <v>14838</v>
      </c>
      <c r="B6336" s="139" t="s">
        <v>14839</v>
      </c>
      <c r="C6336" s="139" t="s">
        <v>112</v>
      </c>
      <c r="D6336" s="139" t="s">
        <v>14840</v>
      </c>
    </row>
    <row r="6337" spans="1:4" x14ac:dyDescent="0.25">
      <c r="A6337" s="139" t="s">
        <v>14841</v>
      </c>
      <c r="B6337" s="139" t="s">
        <v>14839</v>
      </c>
      <c r="C6337" s="139" t="s">
        <v>112</v>
      </c>
      <c r="D6337" s="139" t="s">
        <v>14842</v>
      </c>
    </row>
    <row r="6338" spans="1:4" x14ac:dyDescent="0.25">
      <c r="A6338" s="139" t="s">
        <v>14843</v>
      </c>
      <c r="B6338" s="139" t="s">
        <v>14844</v>
      </c>
      <c r="C6338" s="139" t="s">
        <v>112</v>
      </c>
      <c r="D6338" s="139" t="s">
        <v>14845</v>
      </c>
    </row>
    <row r="6339" spans="1:4" x14ac:dyDescent="0.25">
      <c r="A6339" s="139" t="s">
        <v>14846</v>
      </c>
      <c r="B6339" s="139" t="s">
        <v>14844</v>
      </c>
      <c r="C6339" s="139" t="s">
        <v>112</v>
      </c>
      <c r="D6339" s="139" t="s">
        <v>14847</v>
      </c>
    </row>
    <row r="6340" spans="1:4" x14ac:dyDescent="0.25">
      <c r="A6340" s="139" t="s">
        <v>14848</v>
      </c>
      <c r="B6340" s="139" t="s">
        <v>14548</v>
      </c>
      <c r="C6340" s="139" t="s">
        <v>112</v>
      </c>
      <c r="D6340" s="139" t="s">
        <v>14849</v>
      </c>
    </row>
    <row r="6341" spans="1:4" x14ac:dyDescent="0.25">
      <c r="A6341" s="139" t="s">
        <v>14850</v>
      </c>
      <c r="B6341" s="139" t="s">
        <v>14548</v>
      </c>
      <c r="C6341" s="139" t="s">
        <v>112</v>
      </c>
      <c r="D6341" s="139" t="s">
        <v>14851</v>
      </c>
    </row>
    <row r="6342" spans="1:4" x14ac:dyDescent="0.25">
      <c r="A6342" s="139" t="s">
        <v>14852</v>
      </c>
      <c r="B6342" s="139" t="s">
        <v>14853</v>
      </c>
      <c r="C6342" s="139" t="s">
        <v>112</v>
      </c>
      <c r="D6342" s="139" t="s">
        <v>14854</v>
      </c>
    </row>
    <row r="6343" spans="1:4" x14ac:dyDescent="0.25">
      <c r="A6343" s="139" t="s">
        <v>14855</v>
      </c>
      <c r="B6343" s="139" t="s">
        <v>14853</v>
      </c>
      <c r="C6343" s="139" t="s">
        <v>112</v>
      </c>
      <c r="D6343" s="139" t="s">
        <v>14856</v>
      </c>
    </row>
    <row r="6344" spans="1:4" x14ac:dyDescent="0.25">
      <c r="A6344" s="139" t="s">
        <v>14857</v>
      </c>
      <c r="B6344" s="139" t="s">
        <v>14858</v>
      </c>
      <c r="C6344" s="139" t="s">
        <v>112</v>
      </c>
      <c r="D6344" s="139" t="s">
        <v>14859</v>
      </c>
    </row>
    <row r="6345" spans="1:4" x14ac:dyDescent="0.25">
      <c r="A6345" s="139" t="s">
        <v>14860</v>
      </c>
      <c r="B6345" s="139" t="s">
        <v>14858</v>
      </c>
      <c r="C6345" s="139" t="s">
        <v>112</v>
      </c>
      <c r="D6345" s="139" t="s">
        <v>14861</v>
      </c>
    </row>
    <row r="6346" spans="1:4" x14ac:dyDescent="0.25">
      <c r="A6346" s="139" t="s">
        <v>14862</v>
      </c>
      <c r="B6346" s="139" t="s">
        <v>11410</v>
      </c>
      <c r="C6346" s="139" t="s">
        <v>535</v>
      </c>
      <c r="D6346" s="139" t="s">
        <v>14863</v>
      </c>
    </row>
    <row r="6347" spans="1:4" x14ac:dyDescent="0.25">
      <c r="A6347" s="139" t="s">
        <v>14864</v>
      </c>
      <c r="B6347" s="139" t="s">
        <v>11410</v>
      </c>
      <c r="C6347" s="139" t="s">
        <v>535</v>
      </c>
      <c r="D6347" s="139" t="s">
        <v>14865</v>
      </c>
    </row>
    <row r="6348" spans="1:4" x14ac:dyDescent="0.25">
      <c r="A6348" s="139" t="s">
        <v>14866</v>
      </c>
      <c r="B6348" s="139" t="s">
        <v>14582</v>
      </c>
      <c r="C6348" s="139" t="s">
        <v>123</v>
      </c>
      <c r="D6348" s="139" t="s">
        <v>14867</v>
      </c>
    </row>
    <row r="6349" spans="1:4" x14ac:dyDescent="0.25">
      <c r="A6349" s="139" t="s">
        <v>14868</v>
      </c>
      <c r="B6349" s="139" t="s">
        <v>14582</v>
      </c>
      <c r="C6349" s="139" t="s">
        <v>123</v>
      </c>
      <c r="D6349" s="139" t="s">
        <v>14869</v>
      </c>
    </row>
    <row r="6350" spans="1:4" x14ac:dyDescent="0.25">
      <c r="A6350" s="139" t="s">
        <v>14870</v>
      </c>
      <c r="B6350" s="139" t="s">
        <v>14871</v>
      </c>
      <c r="C6350" s="139" t="s">
        <v>123</v>
      </c>
      <c r="D6350" s="139" t="s">
        <v>14872</v>
      </c>
    </row>
    <row r="6351" spans="1:4" x14ac:dyDescent="0.25">
      <c r="A6351" s="139" t="s">
        <v>14873</v>
      </c>
      <c r="B6351" s="139" t="s">
        <v>2969</v>
      </c>
      <c r="C6351" s="139" t="s">
        <v>658</v>
      </c>
      <c r="D6351" s="139" t="s">
        <v>14874</v>
      </c>
    </row>
    <row r="6352" spans="1:4" x14ac:dyDescent="0.25">
      <c r="A6352" s="139" t="s">
        <v>14875</v>
      </c>
      <c r="B6352" s="139" t="s">
        <v>2969</v>
      </c>
      <c r="C6352" s="139" t="s">
        <v>658</v>
      </c>
      <c r="D6352" s="139" t="s">
        <v>14876</v>
      </c>
    </row>
    <row r="6353" spans="1:4" x14ac:dyDescent="0.25">
      <c r="A6353" s="139" t="s">
        <v>14877</v>
      </c>
      <c r="B6353" s="139" t="s">
        <v>14878</v>
      </c>
      <c r="C6353" s="139" t="s">
        <v>65</v>
      </c>
      <c r="D6353" s="139" t="s">
        <v>14879</v>
      </c>
    </row>
    <row r="6354" spans="1:4" x14ac:dyDescent="0.25">
      <c r="A6354" s="139" t="s">
        <v>14880</v>
      </c>
      <c r="B6354" s="139" t="s">
        <v>14878</v>
      </c>
      <c r="C6354" s="139" t="s">
        <v>65</v>
      </c>
      <c r="D6354" s="139" t="s">
        <v>14881</v>
      </c>
    </row>
    <row r="6355" spans="1:4" x14ac:dyDescent="0.25">
      <c r="A6355" s="139" t="s">
        <v>14882</v>
      </c>
      <c r="B6355" s="139" t="s">
        <v>14883</v>
      </c>
      <c r="C6355" s="139" t="s">
        <v>65</v>
      </c>
      <c r="D6355" s="139" t="s">
        <v>14884</v>
      </c>
    </row>
    <row r="6356" spans="1:4" x14ac:dyDescent="0.25">
      <c r="A6356" s="139" t="s">
        <v>14885</v>
      </c>
      <c r="B6356" s="139" t="s">
        <v>14883</v>
      </c>
      <c r="C6356" s="139" t="s">
        <v>65</v>
      </c>
      <c r="D6356" s="139" t="s">
        <v>14886</v>
      </c>
    </row>
    <row r="6357" spans="1:4" x14ac:dyDescent="0.25">
      <c r="A6357" s="139" t="s">
        <v>14887</v>
      </c>
      <c r="B6357" s="139" t="s">
        <v>14888</v>
      </c>
      <c r="C6357" s="139" t="s">
        <v>535</v>
      </c>
      <c r="D6357" s="139" t="s">
        <v>14889</v>
      </c>
    </row>
    <row r="6358" spans="1:4" x14ac:dyDescent="0.25">
      <c r="A6358" s="139" t="s">
        <v>14890</v>
      </c>
      <c r="B6358" s="139" t="s">
        <v>14888</v>
      </c>
      <c r="C6358" s="139" t="s">
        <v>535</v>
      </c>
      <c r="D6358" s="139" t="s">
        <v>14891</v>
      </c>
    </row>
    <row r="6359" spans="1:4" x14ac:dyDescent="0.25">
      <c r="A6359" s="139" t="s">
        <v>14892</v>
      </c>
      <c r="B6359" s="139" t="s">
        <v>11163</v>
      </c>
      <c r="C6359" s="139" t="s">
        <v>65</v>
      </c>
      <c r="D6359" s="139" t="s">
        <v>14893</v>
      </c>
    </row>
    <row r="6360" spans="1:4" x14ac:dyDescent="0.25">
      <c r="A6360" s="139" t="s">
        <v>14894</v>
      </c>
      <c r="B6360" s="139" t="s">
        <v>11163</v>
      </c>
      <c r="C6360" s="139" t="s">
        <v>65</v>
      </c>
      <c r="D6360" s="139" t="s">
        <v>14895</v>
      </c>
    </row>
    <row r="6361" spans="1:4" x14ac:dyDescent="0.25">
      <c r="A6361" s="139" t="s">
        <v>14896</v>
      </c>
      <c r="B6361" s="139" t="s">
        <v>11168</v>
      </c>
      <c r="C6361" s="139" t="s">
        <v>65</v>
      </c>
      <c r="D6361" s="139" t="s">
        <v>14897</v>
      </c>
    </row>
    <row r="6362" spans="1:4" x14ac:dyDescent="0.25">
      <c r="A6362" s="139" t="s">
        <v>14898</v>
      </c>
      <c r="B6362" s="139" t="s">
        <v>11168</v>
      </c>
      <c r="C6362" s="139" t="s">
        <v>65</v>
      </c>
      <c r="D6362" s="139" t="s">
        <v>14899</v>
      </c>
    </row>
    <row r="6363" spans="1:4" x14ac:dyDescent="0.25">
      <c r="A6363" s="139" t="s">
        <v>14900</v>
      </c>
      <c r="B6363" s="139" t="s">
        <v>11188</v>
      </c>
      <c r="C6363" s="139" t="s">
        <v>65</v>
      </c>
      <c r="D6363" s="139" t="s">
        <v>14901</v>
      </c>
    </row>
    <row r="6364" spans="1:4" x14ac:dyDescent="0.25">
      <c r="A6364" s="139" t="s">
        <v>14902</v>
      </c>
      <c r="B6364" s="139" t="s">
        <v>11188</v>
      </c>
      <c r="C6364" s="139" t="s">
        <v>65</v>
      </c>
      <c r="D6364" s="139" t="s">
        <v>14903</v>
      </c>
    </row>
    <row r="6365" spans="1:4" x14ac:dyDescent="0.25">
      <c r="A6365" s="139" t="s">
        <v>14904</v>
      </c>
      <c r="B6365" s="139" t="s">
        <v>14514</v>
      </c>
      <c r="C6365" s="139" t="s">
        <v>65</v>
      </c>
      <c r="D6365" s="139" t="s">
        <v>14905</v>
      </c>
    </row>
    <row r="6366" spans="1:4" x14ac:dyDescent="0.25">
      <c r="A6366" s="139" t="s">
        <v>14906</v>
      </c>
      <c r="B6366" s="139" t="s">
        <v>14514</v>
      </c>
      <c r="C6366" s="139" t="s">
        <v>65</v>
      </c>
      <c r="D6366" s="139" t="s">
        <v>14907</v>
      </c>
    </row>
    <row r="6367" spans="1:4" x14ac:dyDescent="0.25">
      <c r="A6367" s="139" t="s">
        <v>14908</v>
      </c>
      <c r="B6367" s="139" t="s">
        <v>14909</v>
      </c>
      <c r="C6367" s="139" t="s">
        <v>65</v>
      </c>
      <c r="D6367" s="139" t="s">
        <v>14910</v>
      </c>
    </row>
    <row r="6368" spans="1:4" x14ac:dyDescent="0.25">
      <c r="A6368" s="139" t="s">
        <v>14911</v>
      </c>
      <c r="B6368" s="139" t="s">
        <v>14909</v>
      </c>
      <c r="C6368" s="139" t="s">
        <v>65</v>
      </c>
      <c r="D6368" s="139" t="s">
        <v>14912</v>
      </c>
    </row>
    <row r="6369" spans="1:4" x14ac:dyDescent="0.25">
      <c r="A6369" s="139" t="s">
        <v>14913</v>
      </c>
      <c r="B6369" s="139" t="s">
        <v>14914</v>
      </c>
      <c r="C6369" s="139" t="s">
        <v>65</v>
      </c>
      <c r="D6369" s="139" t="s">
        <v>14915</v>
      </c>
    </row>
    <row r="6370" spans="1:4" x14ac:dyDescent="0.25">
      <c r="A6370" s="139" t="s">
        <v>14916</v>
      </c>
      <c r="B6370" s="139" t="s">
        <v>14914</v>
      </c>
      <c r="C6370" s="139" t="s">
        <v>65</v>
      </c>
      <c r="D6370" s="139" t="s">
        <v>14917</v>
      </c>
    </row>
    <row r="6371" spans="1:4" x14ac:dyDescent="0.25">
      <c r="A6371" s="139" t="s">
        <v>14918</v>
      </c>
      <c r="B6371" s="139" t="s">
        <v>11178</v>
      </c>
      <c r="C6371" s="139" t="s">
        <v>535</v>
      </c>
      <c r="D6371" s="139" t="s">
        <v>14919</v>
      </c>
    </row>
    <row r="6372" spans="1:4" x14ac:dyDescent="0.25">
      <c r="A6372" s="139" t="s">
        <v>14920</v>
      </c>
      <c r="B6372" s="139" t="s">
        <v>11178</v>
      </c>
      <c r="C6372" s="139" t="s">
        <v>535</v>
      </c>
      <c r="D6372" s="139" t="s">
        <v>14921</v>
      </c>
    </row>
    <row r="6373" spans="1:4" x14ac:dyDescent="0.25">
      <c r="A6373" s="139" t="s">
        <v>14922</v>
      </c>
      <c r="B6373" s="139" t="s">
        <v>14923</v>
      </c>
      <c r="C6373" s="139" t="s">
        <v>535</v>
      </c>
      <c r="D6373" s="139" t="s">
        <v>14924</v>
      </c>
    </row>
    <row r="6374" spans="1:4" x14ac:dyDescent="0.25">
      <c r="A6374" s="139" t="s">
        <v>14925</v>
      </c>
      <c r="B6374" s="139" t="s">
        <v>14923</v>
      </c>
      <c r="C6374" s="139" t="s">
        <v>535</v>
      </c>
      <c r="D6374" s="139" t="s">
        <v>14926</v>
      </c>
    </row>
    <row r="6375" spans="1:4" x14ac:dyDescent="0.25">
      <c r="A6375" s="139" t="s">
        <v>14927</v>
      </c>
      <c r="B6375" s="139" t="s">
        <v>2989</v>
      </c>
      <c r="C6375" s="139" t="s">
        <v>535</v>
      </c>
      <c r="D6375" s="139" t="s">
        <v>14928</v>
      </c>
    </row>
    <row r="6376" spans="1:4" x14ac:dyDescent="0.25">
      <c r="A6376" s="139" t="s">
        <v>14929</v>
      </c>
      <c r="B6376" s="139" t="s">
        <v>2989</v>
      </c>
      <c r="C6376" s="139" t="s">
        <v>535</v>
      </c>
      <c r="D6376" s="139" t="s">
        <v>14930</v>
      </c>
    </row>
    <row r="6377" spans="1:4" x14ac:dyDescent="0.25">
      <c r="A6377" s="139" t="s">
        <v>14931</v>
      </c>
      <c r="B6377" s="139" t="s">
        <v>13302</v>
      </c>
      <c r="C6377" s="139" t="s">
        <v>535</v>
      </c>
      <c r="D6377" s="139" t="s">
        <v>14932</v>
      </c>
    </row>
    <row r="6378" spans="1:4" x14ac:dyDescent="0.25">
      <c r="A6378" s="139" t="s">
        <v>14933</v>
      </c>
      <c r="B6378" s="139" t="s">
        <v>13302</v>
      </c>
      <c r="C6378" s="139" t="s">
        <v>535</v>
      </c>
      <c r="D6378" s="139" t="s">
        <v>14934</v>
      </c>
    </row>
    <row r="6379" spans="1:4" x14ac:dyDescent="0.25">
      <c r="A6379" s="139" t="s">
        <v>14935</v>
      </c>
      <c r="B6379" s="139" t="s">
        <v>11163</v>
      </c>
      <c r="C6379" s="139" t="s">
        <v>535</v>
      </c>
      <c r="D6379" s="139" t="s">
        <v>14936</v>
      </c>
    </row>
    <row r="6380" spans="1:4" x14ac:dyDescent="0.25">
      <c r="A6380" s="139" t="s">
        <v>14937</v>
      </c>
      <c r="B6380" s="139" t="s">
        <v>11163</v>
      </c>
      <c r="C6380" s="139" t="s">
        <v>535</v>
      </c>
      <c r="D6380" s="139" t="s">
        <v>14938</v>
      </c>
    </row>
    <row r="6381" spans="1:4" x14ac:dyDescent="0.25">
      <c r="A6381" s="139" t="s">
        <v>14939</v>
      </c>
      <c r="B6381" s="139" t="s">
        <v>14940</v>
      </c>
      <c r="C6381" s="139" t="s">
        <v>123</v>
      </c>
      <c r="D6381" s="139" t="s">
        <v>14941</v>
      </c>
    </row>
    <row r="6382" spans="1:4" x14ac:dyDescent="0.25">
      <c r="A6382" s="139" t="s">
        <v>14942</v>
      </c>
      <c r="B6382" s="139" t="s">
        <v>14940</v>
      </c>
      <c r="C6382" s="139" t="s">
        <v>123</v>
      </c>
      <c r="D6382" s="139" t="s">
        <v>14943</v>
      </c>
    </row>
    <row r="6383" spans="1:4" x14ac:dyDescent="0.25">
      <c r="A6383" s="139" t="s">
        <v>14944</v>
      </c>
      <c r="B6383" s="139" t="s">
        <v>14945</v>
      </c>
      <c r="C6383" s="139" t="s">
        <v>123</v>
      </c>
      <c r="D6383" s="139" t="s">
        <v>14946</v>
      </c>
    </row>
    <row r="6384" spans="1:4" x14ac:dyDescent="0.25">
      <c r="A6384" s="139" t="s">
        <v>14947</v>
      </c>
      <c r="B6384" s="139" t="s">
        <v>14945</v>
      </c>
      <c r="C6384" s="139" t="s">
        <v>123</v>
      </c>
      <c r="D6384" s="139" t="s">
        <v>14948</v>
      </c>
    </row>
    <row r="6385" spans="1:4" x14ac:dyDescent="0.25">
      <c r="A6385" s="139" t="s">
        <v>14949</v>
      </c>
      <c r="B6385" s="139" t="s">
        <v>14950</v>
      </c>
      <c r="C6385" s="139" t="s">
        <v>375</v>
      </c>
      <c r="D6385" s="139" t="s">
        <v>14951</v>
      </c>
    </row>
    <row r="6386" spans="1:4" x14ac:dyDescent="0.25">
      <c r="A6386" s="139" t="s">
        <v>14952</v>
      </c>
      <c r="B6386" s="139" t="s">
        <v>14950</v>
      </c>
      <c r="C6386" s="139" t="s">
        <v>375</v>
      </c>
      <c r="D6386" s="139" t="s">
        <v>14953</v>
      </c>
    </row>
    <row r="6387" spans="1:4" x14ac:dyDescent="0.25">
      <c r="A6387" s="139" t="s">
        <v>14954</v>
      </c>
      <c r="B6387" s="139" t="s">
        <v>14955</v>
      </c>
      <c r="C6387" s="139" t="s">
        <v>375</v>
      </c>
      <c r="D6387" s="139" t="s">
        <v>14956</v>
      </c>
    </row>
    <row r="6388" spans="1:4" x14ac:dyDescent="0.25">
      <c r="A6388" s="139" t="s">
        <v>14957</v>
      </c>
      <c r="B6388" s="139" t="s">
        <v>14955</v>
      </c>
      <c r="C6388" s="139" t="s">
        <v>375</v>
      </c>
      <c r="D6388" s="139" t="s">
        <v>14958</v>
      </c>
    </row>
    <row r="6389" spans="1:4" x14ac:dyDescent="0.25">
      <c r="A6389" s="139" t="s">
        <v>14959</v>
      </c>
      <c r="B6389" s="139" t="s">
        <v>14960</v>
      </c>
      <c r="C6389" s="139" t="s">
        <v>375</v>
      </c>
      <c r="D6389" s="139" t="s">
        <v>14961</v>
      </c>
    </row>
    <row r="6390" spans="1:4" x14ac:dyDescent="0.25">
      <c r="A6390" s="139" t="s">
        <v>14962</v>
      </c>
      <c r="B6390" s="139" t="s">
        <v>14960</v>
      </c>
      <c r="C6390" s="139" t="s">
        <v>375</v>
      </c>
      <c r="D6390" s="139" t="s">
        <v>14963</v>
      </c>
    </row>
    <row r="6391" spans="1:4" x14ac:dyDescent="0.25">
      <c r="A6391" s="139" t="s">
        <v>14964</v>
      </c>
      <c r="B6391" s="139" t="s">
        <v>14965</v>
      </c>
      <c r="C6391" s="139" t="s">
        <v>375</v>
      </c>
      <c r="D6391" s="139" t="s">
        <v>14966</v>
      </c>
    </row>
    <row r="6392" spans="1:4" x14ac:dyDescent="0.25">
      <c r="A6392" s="139" t="s">
        <v>14967</v>
      </c>
      <c r="B6392" s="139" t="s">
        <v>14965</v>
      </c>
      <c r="C6392" s="139" t="s">
        <v>375</v>
      </c>
      <c r="D6392" s="139" t="s">
        <v>14968</v>
      </c>
    </row>
    <row r="6393" spans="1:4" x14ac:dyDescent="0.25">
      <c r="A6393" s="139" t="s">
        <v>14969</v>
      </c>
      <c r="B6393" s="139" t="s">
        <v>14970</v>
      </c>
      <c r="C6393" s="139" t="s">
        <v>375</v>
      </c>
      <c r="D6393" s="139" t="s">
        <v>14971</v>
      </c>
    </row>
    <row r="6394" spans="1:4" x14ac:dyDescent="0.25">
      <c r="A6394" s="139" t="s">
        <v>14972</v>
      </c>
      <c r="B6394" s="139" t="s">
        <v>14970</v>
      </c>
      <c r="C6394" s="139" t="s">
        <v>375</v>
      </c>
      <c r="D6394" s="139" t="s">
        <v>14973</v>
      </c>
    </row>
    <row r="6395" spans="1:4" x14ac:dyDescent="0.25">
      <c r="A6395" s="139" t="s">
        <v>14974</v>
      </c>
      <c r="B6395" s="139" t="s">
        <v>14975</v>
      </c>
      <c r="C6395" s="139" t="s">
        <v>33</v>
      </c>
      <c r="D6395" s="139" t="s">
        <v>14976</v>
      </c>
    </row>
    <row r="6396" spans="1:4" x14ac:dyDescent="0.25">
      <c r="A6396" s="139" t="s">
        <v>14977</v>
      </c>
      <c r="B6396" s="139" t="s">
        <v>14975</v>
      </c>
      <c r="C6396" s="139" t="s">
        <v>33</v>
      </c>
      <c r="D6396" s="139" t="s">
        <v>14978</v>
      </c>
    </row>
    <row r="6397" spans="1:4" x14ac:dyDescent="0.25">
      <c r="A6397" s="139" t="s">
        <v>14979</v>
      </c>
      <c r="B6397" s="139" t="s">
        <v>14980</v>
      </c>
      <c r="C6397" s="139" t="s">
        <v>33</v>
      </c>
      <c r="D6397" s="139" t="s">
        <v>14981</v>
      </c>
    </row>
    <row r="6398" spans="1:4" x14ac:dyDescent="0.25">
      <c r="A6398" s="139" t="s">
        <v>14982</v>
      </c>
      <c r="B6398" s="139" t="s">
        <v>14980</v>
      </c>
      <c r="C6398" s="139" t="s">
        <v>33</v>
      </c>
      <c r="D6398" s="139" t="s">
        <v>14983</v>
      </c>
    </row>
    <row r="6399" spans="1:4" x14ac:dyDescent="0.25">
      <c r="A6399" s="139" t="s">
        <v>14984</v>
      </c>
      <c r="B6399" s="139" t="s">
        <v>14985</v>
      </c>
      <c r="C6399" s="139" t="s">
        <v>33</v>
      </c>
      <c r="D6399" s="139" t="s">
        <v>14986</v>
      </c>
    </row>
    <row r="6400" spans="1:4" x14ac:dyDescent="0.25">
      <c r="A6400" s="139" t="s">
        <v>14987</v>
      </c>
      <c r="B6400" s="139" t="s">
        <v>14985</v>
      </c>
      <c r="C6400" s="139" t="s">
        <v>33</v>
      </c>
      <c r="D6400" s="139" t="s">
        <v>14988</v>
      </c>
    </row>
    <row r="6401" spans="1:4" x14ac:dyDescent="0.25">
      <c r="A6401" s="139" t="s">
        <v>14989</v>
      </c>
      <c r="B6401" s="139" t="s">
        <v>14990</v>
      </c>
      <c r="C6401" s="139" t="s">
        <v>33</v>
      </c>
      <c r="D6401" s="139" t="s">
        <v>14991</v>
      </c>
    </row>
    <row r="6402" spans="1:4" x14ac:dyDescent="0.25">
      <c r="A6402" s="139" t="s">
        <v>14992</v>
      </c>
      <c r="B6402" s="139" t="s">
        <v>14990</v>
      </c>
      <c r="C6402" s="139" t="s">
        <v>33</v>
      </c>
      <c r="D6402" s="139" t="s">
        <v>14993</v>
      </c>
    </row>
    <row r="6403" spans="1:4" x14ac:dyDescent="0.25">
      <c r="A6403" s="139" t="s">
        <v>14994</v>
      </c>
      <c r="B6403" s="139" t="s">
        <v>14995</v>
      </c>
      <c r="C6403" s="139" t="s">
        <v>65</v>
      </c>
      <c r="D6403" s="139" t="s">
        <v>14996</v>
      </c>
    </row>
    <row r="6404" spans="1:4" x14ac:dyDescent="0.25">
      <c r="A6404" s="139" t="s">
        <v>14997</v>
      </c>
      <c r="B6404" s="139" t="s">
        <v>14995</v>
      </c>
      <c r="C6404" s="139" t="s">
        <v>65</v>
      </c>
      <c r="D6404" s="139" t="s">
        <v>14998</v>
      </c>
    </row>
    <row r="6405" spans="1:4" x14ac:dyDescent="0.25">
      <c r="A6405" s="139" t="s">
        <v>14999</v>
      </c>
      <c r="B6405" s="139" t="s">
        <v>15000</v>
      </c>
      <c r="C6405" s="139" t="s">
        <v>65</v>
      </c>
      <c r="D6405" s="139" t="s">
        <v>15001</v>
      </c>
    </row>
    <row r="6406" spans="1:4" x14ac:dyDescent="0.25">
      <c r="A6406" s="139" t="s">
        <v>15002</v>
      </c>
      <c r="B6406" s="139" t="s">
        <v>15000</v>
      </c>
      <c r="C6406" s="139" t="s">
        <v>65</v>
      </c>
      <c r="D6406" s="139" t="s">
        <v>15003</v>
      </c>
    </row>
    <row r="6407" spans="1:4" x14ac:dyDescent="0.25">
      <c r="A6407" s="139" t="s">
        <v>15004</v>
      </c>
      <c r="B6407" s="139" t="s">
        <v>15005</v>
      </c>
      <c r="C6407" s="139" t="s">
        <v>65</v>
      </c>
      <c r="D6407" s="139" t="s">
        <v>15006</v>
      </c>
    </row>
    <row r="6408" spans="1:4" x14ac:dyDescent="0.25">
      <c r="A6408" s="139" t="s">
        <v>15007</v>
      </c>
      <c r="B6408" s="139" t="s">
        <v>15005</v>
      </c>
      <c r="C6408" s="139" t="s">
        <v>65</v>
      </c>
      <c r="D6408" s="139" t="s">
        <v>15008</v>
      </c>
    </row>
    <row r="6409" spans="1:4" x14ac:dyDescent="0.25">
      <c r="A6409" s="139" t="s">
        <v>15009</v>
      </c>
      <c r="B6409" s="139" t="s">
        <v>15010</v>
      </c>
      <c r="C6409" s="139" t="s">
        <v>112</v>
      </c>
      <c r="D6409" s="139" t="s">
        <v>15011</v>
      </c>
    </row>
    <row r="6410" spans="1:4" x14ac:dyDescent="0.25">
      <c r="A6410" s="139" t="s">
        <v>15012</v>
      </c>
      <c r="B6410" s="139" t="s">
        <v>15010</v>
      </c>
      <c r="C6410" s="139" t="s">
        <v>112</v>
      </c>
      <c r="D6410" s="139" t="s">
        <v>15013</v>
      </c>
    </row>
    <row r="6411" spans="1:4" x14ac:dyDescent="0.25">
      <c r="A6411" s="139" t="s">
        <v>15014</v>
      </c>
      <c r="B6411" s="139" t="s">
        <v>15015</v>
      </c>
      <c r="C6411" s="139" t="s">
        <v>112</v>
      </c>
      <c r="D6411" s="139" t="s">
        <v>15016</v>
      </c>
    </row>
    <row r="6412" spans="1:4" x14ac:dyDescent="0.25">
      <c r="A6412" s="139" t="s">
        <v>15017</v>
      </c>
      <c r="B6412" s="139" t="s">
        <v>15015</v>
      </c>
      <c r="C6412" s="139" t="s">
        <v>112</v>
      </c>
      <c r="D6412" s="139" t="s">
        <v>15018</v>
      </c>
    </row>
    <row r="6413" spans="1:4" x14ac:dyDescent="0.25">
      <c r="A6413" s="139" t="s">
        <v>15019</v>
      </c>
      <c r="B6413" s="139" t="s">
        <v>15020</v>
      </c>
      <c r="C6413" s="139" t="s">
        <v>112</v>
      </c>
      <c r="D6413" s="139" t="s">
        <v>15021</v>
      </c>
    </row>
    <row r="6414" spans="1:4" x14ac:dyDescent="0.25">
      <c r="A6414" s="139" t="s">
        <v>15022</v>
      </c>
      <c r="B6414" s="139" t="s">
        <v>15020</v>
      </c>
      <c r="C6414" s="139" t="s">
        <v>112</v>
      </c>
      <c r="D6414" s="139" t="s">
        <v>15023</v>
      </c>
    </row>
    <row r="6415" spans="1:4" x14ac:dyDescent="0.25">
      <c r="A6415" s="139" t="s">
        <v>15024</v>
      </c>
      <c r="B6415" s="139" t="s">
        <v>15025</v>
      </c>
      <c r="C6415" s="139" t="s">
        <v>112</v>
      </c>
      <c r="D6415" s="139" t="s">
        <v>15026</v>
      </c>
    </row>
    <row r="6416" spans="1:4" x14ac:dyDescent="0.25">
      <c r="A6416" s="139" t="s">
        <v>15027</v>
      </c>
      <c r="B6416" s="139" t="s">
        <v>15025</v>
      </c>
      <c r="C6416" s="139" t="s">
        <v>112</v>
      </c>
      <c r="D6416" s="139" t="s">
        <v>15028</v>
      </c>
    </row>
    <row r="6417" spans="1:4" x14ac:dyDescent="0.25">
      <c r="A6417" s="139" t="s">
        <v>15029</v>
      </c>
      <c r="B6417" s="139" t="s">
        <v>15030</v>
      </c>
      <c r="C6417" s="139" t="s">
        <v>112</v>
      </c>
      <c r="D6417" s="139" t="s">
        <v>15031</v>
      </c>
    </row>
    <row r="6418" spans="1:4" x14ac:dyDescent="0.25">
      <c r="A6418" s="139" t="s">
        <v>15032</v>
      </c>
      <c r="B6418" s="139" t="s">
        <v>15030</v>
      </c>
      <c r="C6418" s="139" t="s">
        <v>112</v>
      </c>
      <c r="D6418" s="139" t="s">
        <v>15033</v>
      </c>
    </row>
    <row r="6419" spans="1:4" x14ac:dyDescent="0.25">
      <c r="A6419" s="139" t="s">
        <v>15034</v>
      </c>
      <c r="B6419" s="139" t="s">
        <v>15035</v>
      </c>
      <c r="C6419" s="139" t="s">
        <v>112</v>
      </c>
      <c r="D6419" s="139" t="s">
        <v>15036</v>
      </c>
    </row>
    <row r="6420" spans="1:4" x14ac:dyDescent="0.25">
      <c r="A6420" s="139" t="s">
        <v>15037</v>
      </c>
      <c r="B6420" s="139" t="s">
        <v>15035</v>
      </c>
      <c r="C6420" s="139" t="s">
        <v>112</v>
      </c>
      <c r="D6420" s="139" t="s">
        <v>15038</v>
      </c>
    </row>
    <row r="6421" spans="1:4" x14ac:dyDescent="0.25">
      <c r="A6421" s="139" t="s">
        <v>15039</v>
      </c>
      <c r="B6421" s="139" t="s">
        <v>15040</v>
      </c>
      <c r="C6421" s="139" t="s">
        <v>65</v>
      </c>
      <c r="D6421" s="139" t="s">
        <v>15041</v>
      </c>
    </row>
    <row r="6422" spans="1:4" x14ac:dyDescent="0.25">
      <c r="A6422" s="139" t="s">
        <v>15042</v>
      </c>
      <c r="B6422" s="139" t="s">
        <v>15040</v>
      </c>
      <c r="C6422" s="139" t="s">
        <v>65</v>
      </c>
      <c r="D6422" s="139" t="s">
        <v>15043</v>
      </c>
    </row>
    <row r="6423" spans="1:4" x14ac:dyDescent="0.25">
      <c r="A6423" s="139" t="s">
        <v>15044</v>
      </c>
      <c r="B6423" s="139" t="s">
        <v>4227</v>
      </c>
      <c r="C6423" s="139" t="s">
        <v>65</v>
      </c>
      <c r="D6423" s="139" t="s">
        <v>15045</v>
      </c>
    </row>
    <row r="6424" spans="1:4" x14ac:dyDescent="0.25">
      <c r="A6424" s="139" t="s">
        <v>15046</v>
      </c>
      <c r="B6424" s="139" t="s">
        <v>4227</v>
      </c>
      <c r="C6424" s="139" t="s">
        <v>65</v>
      </c>
      <c r="D6424" s="139" t="s">
        <v>15047</v>
      </c>
    </row>
    <row r="6425" spans="1:4" x14ac:dyDescent="0.25">
      <c r="A6425" s="139" t="s">
        <v>15048</v>
      </c>
      <c r="B6425" s="139" t="s">
        <v>15049</v>
      </c>
      <c r="C6425" s="139" t="s">
        <v>65</v>
      </c>
      <c r="D6425" s="139" t="s">
        <v>15050</v>
      </c>
    </row>
    <row r="6426" spans="1:4" x14ac:dyDescent="0.25">
      <c r="A6426" s="139" t="s">
        <v>15051</v>
      </c>
      <c r="B6426" s="139" t="s">
        <v>15049</v>
      </c>
      <c r="C6426" s="139" t="s">
        <v>65</v>
      </c>
      <c r="D6426" s="139" t="s">
        <v>15052</v>
      </c>
    </row>
    <row r="6427" spans="1:4" x14ac:dyDescent="0.25">
      <c r="A6427" s="139" t="s">
        <v>15053</v>
      </c>
      <c r="B6427" s="139" t="s">
        <v>11144</v>
      </c>
      <c r="C6427" s="139" t="s">
        <v>535</v>
      </c>
      <c r="D6427" s="139" t="s">
        <v>15054</v>
      </c>
    </row>
    <row r="6428" spans="1:4" x14ac:dyDescent="0.25">
      <c r="A6428" s="139" t="s">
        <v>15055</v>
      </c>
      <c r="B6428" s="139" t="s">
        <v>11144</v>
      </c>
      <c r="C6428" s="139" t="s">
        <v>535</v>
      </c>
      <c r="D6428" s="139" t="s">
        <v>15056</v>
      </c>
    </row>
    <row r="6429" spans="1:4" x14ac:dyDescent="0.25">
      <c r="A6429" s="139" t="s">
        <v>15057</v>
      </c>
      <c r="B6429" s="139" t="s">
        <v>15058</v>
      </c>
      <c r="C6429" s="139" t="s">
        <v>535</v>
      </c>
      <c r="D6429" s="139" t="s">
        <v>15059</v>
      </c>
    </row>
    <row r="6430" spans="1:4" x14ac:dyDescent="0.25">
      <c r="A6430" s="139" t="s">
        <v>15060</v>
      </c>
      <c r="B6430" s="139" t="s">
        <v>15058</v>
      </c>
      <c r="C6430" s="139" t="s">
        <v>535</v>
      </c>
      <c r="D6430" s="139" t="s">
        <v>15061</v>
      </c>
    </row>
    <row r="6431" spans="1:4" x14ac:dyDescent="0.25">
      <c r="A6431" s="139" t="s">
        <v>15062</v>
      </c>
      <c r="B6431" s="139" t="s">
        <v>15063</v>
      </c>
      <c r="C6431" s="139" t="s">
        <v>535</v>
      </c>
      <c r="D6431" s="139" t="s">
        <v>15064</v>
      </c>
    </row>
    <row r="6432" spans="1:4" x14ac:dyDescent="0.25">
      <c r="A6432" s="139" t="s">
        <v>15065</v>
      </c>
      <c r="B6432" s="139" t="s">
        <v>15063</v>
      </c>
      <c r="C6432" s="139" t="s">
        <v>535</v>
      </c>
      <c r="D6432" s="139" t="s">
        <v>15066</v>
      </c>
    </row>
    <row r="6433" spans="1:4" x14ac:dyDescent="0.25">
      <c r="A6433" s="139" t="s">
        <v>15067</v>
      </c>
      <c r="B6433" s="139" t="s">
        <v>1857</v>
      </c>
      <c r="C6433" s="139" t="s">
        <v>535</v>
      </c>
      <c r="D6433" s="139" t="s">
        <v>15068</v>
      </c>
    </row>
    <row r="6434" spans="1:4" x14ac:dyDescent="0.25">
      <c r="A6434" s="139" t="s">
        <v>15069</v>
      </c>
      <c r="B6434" s="139" t="s">
        <v>1857</v>
      </c>
      <c r="C6434" s="139" t="s">
        <v>535</v>
      </c>
      <c r="D6434" s="139" t="s">
        <v>15070</v>
      </c>
    </row>
    <row r="6435" spans="1:4" x14ac:dyDescent="0.25">
      <c r="A6435" s="139" t="s">
        <v>15071</v>
      </c>
      <c r="B6435" s="139" t="s">
        <v>2133</v>
      </c>
      <c r="C6435" s="139" t="s">
        <v>535</v>
      </c>
      <c r="D6435" s="139" t="s">
        <v>15072</v>
      </c>
    </row>
    <row r="6436" spans="1:4" x14ac:dyDescent="0.25">
      <c r="A6436" s="139" t="s">
        <v>15073</v>
      </c>
      <c r="B6436" s="139" t="s">
        <v>2133</v>
      </c>
      <c r="C6436" s="139" t="s">
        <v>535</v>
      </c>
      <c r="D6436" s="139" t="s">
        <v>15074</v>
      </c>
    </row>
    <row r="6437" spans="1:4" x14ac:dyDescent="0.25">
      <c r="A6437" s="139" t="s">
        <v>15075</v>
      </c>
      <c r="B6437" s="139" t="s">
        <v>2143</v>
      </c>
      <c r="C6437" s="139" t="s">
        <v>535</v>
      </c>
      <c r="D6437" s="139" t="s">
        <v>15076</v>
      </c>
    </row>
    <row r="6438" spans="1:4" x14ac:dyDescent="0.25">
      <c r="A6438" s="139" t="s">
        <v>15077</v>
      </c>
      <c r="B6438" s="139" t="s">
        <v>2143</v>
      </c>
      <c r="C6438" s="139" t="s">
        <v>535</v>
      </c>
      <c r="D6438" s="139" t="s">
        <v>15078</v>
      </c>
    </row>
    <row r="6439" spans="1:4" x14ac:dyDescent="0.25">
      <c r="A6439" s="139" t="s">
        <v>15079</v>
      </c>
      <c r="B6439" s="139" t="s">
        <v>15080</v>
      </c>
      <c r="C6439" s="139" t="s">
        <v>535</v>
      </c>
      <c r="D6439" s="139" t="s">
        <v>15081</v>
      </c>
    </row>
    <row r="6440" spans="1:4" x14ac:dyDescent="0.25">
      <c r="A6440" s="139" t="s">
        <v>15082</v>
      </c>
      <c r="B6440" s="139" t="s">
        <v>15080</v>
      </c>
      <c r="C6440" s="139" t="s">
        <v>535</v>
      </c>
      <c r="D6440" s="139" t="s">
        <v>15083</v>
      </c>
    </row>
    <row r="6441" spans="1:4" x14ac:dyDescent="0.25">
      <c r="A6441" s="139" t="s">
        <v>15084</v>
      </c>
      <c r="B6441" s="139" t="s">
        <v>15085</v>
      </c>
      <c r="C6441" s="139" t="s">
        <v>535</v>
      </c>
      <c r="D6441" s="139" t="s">
        <v>15086</v>
      </c>
    </row>
    <row r="6442" spans="1:4" x14ac:dyDescent="0.25">
      <c r="A6442" s="139" t="s">
        <v>15087</v>
      </c>
      <c r="B6442" s="139" t="s">
        <v>15085</v>
      </c>
      <c r="C6442" s="139" t="s">
        <v>535</v>
      </c>
      <c r="D6442" s="139" t="s">
        <v>15088</v>
      </c>
    </row>
    <row r="6443" spans="1:4" x14ac:dyDescent="0.25">
      <c r="A6443" s="139" t="s">
        <v>15089</v>
      </c>
      <c r="B6443" s="139" t="s">
        <v>15090</v>
      </c>
      <c r="C6443" s="139" t="s">
        <v>535</v>
      </c>
      <c r="D6443" s="139" t="s">
        <v>15091</v>
      </c>
    </row>
    <row r="6444" spans="1:4" x14ac:dyDescent="0.25">
      <c r="A6444" s="139" t="s">
        <v>15092</v>
      </c>
      <c r="B6444" s="139" t="s">
        <v>15090</v>
      </c>
      <c r="C6444" s="139" t="s">
        <v>535</v>
      </c>
      <c r="D6444" s="139" t="s">
        <v>15093</v>
      </c>
    </row>
    <row r="6445" spans="1:4" x14ac:dyDescent="0.25">
      <c r="A6445" s="139" t="s">
        <v>15094</v>
      </c>
      <c r="B6445" s="139" t="s">
        <v>15095</v>
      </c>
      <c r="C6445" s="139" t="s">
        <v>535</v>
      </c>
      <c r="D6445" s="139" t="s">
        <v>15096</v>
      </c>
    </row>
    <row r="6446" spans="1:4" x14ac:dyDescent="0.25">
      <c r="A6446" s="139" t="s">
        <v>15097</v>
      </c>
      <c r="B6446" s="139" t="s">
        <v>15095</v>
      </c>
      <c r="C6446" s="139" t="s">
        <v>535</v>
      </c>
      <c r="D6446" s="139" t="s">
        <v>15098</v>
      </c>
    </row>
    <row r="6447" spans="1:4" x14ac:dyDescent="0.25">
      <c r="A6447" s="139" t="s">
        <v>15099</v>
      </c>
      <c r="B6447" s="139" t="s">
        <v>15100</v>
      </c>
      <c r="C6447" s="139" t="s">
        <v>535</v>
      </c>
      <c r="D6447" s="139" t="s">
        <v>15101</v>
      </c>
    </row>
    <row r="6448" spans="1:4" x14ac:dyDescent="0.25">
      <c r="A6448" s="139" t="s">
        <v>15102</v>
      </c>
      <c r="B6448" s="139" t="s">
        <v>15100</v>
      </c>
      <c r="C6448" s="139" t="s">
        <v>535</v>
      </c>
      <c r="D6448" s="139" t="s">
        <v>15103</v>
      </c>
    </row>
    <row r="6449" spans="1:4" x14ac:dyDescent="0.25">
      <c r="A6449" s="139" t="s">
        <v>15104</v>
      </c>
      <c r="B6449" s="139" t="s">
        <v>15105</v>
      </c>
      <c r="C6449" s="139" t="s">
        <v>535</v>
      </c>
      <c r="D6449" s="139" t="s">
        <v>15106</v>
      </c>
    </row>
    <row r="6450" spans="1:4" x14ac:dyDescent="0.25">
      <c r="A6450" s="139" t="s">
        <v>15107</v>
      </c>
      <c r="B6450" s="139" t="s">
        <v>15105</v>
      </c>
      <c r="C6450" s="139" t="s">
        <v>535</v>
      </c>
      <c r="D6450" s="139" t="s">
        <v>15108</v>
      </c>
    </row>
    <row r="6451" spans="1:4" x14ac:dyDescent="0.25">
      <c r="A6451" s="139" t="s">
        <v>15109</v>
      </c>
      <c r="B6451" s="139" t="s">
        <v>11188</v>
      </c>
      <c r="C6451" s="139" t="s">
        <v>535</v>
      </c>
      <c r="D6451" s="139" t="s">
        <v>15110</v>
      </c>
    </row>
    <row r="6452" spans="1:4" x14ac:dyDescent="0.25">
      <c r="A6452" s="139" t="s">
        <v>15111</v>
      </c>
      <c r="B6452" s="139" t="s">
        <v>11188</v>
      </c>
      <c r="C6452" s="139" t="s">
        <v>535</v>
      </c>
      <c r="D6452" s="139" t="s">
        <v>15112</v>
      </c>
    </row>
    <row r="6453" spans="1:4" x14ac:dyDescent="0.25">
      <c r="A6453" s="139" t="s">
        <v>15113</v>
      </c>
      <c r="B6453" s="139" t="s">
        <v>2018</v>
      </c>
      <c r="C6453" s="139" t="s">
        <v>123</v>
      </c>
      <c r="D6453" s="139" t="s">
        <v>15114</v>
      </c>
    </row>
    <row r="6454" spans="1:4" x14ac:dyDescent="0.25">
      <c r="A6454" s="139" t="s">
        <v>15115</v>
      </c>
      <c r="B6454" s="139" t="s">
        <v>2018</v>
      </c>
      <c r="C6454" s="139" t="s">
        <v>123</v>
      </c>
      <c r="D6454" s="139" t="s">
        <v>15116</v>
      </c>
    </row>
    <row r="6455" spans="1:4" x14ac:dyDescent="0.25">
      <c r="A6455" s="139" t="s">
        <v>15117</v>
      </c>
      <c r="B6455" s="139" t="s">
        <v>15118</v>
      </c>
      <c r="C6455" s="139" t="s">
        <v>375</v>
      </c>
      <c r="D6455" s="139" t="s">
        <v>15119</v>
      </c>
    </row>
    <row r="6456" spans="1:4" x14ac:dyDescent="0.25">
      <c r="A6456" s="139" t="s">
        <v>15120</v>
      </c>
      <c r="B6456" s="139" t="s">
        <v>15118</v>
      </c>
      <c r="C6456" s="139" t="s">
        <v>375</v>
      </c>
      <c r="D6456" s="139" t="s">
        <v>15121</v>
      </c>
    </row>
    <row r="6457" spans="1:4" x14ac:dyDescent="0.25">
      <c r="A6457" s="139" t="s">
        <v>15122</v>
      </c>
      <c r="B6457" s="139" t="s">
        <v>15123</v>
      </c>
      <c r="C6457" s="139" t="s">
        <v>123</v>
      </c>
      <c r="D6457" s="139" t="s">
        <v>15124</v>
      </c>
    </row>
    <row r="6458" spans="1:4" x14ac:dyDescent="0.25">
      <c r="A6458" s="139" t="s">
        <v>15125</v>
      </c>
      <c r="B6458" s="139" t="s">
        <v>15123</v>
      </c>
      <c r="C6458" s="139" t="s">
        <v>123</v>
      </c>
      <c r="D6458" s="139" t="s">
        <v>15126</v>
      </c>
    </row>
    <row r="6459" spans="1:4" x14ac:dyDescent="0.25">
      <c r="A6459" s="139" t="s">
        <v>15127</v>
      </c>
      <c r="B6459" s="139" t="s">
        <v>15128</v>
      </c>
      <c r="C6459" s="139" t="s">
        <v>123</v>
      </c>
      <c r="D6459" s="139" t="s">
        <v>15129</v>
      </c>
    </row>
    <row r="6460" spans="1:4" x14ac:dyDescent="0.25">
      <c r="A6460" s="139" t="s">
        <v>15130</v>
      </c>
      <c r="B6460" s="139" t="s">
        <v>15128</v>
      </c>
      <c r="C6460" s="139" t="s">
        <v>123</v>
      </c>
      <c r="D6460" s="139" t="s">
        <v>15131</v>
      </c>
    </row>
    <row r="6461" spans="1:4" x14ac:dyDescent="0.25">
      <c r="A6461" s="139" t="s">
        <v>15132</v>
      </c>
      <c r="B6461" s="139" t="s">
        <v>15133</v>
      </c>
      <c r="C6461" s="139" t="s">
        <v>123</v>
      </c>
      <c r="D6461" s="139" t="s">
        <v>15134</v>
      </c>
    </row>
    <row r="6462" spans="1:4" x14ac:dyDescent="0.25">
      <c r="A6462" s="139" t="s">
        <v>15135</v>
      </c>
      <c r="B6462" s="139" t="s">
        <v>15133</v>
      </c>
      <c r="C6462" s="139" t="s">
        <v>123</v>
      </c>
      <c r="D6462" s="139" t="s">
        <v>15136</v>
      </c>
    </row>
    <row r="6463" spans="1:4" x14ac:dyDescent="0.25">
      <c r="A6463" s="139" t="s">
        <v>15137</v>
      </c>
      <c r="B6463" s="139" t="s">
        <v>15138</v>
      </c>
      <c r="C6463" s="139" t="s">
        <v>123</v>
      </c>
      <c r="D6463" s="139" t="s">
        <v>15139</v>
      </c>
    </row>
    <row r="6464" spans="1:4" x14ac:dyDescent="0.25">
      <c r="A6464" s="139" t="s">
        <v>15140</v>
      </c>
      <c r="B6464" s="139" t="s">
        <v>15138</v>
      </c>
      <c r="C6464" s="139" t="s">
        <v>123</v>
      </c>
      <c r="D6464" s="139" t="s">
        <v>15141</v>
      </c>
    </row>
    <row r="6465" spans="1:4" x14ac:dyDescent="0.25">
      <c r="A6465" s="139" t="s">
        <v>15142</v>
      </c>
      <c r="B6465" s="139" t="s">
        <v>15080</v>
      </c>
      <c r="C6465" s="139" t="s">
        <v>123</v>
      </c>
      <c r="D6465" s="139" t="s">
        <v>15143</v>
      </c>
    </row>
    <row r="6466" spans="1:4" x14ac:dyDescent="0.25">
      <c r="A6466" s="139" t="s">
        <v>15144</v>
      </c>
      <c r="B6466" s="139" t="s">
        <v>15080</v>
      </c>
      <c r="C6466" s="139" t="s">
        <v>123</v>
      </c>
      <c r="D6466" s="139" t="s">
        <v>15145</v>
      </c>
    </row>
    <row r="6467" spans="1:4" x14ac:dyDescent="0.25">
      <c r="A6467" s="139" t="s">
        <v>15146</v>
      </c>
      <c r="B6467" s="139" t="s">
        <v>15085</v>
      </c>
      <c r="C6467" s="139" t="s">
        <v>123</v>
      </c>
      <c r="D6467" s="139" t="s">
        <v>15147</v>
      </c>
    </row>
    <row r="6468" spans="1:4" x14ac:dyDescent="0.25">
      <c r="A6468" s="139" t="s">
        <v>15148</v>
      </c>
      <c r="B6468" s="139" t="s">
        <v>15085</v>
      </c>
      <c r="C6468" s="139" t="s">
        <v>123</v>
      </c>
      <c r="D6468" s="139" t="s">
        <v>15149</v>
      </c>
    </row>
    <row r="6469" spans="1:4" x14ac:dyDescent="0.25">
      <c r="A6469" s="139" t="s">
        <v>15150</v>
      </c>
      <c r="B6469" s="139" t="s">
        <v>15090</v>
      </c>
      <c r="C6469" s="139" t="s">
        <v>123</v>
      </c>
      <c r="D6469" s="139" t="s">
        <v>15151</v>
      </c>
    </row>
    <row r="6470" spans="1:4" x14ac:dyDescent="0.25">
      <c r="A6470" s="139" t="s">
        <v>15152</v>
      </c>
      <c r="B6470" s="139" t="s">
        <v>15090</v>
      </c>
      <c r="C6470" s="139" t="s">
        <v>123</v>
      </c>
      <c r="D6470" s="139" t="s">
        <v>15153</v>
      </c>
    </row>
    <row r="6471" spans="1:4" x14ac:dyDescent="0.25">
      <c r="A6471" s="139" t="s">
        <v>15154</v>
      </c>
      <c r="B6471" s="139" t="s">
        <v>15095</v>
      </c>
      <c r="C6471" s="139" t="s">
        <v>123</v>
      </c>
      <c r="D6471" s="139" t="s">
        <v>15155</v>
      </c>
    </row>
    <row r="6472" spans="1:4" x14ac:dyDescent="0.25">
      <c r="A6472" s="139" t="s">
        <v>15156</v>
      </c>
      <c r="B6472" s="139" t="s">
        <v>15095</v>
      </c>
      <c r="C6472" s="139" t="s">
        <v>123</v>
      </c>
      <c r="D6472" s="139" t="s">
        <v>15157</v>
      </c>
    </row>
    <row r="6473" spans="1:4" x14ac:dyDescent="0.25">
      <c r="A6473" s="139" t="s">
        <v>15158</v>
      </c>
      <c r="B6473" s="139" t="s">
        <v>15100</v>
      </c>
      <c r="C6473" s="139" t="s">
        <v>123</v>
      </c>
      <c r="D6473" s="139" t="s">
        <v>15159</v>
      </c>
    </row>
    <row r="6474" spans="1:4" x14ac:dyDescent="0.25">
      <c r="A6474" s="139" t="s">
        <v>15160</v>
      </c>
      <c r="B6474" s="139" t="s">
        <v>15100</v>
      </c>
      <c r="C6474" s="139" t="s">
        <v>123</v>
      </c>
      <c r="D6474" s="139" t="s">
        <v>15161</v>
      </c>
    </row>
    <row r="6475" spans="1:4" x14ac:dyDescent="0.25">
      <c r="A6475" s="139" t="s">
        <v>15162</v>
      </c>
      <c r="B6475" s="139" t="s">
        <v>15105</v>
      </c>
      <c r="C6475" s="139" t="s">
        <v>123</v>
      </c>
      <c r="D6475" s="139" t="s">
        <v>15163</v>
      </c>
    </row>
    <row r="6476" spans="1:4" x14ac:dyDescent="0.25">
      <c r="A6476" s="139" t="s">
        <v>15164</v>
      </c>
      <c r="B6476" s="139" t="s">
        <v>15105</v>
      </c>
      <c r="C6476" s="139" t="s">
        <v>123</v>
      </c>
      <c r="D6476" s="139" t="s">
        <v>15165</v>
      </c>
    </row>
    <row r="6477" spans="1:4" x14ac:dyDescent="0.25">
      <c r="A6477" s="139" t="s">
        <v>15166</v>
      </c>
      <c r="B6477" s="139" t="s">
        <v>15167</v>
      </c>
      <c r="C6477" s="139" t="s">
        <v>123</v>
      </c>
      <c r="D6477" s="139" t="s">
        <v>15168</v>
      </c>
    </row>
    <row r="6478" spans="1:4" x14ac:dyDescent="0.25">
      <c r="A6478" s="139" t="s">
        <v>15169</v>
      </c>
      <c r="B6478" s="139" t="s">
        <v>15167</v>
      </c>
      <c r="C6478" s="139" t="s">
        <v>123</v>
      </c>
      <c r="D6478" s="139" t="s">
        <v>15170</v>
      </c>
    </row>
    <row r="6479" spans="1:4" x14ac:dyDescent="0.25">
      <c r="A6479" s="139" t="s">
        <v>15171</v>
      </c>
      <c r="B6479" s="139" t="s">
        <v>15172</v>
      </c>
      <c r="C6479" s="139" t="s">
        <v>123</v>
      </c>
      <c r="D6479" s="139" t="s">
        <v>15173</v>
      </c>
    </row>
    <row r="6480" spans="1:4" x14ac:dyDescent="0.25">
      <c r="A6480" s="139" t="s">
        <v>15174</v>
      </c>
      <c r="B6480" s="139" t="s">
        <v>15172</v>
      </c>
      <c r="C6480" s="139" t="s">
        <v>123</v>
      </c>
      <c r="D6480" s="139" t="s">
        <v>15175</v>
      </c>
    </row>
    <row r="6481" spans="1:4" x14ac:dyDescent="0.25">
      <c r="A6481" s="139" t="s">
        <v>15176</v>
      </c>
      <c r="B6481" s="139" t="s">
        <v>15177</v>
      </c>
      <c r="C6481" s="139" t="s">
        <v>123</v>
      </c>
      <c r="D6481" s="139" t="s">
        <v>15178</v>
      </c>
    </row>
    <row r="6482" spans="1:4" x14ac:dyDescent="0.25">
      <c r="A6482" s="139" t="s">
        <v>15179</v>
      </c>
      <c r="B6482" s="139" t="s">
        <v>15177</v>
      </c>
      <c r="C6482" s="139" t="s">
        <v>123</v>
      </c>
      <c r="D6482" s="139" t="s">
        <v>15180</v>
      </c>
    </row>
    <row r="6483" spans="1:4" x14ac:dyDescent="0.25">
      <c r="A6483" s="139" t="s">
        <v>15181</v>
      </c>
      <c r="B6483" s="139" t="s">
        <v>15182</v>
      </c>
      <c r="C6483" s="139" t="s">
        <v>123</v>
      </c>
      <c r="D6483" s="139" t="s">
        <v>15183</v>
      </c>
    </row>
    <row r="6484" spans="1:4" x14ac:dyDescent="0.25">
      <c r="A6484" s="139" t="s">
        <v>15184</v>
      </c>
      <c r="B6484" s="139" t="s">
        <v>15182</v>
      </c>
      <c r="C6484" s="139" t="s">
        <v>123</v>
      </c>
      <c r="D6484" s="139" t="s">
        <v>15185</v>
      </c>
    </row>
    <row r="6485" spans="1:4" x14ac:dyDescent="0.25">
      <c r="A6485" s="139" t="s">
        <v>15186</v>
      </c>
      <c r="B6485" s="139" t="s">
        <v>15187</v>
      </c>
      <c r="C6485" s="139" t="s">
        <v>123</v>
      </c>
      <c r="D6485" s="139" t="s">
        <v>15188</v>
      </c>
    </row>
    <row r="6486" spans="1:4" x14ac:dyDescent="0.25">
      <c r="A6486" s="139" t="s">
        <v>15189</v>
      </c>
      <c r="B6486" s="139" t="s">
        <v>15187</v>
      </c>
      <c r="C6486" s="139" t="s">
        <v>123</v>
      </c>
      <c r="D6486" s="139" t="s">
        <v>15190</v>
      </c>
    </row>
    <row r="6487" spans="1:4" x14ac:dyDescent="0.25">
      <c r="A6487" s="139" t="s">
        <v>15191</v>
      </c>
      <c r="B6487" s="139" t="s">
        <v>15192</v>
      </c>
      <c r="C6487" s="139" t="s">
        <v>5475</v>
      </c>
      <c r="D6487" s="139" t="s">
        <v>15193</v>
      </c>
    </row>
    <row r="6488" spans="1:4" x14ac:dyDescent="0.25">
      <c r="A6488" s="139" t="s">
        <v>15194</v>
      </c>
      <c r="B6488" s="139" t="s">
        <v>15192</v>
      </c>
      <c r="C6488" s="139" t="s">
        <v>5475</v>
      </c>
      <c r="D6488" s="139" t="s">
        <v>15195</v>
      </c>
    </row>
    <row r="6489" spans="1:4" x14ac:dyDescent="0.25">
      <c r="A6489" s="139" t="s">
        <v>15196</v>
      </c>
      <c r="B6489" s="139" t="s">
        <v>13156</v>
      </c>
      <c r="C6489" s="139" t="s">
        <v>535</v>
      </c>
      <c r="D6489" s="139" t="s">
        <v>15197</v>
      </c>
    </row>
    <row r="6490" spans="1:4" x14ac:dyDescent="0.25">
      <c r="A6490" s="139" t="s">
        <v>15198</v>
      </c>
      <c r="B6490" s="139" t="s">
        <v>13156</v>
      </c>
      <c r="C6490" s="139" t="s">
        <v>535</v>
      </c>
      <c r="D6490" s="139" t="s">
        <v>15199</v>
      </c>
    </row>
    <row r="6491" spans="1:4" x14ac:dyDescent="0.25">
      <c r="A6491" s="139" t="s">
        <v>15200</v>
      </c>
      <c r="B6491" s="139" t="s">
        <v>13151</v>
      </c>
      <c r="C6491" s="139" t="s">
        <v>535</v>
      </c>
      <c r="D6491" s="139" t="s">
        <v>15201</v>
      </c>
    </row>
    <row r="6492" spans="1:4" x14ac:dyDescent="0.25">
      <c r="A6492" s="139" t="s">
        <v>15202</v>
      </c>
      <c r="B6492" s="139" t="s">
        <v>13151</v>
      </c>
      <c r="C6492" s="139" t="s">
        <v>535</v>
      </c>
      <c r="D6492" s="139" t="s">
        <v>15203</v>
      </c>
    </row>
    <row r="6493" spans="1:4" x14ac:dyDescent="0.25">
      <c r="A6493" s="139" t="s">
        <v>15204</v>
      </c>
      <c r="B6493" s="139" t="s">
        <v>13146</v>
      </c>
      <c r="C6493" s="139" t="s">
        <v>535</v>
      </c>
      <c r="D6493" s="139" t="s">
        <v>15205</v>
      </c>
    </row>
    <row r="6494" spans="1:4" x14ac:dyDescent="0.25">
      <c r="A6494" s="139" t="s">
        <v>15206</v>
      </c>
      <c r="B6494" s="139" t="s">
        <v>13146</v>
      </c>
      <c r="C6494" s="139" t="s">
        <v>535</v>
      </c>
      <c r="D6494" s="139" t="s">
        <v>15207</v>
      </c>
    </row>
    <row r="6495" spans="1:4" x14ac:dyDescent="0.25">
      <c r="A6495" s="139" t="s">
        <v>15208</v>
      </c>
      <c r="B6495" s="139" t="s">
        <v>13141</v>
      </c>
      <c r="C6495" s="139" t="s">
        <v>535</v>
      </c>
      <c r="D6495" s="139" t="s">
        <v>15209</v>
      </c>
    </row>
    <row r="6496" spans="1:4" x14ac:dyDescent="0.25">
      <c r="A6496" s="139" t="s">
        <v>15210</v>
      </c>
      <c r="B6496" s="139" t="s">
        <v>13141</v>
      </c>
      <c r="C6496" s="139" t="s">
        <v>535</v>
      </c>
      <c r="D6496" s="139" t="s">
        <v>15211</v>
      </c>
    </row>
    <row r="6497" spans="1:4" x14ac:dyDescent="0.25">
      <c r="A6497" s="139" t="s">
        <v>15212</v>
      </c>
      <c r="B6497" s="139" t="s">
        <v>13083</v>
      </c>
      <c r="C6497" s="139" t="s">
        <v>535</v>
      </c>
      <c r="D6497" s="139" t="s">
        <v>15213</v>
      </c>
    </row>
    <row r="6498" spans="1:4" x14ac:dyDescent="0.25">
      <c r="A6498" s="139" t="s">
        <v>15214</v>
      </c>
      <c r="B6498" s="139" t="s">
        <v>13083</v>
      </c>
      <c r="C6498" s="139" t="s">
        <v>535</v>
      </c>
      <c r="D6498" s="139" t="s">
        <v>15215</v>
      </c>
    </row>
    <row r="6499" spans="1:4" x14ac:dyDescent="0.25">
      <c r="A6499" s="139" t="s">
        <v>15216</v>
      </c>
      <c r="B6499" s="139" t="s">
        <v>2999</v>
      </c>
      <c r="C6499" s="139" t="s">
        <v>535</v>
      </c>
      <c r="D6499" s="139" t="s">
        <v>15217</v>
      </c>
    </row>
    <row r="6500" spans="1:4" x14ac:dyDescent="0.25">
      <c r="A6500" s="139" t="s">
        <v>15218</v>
      </c>
      <c r="B6500" s="139" t="s">
        <v>2999</v>
      </c>
      <c r="C6500" s="139" t="s">
        <v>535</v>
      </c>
      <c r="D6500" s="139" t="s">
        <v>15219</v>
      </c>
    </row>
    <row r="6501" spans="1:4" x14ac:dyDescent="0.25">
      <c r="A6501" s="139" t="s">
        <v>15220</v>
      </c>
      <c r="B6501" s="139" t="s">
        <v>13161</v>
      </c>
      <c r="C6501" s="139" t="s">
        <v>535</v>
      </c>
      <c r="D6501" s="139" t="s">
        <v>15221</v>
      </c>
    </row>
    <row r="6502" spans="1:4" x14ac:dyDescent="0.25">
      <c r="A6502" s="139" t="s">
        <v>15222</v>
      </c>
      <c r="B6502" s="139" t="s">
        <v>13161</v>
      </c>
      <c r="C6502" s="139" t="s">
        <v>535</v>
      </c>
      <c r="D6502" s="139" t="s">
        <v>15223</v>
      </c>
    </row>
    <row r="6503" spans="1:4" x14ac:dyDescent="0.25">
      <c r="A6503" s="139" t="s">
        <v>15224</v>
      </c>
      <c r="B6503" s="139" t="s">
        <v>8054</v>
      </c>
      <c r="C6503" s="139" t="s">
        <v>535</v>
      </c>
      <c r="D6503" s="139" t="s">
        <v>15225</v>
      </c>
    </row>
    <row r="6504" spans="1:4" x14ac:dyDescent="0.25">
      <c r="A6504" s="139" t="s">
        <v>15226</v>
      </c>
      <c r="B6504" s="139" t="s">
        <v>8054</v>
      </c>
      <c r="C6504" s="139" t="s">
        <v>535</v>
      </c>
      <c r="D6504" s="139" t="s">
        <v>15227</v>
      </c>
    </row>
    <row r="6505" spans="1:4" x14ac:dyDescent="0.25">
      <c r="A6505" s="139" t="s">
        <v>15228</v>
      </c>
      <c r="B6505" s="139" t="s">
        <v>13132</v>
      </c>
      <c r="C6505" s="139" t="s">
        <v>535</v>
      </c>
      <c r="D6505" s="139" t="s">
        <v>15229</v>
      </c>
    </row>
    <row r="6506" spans="1:4" x14ac:dyDescent="0.25">
      <c r="A6506" s="139" t="s">
        <v>15230</v>
      </c>
      <c r="B6506" s="139" t="s">
        <v>13132</v>
      </c>
      <c r="C6506" s="139" t="s">
        <v>535</v>
      </c>
      <c r="D6506" s="139" t="s">
        <v>15231</v>
      </c>
    </row>
    <row r="6507" spans="1:4" x14ac:dyDescent="0.25">
      <c r="A6507" s="139" t="s">
        <v>15232</v>
      </c>
      <c r="B6507" s="139" t="s">
        <v>13127</v>
      </c>
      <c r="C6507" s="139" t="s">
        <v>535</v>
      </c>
      <c r="D6507" s="139" t="s">
        <v>15233</v>
      </c>
    </row>
    <row r="6508" spans="1:4" x14ac:dyDescent="0.25">
      <c r="A6508" s="139" t="s">
        <v>15234</v>
      </c>
      <c r="B6508" s="139" t="s">
        <v>13127</v>
      </c>
      <c r="C6508" s="139" t="s">
        <v>535</v>
      </c>
      <c r="D6508" s="139" t="s">
        <v>15235</v>
      </c>
    </row>
    <row r="6509" spans="1:4" x14ac:dyDescent="0.25">
      <c r="A6509" s="139" t="s">
        <v>15236</v>
      </c>
      <c r="B6509" s="139" t="s">
        <v>2994</v>
      </c>
      <c r="C6509" s="139" t="s">
        <v>535</v>
      </c>
      <c r="D6509" s="139" t="s">
        <v>15237</v>
      </c>
    </row>
    <row r="6510" spans="1:4" x14ac:dyDescent="0.25">
      <c r="A6510" s="139" t="s">
        <v>15238</v>
      </c>
      <c r="B6510" s="139" t="s">
        <v>2994</v>
      </c>
      <c r="C6510" s="139" t="s">
        <v>535</v>
      </c>
      <c r="D6510" s="139" t="s">
        <v>15239</v>
      </c>
    </row>
    <row r="6511" spans="1:4" x14ac:dyDescent="0.25">
      <c r="A6511" s="139" t="s">
        <v>15240</v>
      </c>
      <c r="B6511" s="139" t="s">
        <v>15182</v>
      </c>
      <c r="C6511" s="139" t="s">
        <v>535</v>
      </c>
      <c r="D6511" s="139" t="s">
        <v>15241</v>
      </c>
    </row>
    <row r="6512" spans="1:4" x14ac:dyDescent="0.25">
      <c r="A6512" s="139" t="s">
        <v>15242</v>
      </c>
      <c r="B6512" s="139" t="s">
        <v>15182</v>
      </c>
      <c r="C6512" s="139" t="s">
        <v>535</v>
      </c>
      <c r="D6512" s="139" t="s">
        <v>15243</v>
      </c>
    </row>
    <row r="6513" spans="1:4" x14ac:dyDescent="0.25">
      <c r="A6513" s="139" t="s">
        <v>15244</v>
      </c>
      <c r="B6513" s="139" t="s">
        <v>15245</v>
      </c>
      <c r="C6513" s="139" t="s">
        <v>535</v>
      </c>
      <c r="D6513" s="139" t="s">
        <v>15246</v>
      </c>
    </row>
    <row r="6514" spans="1:4" x14ac:dyDescent="0.25">
      <c r="A6514" s="139" t="s">
        <v>15247</v>
      </c>
      <c r="B6514" s="139" t="s">
        <v>15245</v>
      </c>
      <c r="C6514" s="139" t="s">
        <v>535</v>
      </c>
      <c r="D6514" s="139" t="s">
        <v>15248</v>
      </c>
    </row>
    <row r="6515" spans="1:4" x14ac:dyDescent="0.25">
      <c r="A6515" s="139" t="s">
        <v>15249</v>
      </c>
      <c r="B6515" s="139" t="s">
        <v>15250</v>
      </c>
      <c r="C6515" s="139" t="s">
        <v>535</v>
      </c>
      <c r="D6515" s="139" t="s">
        <v>15251</v>
      </c>
    </row>
    <row r="6516" spans="1:4" x14ac:dyDescent="0.25">
      <c r="A6516" s="139" t="s">
        <v>15252</v>
      </c>
      <c r="B6516" s="139" t="s">
        <v>15250</v>
      </c>
      <c r="C6516" s="139" t="s">
        <v>535</v>
      </c>
      <c r="D6516" s="139" t="s">
        <v>15253</v>
      </c>
    </row>
    <row r="6517" spans="1:4" x14ac:dyDescent="0.25">
      <c r="A6517" s="139" t="s">
        <v>15254</v>
      </c>
      <c r="B6517" s="139" t="s">
        <v>13438</v>
      </c>
      <c r="C6517" s="139" t="s">
        <v>535</v>
      </c>
      <c r="D6517" s="139" t="s">
        <v>15255</v>
      </c>
    </row>
    <row r="6518" spans="1:4" x14ac:dyDescent="0.25">
      <c r="A6518" s="139" t="s">
        <v>15256</v>
      </c>
      <c r="B6518" s="139" t="s">
        <v>13438</v>
      </c>
      <c r="C6518" s="139" t="s">
        <v>535</v>
      </c>
      <c r="D6518" s="139" t="s">
        <v>15257</v>
      </c>
    </row>
    <row r="6519" spans="1:4" x14ac:dyDescent="0.25">
      <c r="A6519" s="139" t="s">
        <v>15258</v>
      </c>
      <c r="B6519" s="139" t="s">
        <v>13122</v>
      </c>
      <c r="C6519" s="139" t="s">
        <v>123</v>
      </c>
      <c r="D6519" s="139" t="s">
        <v>15259</v>
      </c>
    </row>
    <row r="6520" spans="1:4" x14ac:dyDescent="0.25">
      <c r="A6520" s="139" t="s">
        <v>15260</v>
      </c>
      <c r="B6520" s="139" t="s">
        <v>13122</v>
      </c>
      <c r="C6520" s="139" t="s">
        <v>123</v>
      </c>
      <c r="D6520" s="139" t="s">
        <v>15261</v>
      </c>
    </row>
    <row r="6521" spans="1:4" x14ac:dyDescent="0.25">
      <c r="A6521" s="139" t="s">
        <v>15262</v>
      </c>
      <c r="B6521" s="139" t="s">
        <v>15187</v>
      </c>
      <c r="C6521" s="139" t="s">
        <v>535</v>
      </c>
      <c r="D6521" s="139" t="s">
        <v>15263</v>
      </c>
    </row>
    <row r="6522" spans="1:4" x14ac:dyDescent="0.25">
      <c r="A6522" s="139" t="s">
        <v>15264</v>
      </c>
      <c r="B6522" s="139" t="s">
        <v>15187</v>
      </c>
      <c r="C6522" s="139" t="s">
        <v>535</v>
      </c>
      <c r="D6522" s="139" t="s">
        <v>15265</v>
      </c>
    </row>
    <row r="6523" spans="1:4" x14ac:dyDescent="0.25">
      <c r="A6523" s="139" t="s">
        <v>15266</v>
      </c>
      <c r="B6523" s="139" t="s">
        <v>15267</v>
      </c>
      <c r="C6523" s="139" t="s">
        <v>535</v>
      </c>
      <c r="D6523" s="139" t="s">
        <v>15268</v>
      </c>
    </row>
    <row r="6524" spans="1:4" x14ac:dyDescent="0.25">
      <c r="A6524" s="139" t="s">
        <v>15269</v>
      </c>
      <c r="B6524" s="139" t="s">
        <v>15267</v>
      </c>
      <c r="C6524" s="139" t="s">
        <v>535</v>
      </c>
      <c r="D6524" s="139" t="s">
        <v>15270</v>
      </c>
    </row>
    <row r="6525" spans="1:4" x14ac:dyDescent="0.25">
      <c r="A6525" s="139" t="s">
        <v>15271</v>
      </c>
      <c r="B6525" s="139" t="s">
        <v>15272</v>
      </c>
      <c r="C6525" s="139" t="s">
        <v>535</v>
      </c>
      <c r="D6525" s="139" t="s">
        <v>15273</v>
      </c>
    </row>
    <row r="6526" spans="1:4" x14ac:dyDescent="0.25">
      <c r="A6526" s="139" t="s">
        <v>15274</v>
      </c>
      <c r="B6526" s="139" t="s">
        <v>15272</v>
      </c>
      <c r="C6526" s="139" t="s">
        <v>535</v>
      </c>
      <c r="D6526" s="139" t="s">
        <v>15275</v>
      </c>
    </row>
    <row r="6527" spans="1:4" x14ac:dyDescent="0.25">
      <c r="A6527" s="139" t="s">
        <v>15276</v>
      </c>
      <c r="B6527" s="139" t="s">
        <v>15277</v>
      </c>
      <c r="C6527" s="139" t="s">
        <v>535</v>
      </c>
      <c r="D6527" s="139" t="s">
        <v>15278</v>
      </c>
    </row>
    <row r="6528" spans="1:4" x14ac:dyDescent="0.25">
      <c r="A6528" s="139" t="s">
        <v>15279</v>
      </c>
      <c r="B6528" s="139" t="s">
        <v>15277</v>
      </c>
      <c r="C6528" s="139" t="s">
        <v>535</v>
      </c>
      <c r="D6528" s="139" t="s">
        <v>15280</v>
      </c>
    </row>
    <row r="6529" spans="1:4" x14ac:dyDescent="0.25">
      <c r="A6529" s="139" t="s">
        <v>15281</v>
      </c>
      <c r="B6529" s="139" t="s">
        <v>15282</v>
      </c>
      <c r="C6529" s="139" t="s">
        <v>535</v>
      </c>
      <c r="D6529" s="139" t="s">
        <v>15283</v>
      </c>
    </row>
    <row r="6530" spans="1:4" x14ac:dyDescent="0.25">
      <c r="A6530" s="139" t="s">
        <v>15284</v>
      </c>
      <c r="B6530" s="139" t="s">
        <v>15282</v>
      </c>
      <c r="C6530" s="139" t="s">
        <v>535</v>
      </c>
      <c r="D6530" s="139" t="s">
        <v>15285</v>
      </c>
    </row>
    <row r="6531" spans="1:4" x14ac:dyDescent="0.25">
      <c r="A6531" s="139" t="s">
        <v>15286</v>
      </c>
      <c r="B6531" s="139" t="s">
        <v>7889</v>
      </c>
      <c r="C6531" s="139" t="s">
        <v>535</v>
      </c>
      <c r="D6531" s="139" t="s">
        <v>15287</v>
      </c>
    </row>
    <row r="6532" spans="1:4" x14ac:dyDescent="0.25">
      <c r="A6532" s="139" t="s">
        <v>15288</v>
      </c>
      <c r="B6532" s="139" t="s">
        <v>7889</v>
      </c>
      <c r="C6532" s="139" t="s">
        <v>535</v>
      </c>
      <c r="D6532" s="139" t="s">
        <v>15289</v>
      </c>
    </row>
    <row r="6533" spans="1:4" x14ac:dyDescent="0.25">
      <c r="A6533" s="139" t="s">
        <v>15290</v>
      </c>
      <c r="B6533" s="139" t="s">
        <v>15291</v>
      </c>
      <c r="C6533" s="139" t="s">
        <v>535</v>
      </c>
      <c r="D6533" s="139" t="s">
        <v>15292</v>
      </c>
    </row>
    <row r="6534" spans="1:4" x14ac:dyDescent="0.25">
      <c r="A6534" s="139" t="s">
        <v>15293</v>
      </c>
      <c r="B6534" s="139" t="s">
        <v>15291</v>
      </c>
      <c r="C6534" s="139" t="s">
        <v>535</v>
      </c>
      <c r="D6534" s="139" t="s">
        <v>15294</v>
      </c>
    </row>
    <row r="6535" spans="1:4" x14ac:dyDescent="0.25">
      <c r="A6535" s="139" t="s">
        <v>15295</v>
      </c>
      <c r="B6535" s="139" t="s">
        <v>15296</v>
      </c>
      <c r="C6535" s="139" t="s">
        <v>535</v>
      </c>
      <c r="D6535" s="139" t="s">
        <v>15297</v>
      </c>
    </row>
    <row r="6536" spans="1:4" x14ac:dyDescent="0.25">
      <c r="A6536" s="139" t="s">
        <v>15298</v>
      </c>
      <c r="B6536" s="139" t="s">
        <v>15296</v>
      </c>
      <c r="C6536" s="139" t="s">
        <v>535</v>
      </c>
      <c r="D6536" s="139" t="s">
        <v>15299</v>
      </c>
    </row>
    <row r="6537" spans="1:4" x14ac:dyDescent="0.25">
      <c r="A6537" s="139" t="s">
        <v>15300</v>
      </c>
      <c r="B6537" s="139" t="s">
        <v>15301</v>
      </c>
      <c r="C6537" s="139" t="s">
        <v>535</v>
      </c>
      <c r="D6537" s="139" t="s">
        <v>15302</v>
      </c>
    </row>
    <row r="6538" spans="1:4" x14ac:dyDescent="0.25">
      <c r="A6538" s="139" t="s">
        <v>15303</v>
      </c>
      <c r="B6538" s="139" t="s">
        <v>15301</v>
      </c>
      <c r="C6538" s="139" t="s">
        <v>535</v>
      </c>
      <c r="D6538" s="139" t="s">
        <v>15304</v>
      </c>
    </row>
    <row r="6539" spans="1:4" x14ac:dyDescent="0.25">
      <c r="A6539" s="139" t="s">
        <v>15305</v>
      </c>
      <c r="B6539" s="139" t="s">
        <v>15306</v>
      </c>
      <c r="C6539" s="139" t="s">
        <v>535</v>
      </c>
      <c r="D6539" s="139" t="s">
        <v>15307</v>
      </c>
    </row>
    <row r="6540" spans="1:4" x14ac:dyDescent="0.25">
      <c r="A6540" s="139" t="s">
        <v>15308</v>
      </c>
      <c r="B6540" s="139" t="s">
        <v>15306</v>
      </c>
      <c r="C6540" s="139" t="s">
        <v>535</v>
      </c>
      <c r="D6540" s="139" t="s">
        <v>15309</v>
      </c>
    </row>
    <row r="6541" spans="1:4" x14ac:dyDescent="0.25">
      <c r="A6541" s="139" t="s">
        <v>15310</v>
      </c>
      <c r="B6541" s="139" t="s">
        <v>15311</v>
      </c>
      <c r="C6541" s="139" t="s">
        <v>535</v>
      </c>
      <c r="D6541" s="139" t="s">
        <v>15312</v>
      </c>
    </row>
    <row r="6542" spans="1:4" x14ac:dyDescent="0.25">
      <c r="A6542" s="139" t="s">
        <v>15313</v>
      </c>
      <c r="B6542" s="139" t="s">
        <v>15311</v>
      </c>
      <c r="C6542" s="139" t="s">
        <v>535</v>
      </c>
      <c r="D6542" s="139" t="s">
        <v>15314</v>
      </c>
    </row>
    <row r="6543" spans="1:4" x14ac:dyDescent="0.25">
      <c r="A6543" s="139" t="s">
        <v>15315</v>
      </c>
      <c r="B6543" s="139" t="s">
        <v>15316</v>
      </c>
      <c r="C6543" s="139" t="s">
        <v>65</v>
      </c>
      <c r="D6543" s="139" t="s">
        <v>15317</v>
      </c>
    </row>
    <row r="6544" spans="1:4" x14ac:dyDescent="0.25">
      <c r="A6544" s="139" t="s">
        <v>15318</v>
      </c>
      <c r="B6544" s="139" t="s">
        <v>15316</v>
      </c>
      <c r="C6544" s="139" t="s">
        <v>65</v>
      </c>
      <c r="D6544" s="139" t="s">
        <v>15319</v>
      </c>
    </row>
    <row r="6545" spans="1:4" x14ac:dyDescent="0.25">
      <c r="A6545" s="139" t="s">
        <v>15320</v>
      </c>
      <c r="B6545" s="139" t="s">
        <v>15321</v>
      </c>
      <c r="C6545" s="139" t="s">
        <v>65</v>
      </c>
      <c r="D6545" s="139" t="s">
        <v>15322</v>
      </c>
    </row>
    <row r="6546" spans="1:4" x14ac:dyDescent="0.25">
      <c r="A6546" s="139" t="s">
        <v>15323</v>
      </c>
      <c r="B6546" s="139" t="s">
        <v>15321</v>
      </c>
      <c r="C6546" s="139" t="s">
        <v>65</v>
      </c>
      <c r="D6546" s="139" t="s">
        <v>15324</v>
      </c>
    </row>
    <row r="6547" spans="1:4" x14ac:dyDescent="0.25">
      <c r="A6547" s="139" t="s">
        <v>15325</v>
      </c>
      <c r="B6547" s="139" t="s">
        <v>15326</v>
      </c>
      <c r="C6547" s="139" t="s">
        <v>65</v>
      </c>
      <c r="D6547" s="139" t="s">
        <v>15327</v>
      </c>
    </row>
    <row r="6548" spans="1:4" x14ac:dyDescent="0.25">
      <c r="A6548" s="139" t="s">
        <v>15328</v>
      </c>
      <c r="B6548" s="139" t="s">
        <v>15326</v>
      </c>
      <c r="C6548" s="139" t="s">
        <v>65</v>
      </c>
      <c r="D6548" s="139" t="s">
        <v>15329</v>
      </c>
    </row>
    <row r="6549" spans="1:4" x14ac:dyDescent="0.25">
      <c r="A6549" s="139" t="s">
        <v>15330</v>
      </c>
      <c r="B6549" s="139" t="s">
        <v>15331</v>
      </c>
      <c r="C6549" s="139" t="s">
        <v>65</v>
      </c>
      <c r="D6549" s="139" t="s">
        <v>15332</v>
      </c>
    </row>
    <row r="6550" spans="1:4" x14ac:dyDescent="0.25">
      <c r="A6550" s="139" t="s">
        <v>15333</v>
      </c>
      <c r="B6550" s="139" t="s">
        <v>15331</v>
      </c>
      <c r="C6550" s="139" t="s">
        <v>65</v>
      </c>
      <c r="D6550" s="139" t="s">
        <v>15334</v>
      </c>
    </row>
    <row r="6551" spans="1:4" x14ac:dyDescent="0.25">
      <c r="A6551" s="139" t="s">
        <v>15335</v>
      </c>
      <c r="B6551" s="139" t="s">
        <v>15336</v>
      </c>
      <c r="C6551" s="139" t="s">
        <v>65</v>
      </c>
      <c r="D6551" s="139" t="s">
        <v>15337</v>
      </c>
    </row>
    <row r="6552" spans="1:4" x14ac:dyDescent="0.25">
      <c r="A6552" s="139" t="s">
        <v>15338</v>
      </c>
      <c r="B6552" s="139" t="s">
        <v>15336</v>
      </c>
      <c r="C6552" s="139" t="s">
        <v>65</v>
      </c>
      <c r="D6552" s="139" t="s">
        <v>15339</v>
      </c>
    </row>
    <row r="6553" spans="1:4" x14ac:dyDescent="0.25">
      <c r="A6553" s="139" t="s">
        <v>15340</v>
      </c>
      <c r="B6553" s="139" t="s">
        <v>15341</v>
      </c>
      <c r="C6553" s="139" t="s">
        <v>65</v>
      </c>
      <c r="D6553" s="139" t="s">
        <v>15342</v>
      </c>
    </row>
    <row r="6554" spans="1:4" x14ac:dyDescent="0.25">
      <c r="A6554" s="139" t="s">
        <v>15343</v>
      </c>
      <c r="B6554" s="139" t="s">
        <v>15341</v>
      </c>
      <c r="C6554" s="139" t="s">
        <v>65</v>
      </c>
      <c r="D6554" s="139" t="s">
        <v>15344</v>
      </c>
    </row>
    <row r="6555" spans="1:4" x14ac:dyDescent="0.25">
      <c r="A6555" s="139" t="s">
        <v>15345</v>
      </c>
      <c r="B6555" s="139" t="s">
        <v>15346</v>
      </c>
      <c r="C6555" s="139" t="s">
        <v>65</v>
      </c>
      <c r="D6555" s="139" t="s">
        <v>15347</v>
      </c>
    </row>
    <row r="6556" spans="1:4" x14ac:dyDescent="0.25">
      <c r="A6556" s="139" t="s">
        <v>15348</v>
      </c>
      <c r="B6556" s="139" t="s">
        <v>15346</v>
      </c>
      <c r="C6556" s="139" t="s">
        <v>65</v>
      </c>
      <c r="D6556" s="139" t="s">
        <v>15349</v>
      </c>
    </row>
    <row r="6557" spans="1:4" x14ac:dyDescent="0.25">
      <c r="A6557" s="139" t="s">
        <v>15350</v>
      </c>
      <c r="B6557" s="139" t="s">
        <v>15351</v>
      </c>
      <c r="C6557" s="139" t="s">
        <v>65</v>
      </c>
      <c r="D6557" s="139" t="s">
        <v>15352</v>
      </c>
    </row>
    <row r="6558" spans="1:4" x14ac:dyDescent="0.25">
      <c r="A6558" s="139" t="s">
        <v>15353</v>
      </c>
      <c r="B6558" s="139" t="s">
        <v>15351</v>
      </c>
      <c r="C6558" s="139" t="s">
        <v>65</v>
      </c>
      <c r="D6558" s="139" t="s">
        <v>15354</v>
      </c>
    </row>
    <row r="6559" spans="1:4" x14ac:dyDescent="0.25">
      <c r="A6559" s="139" t="s">
        <v>15355</v>
      </c>
      <c r="B6559" s="139" t="s">
        <v>15356</v>
      </c>
      <c r="C6559" s="139" t="s">
        <v>65</v>
      </c>
      <c r="D6559" s="139" t="s">
        <v>15357</v>
      </c>
    </row>
    <row r="6560" spans="1:4" x14ac:dyDescent="0.25">
      <c r="A6560" s="139" t="s">
        <v>15358</v>
      </c>
      <c r="B6560" s="139" t="s">
        <v>15356</v>
      </c>
      <c r="C6560" s="139" t="s">
        <v>65</v>
      </c>
      <c r="D6560" s="139" t="s">
        <v>15359</v>
      </c>
    </row>
    <row r="6561" spans="1:4" x14ac:dyDescent="0.25">
      <c r="A6561" s="139" t="s">
        <v>15360</v>
      </c>
      <c r="B6561" s="139" t="s">
        <v>15361</v>
      </c>
      <c r="C6561" s="139" t="s">
        <v>65</v>
      </c>
      <c r="D6561" s="139" t="s">
        <v>15362</v>
      </c>
    </row>
    <row r="6562" spans="1:4" x14ac:dyDescent="0.25">
      <c r="A6562" s="139" t="s">
        <v>15363</v>
      </c>
      <c r="B6562" s="139" t="s">
        <v>15361</v>
      </c>
      <c r="C6562" s="139" t="s">
        <v>65</v>
      </c>
      <c r="D6562" s="139" t="s">
        <v>15364</v>
      </c>
    </row>
    <row r="6563" spans="1:4" x14ac:dyDescent="0.25">
      <c r="A6563" s="139" t="s">
        <v>15365</v>
      </c>
      <c r="B6563" s="139" t="s">
        <v>15366</v>
      </c>
      <c r="C6563" s="139" t="s">
        <v>65</v>
      </c>
      <c r="D6563" s="139" t="s">
        <v>15367</v>
      </c>
    </row>
    <row r="6564" spans="1:4" x14ac:dyDescent="0.25">
      <c r="A6564" s="139" t="s">
        <v>15368</v>
      </c>
      <c r="B6564" s="139" t="s">
        <v>15366</v>
      </c>
      <c r="C6564" s="139" t="s">
        <v>65</v>
      </c>
      <c r="D6564" s="139" t="s">
        <v>15369</v>
      </c>
    </row>
    <row r="6565" spans="1:4" x14ac:dyDescent="0.25">
      <c r="A6565" s="139" t="s">
        <v>15370</v>
      </c>
      <c r="B6565" s="139" t="s">
        <v>15371</v>
      </c>
      <c r="C6565" s="139" t="s">
        <v>65</v>
      </c>
      <c r="D6565" s="139" t="s">
        <v>15372</v>
      </c>
    </row>
    <row r="6566" spans="1:4" x14ac:dyDescent="0.25">
      <c r="A6566" s="139" t="s">
        <v>15373</v>
      </c>
      <c r="B6566" s="139" t="s">
        <v>15371</v>
      </c>
      <c r="C6566" s="139" t="s">
        <v>65</v>
      </c>
      <c r="D6566" s="139" t="s">
        <v>15374</v>
      </c>
    </row>
    <row r="6567" spans="1:4" x14ac:dyDescent="0.25">
      <c r="A6567" s="139" t="s">
        <v>15375</v>
      </c>
      <c r="B6567" s="139" t="s">
        <v>15376</v>
      </c>
      <c r="C6567" s="139" t="s">
        <v>2895</v>
      </c>
      <c r="D6567" s="139" t="s">
        <v>15377</v>
      </c>
    </row>
    <row r="6568" spans="1:4" x14ac:dyDescent="0.25">
      <c r="A6568" s="139" t="s">
        <v>15378</v>
      </c>
      <c r="B6568" s="139" t="s">
        <v>15376</v>
      </c>
      <c r="C6568" s="139" t="s">
        <v>2895</v>
      </c>
      <c r="D6568" s="139" t="s">
        <v>15379</v>
      </c>
    </row>
    <row r="6569" spans="1:4" x14ac:dyDescent="0.25">
      <c r="A6569" s="139" t="s">
        <v>15380</v>
      </c>
      <c r="B6569" s="139" t="s">
        <v>15381</v>
      </c>
      <c r="C6569" s="139" t="s">
        <v>2895</v>
      </c>
      <c r="D6569" s="139" t="s">
        <v>15382</v>
      </c>
    </row>
    <row r="6570" spans="1:4" x14ac:dyDescent="0.25">
      <c r="A6570" s="139" t="s">
        <v>15383</v>
      </c>
      <c r="B6570" s="139" t="s">
        <v>15381</v>
      </c>
      <c r="C6570" s="139" t="s">
        <v>2895</v>
      </c>
      <c r="D6570" s="139" t="s">
        <v>15384</v>
      </c>
    </row>
    <row r="6571" spans="1:4" x14ac:dyDescent="0.25">
      <c r="A6571" s="139" t="s">
        <v>15385</v>
      </c>
      <c r="B6571" s="139" t="s">
        <v>15386</v>
      </c>
      <c r="C6571" s="139" t="s">
        <v>2895</v>
      </c>
      <c r="D6571" s="139" t="s">
        <v>15387</v>
      </c>
    </row>
    <row r="6572" spans="1:4" x14ac:dyDescent="0.25">
      <c r="A6572" s="139" t="s">
        <v>15388</v>
      </c>
      <c r="B6572" s="139" t="s">
        <v>15386</v>
      </c>
      <c r="C6572" s="139" t="s">
        <v>2895</v>
      </c>
      <c r="D6572" s="139" t="s">
        <v>15389</v>
      </c>
    </row>
    <row r="6573" spans="1:4" x14ac:dyDescent="0.25">
      <c r="A6573" s="139" t="s">
        <v>15390</v>
      </c>
      <c r="B6573" s="139" t="s">
        <v>15391</v>
      </c>
      <c r="C6573" s="139" t="s">
        <v>2895</v>
      </c>
      <c r="D6573" s="139" t="s">
        <v>15392</v>
      </c>
    </row>
    <row r="6574" spans="1:4" x14ac:dyDescent="0.25">
      <c r="A6574" s="139" t="s">
        <v>15393</v>
      </c>
      <c r="B6574" s="139" t="s">
        <v>15391</v>
      </c>
      <c r="C6574" s="139" t="s">
        <v>2895</v>
      </c>
      <c r="D6574" s="139" t="s">
        <v>15394</v>
      </c>
    </row>
    <row r="6575" spans="1:4" x14ac:dyDescent="0.25">
      <c r="A6575" s="139" t="s">
        <v>15395</v>
      </c>
      <c r="B6575" s="139" t="s">
        <v>15396</v>
      </c>
      <c r="C6575" s="139" t="s">
        <v>2895</v>
      </c>
      <c r="D6575" s="139" t="s">
        <v>15397</v>
      </c>
    </row>
    <row r="6576" spans="1:4" x14ac:dyDescent="0.25">
      <c r="A6576" s="139" t="s">
        <v>15398</v>
      </c>
      <c r="B6576" s="139" t="s">
        <v>15396</v>
      </c>
      <c r="C6576" s="139" t="s">
        <v>2895</v>
      </c>
      <c r="D6576" s="139" t="s">
        <v>15399</v>
      </c>
    </row>
    <row r="6577" spans="1:4" x14ac:dyDescent="0.25">
      <c r="A6577" s="139" t="s">
        <v>15400</v>
      </c>
      <c r="B6577" s="139" t="s">
        <v>15401</v>
      </c>
      <c r="C6577" s="139" t="s">
        <v>65</v>
      </c>
      <c r="D6577" s="139" t="s">
        <v>15402</v>
      </c>
    </row>
    <row r="6578" spans="1:4" x14ac:dyDescent="0.25">
      <c r="A6578" s="139" t="s">
        <v>15403</v>
      </c>
      <c r="B6578" s="139" t="s">
        <v>15401</v>
      </c>
      <c r="C6578" s="139" t="s">
        <v>65</v>
      </c>
      <c r="D6578" s="139" t="s">
        <v>15404</v>
      </c>
    </row>
    <row r="6579" spans="1:4" x14ac:dyDescent="0.25">
      <c r="A6579" s="139" t="s">
        <v>15405</v>
      </c>
      <c r="B6579" s="139" t="s">
        <v>15406</v>
      </c>
      <c r="C6579" s="139" t="s">
        <v>65</v>
      </c>
      <c r="D6579" s="139" t="s">
        <v>15407</v>
      </c>
    </row>
    <row r="6580" spans="1:4" x14ac:dyDescent="0.25">
      <c r="A6580" s="139" t="s">
        <v>15408</v>
      </c>
      <c r="B6580" s="139" t="s">
        <v>15406</v>
      </c>
      <c r="C6580" s="139" t="s">
        <v>65</v>
      </c>
      <c r="D6580" s="139" t="s">
        <v>15409</v>
      </c>
    </row>
    <row r="6581" spans="1:4" x14ac:dyDescent="0.25">
      <c r="A6581" s="139" t="s">
        <v>15410</v>
      </c>
      <c r="B6581" s="139" t="s">
        <v>15411</v>
      </c>
      <c r="C6581" s="139" t="s">
        <v>65</v>
      </c>
      <c r="D6581" s="139" t="s">
        <v>15412</v>
      </c>
    </row>
    <row r="6582" spans="1:4" x14ac:dyDescent="0.25">
      <c r="A6582" s="139" t="s">
        <v>15413</v>
      </c>
      <c r="B6582" s="139" t="s">
        <v>15411</v>
      </c>
      <c r="C6582" s="139" t="s">
        <v>65</v>
      </c>
      <c r="D6582" s="139" t="s">
        <v>15414</v>
      </c>
    </row>
    <row r="6583" spans="1:4" x14ac:dyDescent="0.25">
      <c r="A6583" s="139" t="s">
        <v>15415</v>
      </c>
      <c r="B6583" s="139" t="s">
        <v>15416</v>
      </c>
      <c r="C6583" s="139" t="s">
        <v>65</v>
      </c>
      <c r="D6583" s="139" t="s">
        <v>15417</v>
      </c>
    </row>
    <row r="6584" spans="1:4" x14ac:dyDescent="0.25">
      <c r="A6584" s="139" t="s">
        <v>15418</v>
      </c>
      <c r="B6584" s="139" t="s">
        <v>15416</v>
      </c>
      <c r="C6584" s="139" t="s">
        <v>65</v>
      </c>
      <c r="D6584" s="139" t="s">
        <v>15419</v>
      </c>
    </row>
    <row r="6585" spans="1:4" x14ac:dyDescent="0.25">
      <c r="A6585" s="139" t="s">
        <v>15420</v>
      </c>
      <c r="B6585" s="139" t="s">
        <v>15421</v>
      </c>
      <c r="C6585" s="139" t="s">
        <v>65</v>
      </c>
      <c r="D6585" s="139" t="s">
        <v>15422</v>
      </c>
    </row>
    <row r="6586" spans="1:4" x14ac:dyDescent="0.25">
      <c r="A6586" s="139" t="s">
        <v>15423</v>
      </c>
      <c r="B6586" s="139" t="s">
        <v>15421</v>
      </c>
      <c r="C6586" s="139" t="s">
        <v>65</v>
      </c>
      <c r="D6586" s="139" t="s">
        <v>15424</v>
      </c>
    </row>
    <row r="6587" spans="1:4" x14ac:dyDescent="0.25">
      <c r="A6587" s="139" t="s">
        <v>15425</v>
      </c>
      <c r="B6587" s="139" t="s">
        <v>15426</v>
      </c>
      <c r="C6587" s="139" t="s">
        <v>65</v>
      </c>
      <c r="D6587" s="139" t="s">
        <v>15427</v>
      </c>
    </row>
    <row r="6588" spans="1:4" x14ac:dyDescent="0.25">
      <c r="A6588" s="139" t="s">
        <v>15428</v>
      </c>
      <c r="B6588" s="139" t="s">
        <v>15426</v>
      </c>
      <c r="C6588" s="139" t="s">
        <v>65</v>
      </c>
      <c r="D6588" s="139" t="s">
        <v>15429</v>
      </c>
    </row>
    <row r="6589" spans="1:4" x14ac:dyDescent="0.25">
      <c r="A6589" s="139" t="s">
        <v>15430</v>
      </c>
      <c r="B6589" s="139" t="s">
        <v>15431</v>
      </c>
      <c r="C6589" s="139" t="s">
        <v>65</v>
      </c>
      <c r="D6589" s="139" t="s">
        <v>15432</v>
      </c>
    </row>
    <row r="6590" spans="1:4" x14ac:dyDescent="0.25">
      <c r="A6590" s="139" t="s">
        <v>15433</v>
      </c>
      <c r="B6590" s="139" t="s">
        <v>15431</v>
      </c>
      <c r="C6590" s="139" t="s">
        <v>65</v>
      </c>
      <c r="D6590" s="139" t="s">
        <v>15434</v>
      </c>
    </row>
    <row r="6591" spans="1:4" x14ac:dyDescent="0.25">
      <c r="A6591" s="139" t="s">
        <v>15435</v>
      </c>
      <c r="B6591" s="139" t="s">
        <v>15436</v>
      </c>
      <c r="C6591" s="139" t="s">
        <v>65</v>
      </c>
      <c r="D6591" s="139" t="s">
        <v>15437</v>
      </c>
    </row>
    <row r="6592" spans="1:4" x14ac:dyDescent="0.25">
      <c r="A6592" s="139" t="s">
        <v>15438</v>
      </c>
      <c r="B6592" s="139" t="s">
        <v>15436</v>
      </c>
      <c r="C6592" s="139" t="s">
        <v>65</v>
      </c>
      <c r="D6592" s="139" t="s">
        <v>15439</v>
      </c>
    </row>
    <row r="6593" spans="1:4" x14ac:dyDescent="0.25">
      <c r="A6593" s="139" t="s">
        <v>15440</v>
      </c>
      <c r="B6593" s="139" t="s">
        <v>15441</v>
      </c>
      <c r="C6593" s="139" t="s">
        <v>65</v>
      </c>
      <c r="D6593" s="139" t="s">
        <v>15442</v>
      </c>
    </row>
    <row r="6594" spans="1:4" x14ac:dyDescent="0.25">
      <c r="A6594" s="139" t="s">
        <v>15443</v>
      </c>
      <c r="B6594" s="139" t="s">
        <v>15441</v>
      </c>
      <c r="C6594" s="139" t="s">
        <v>65</v>
      </c>
      <c r="D6594" s="139" t="s">
        <v>15444</v>
      </c>
    </row>
    <row r="6595" spans="1:4" x14ac:dyDescent="0.25">
      <c r="A6595" s="139" t="s">
        <v>15445</v>
      </c>
      <c r="B6595" s="139" t="s">
        <v>15446</v>
      </c>
      <c r="C6595" s="139" t="s">
        <v>65</v>
      </c>
      <c r="D6595" s="139" t="s">
        <v>15447</v>
      </c>
    </row>
    <row r="6596" spans="1:4" x14ac:dyDescent="0.25">
      <c r="A6596" s="139" t="s">
        <v>15448</v>
      </c>
      <c r="B6596" s="139" t="s">
        <v>15446</v>
      </c>
      <c r="C6596" s="139" t="s">
        <v>65</v>
      </c>
      <c r="D6596" s="139" t="s">
        <v>15449</v>
      </c>
    </row>
    <row r="6597" spans="1:4" x14ac:dyDescent="0.25">
      <c r="A6597" s="139" t="s">
        <v>15450</v>
      </c>
      <c r="B6597" s="139" t="s">
        <v>15451</v>
      </c>
      <c r="C6597" s="139" t="s">
        <v>65</v>
      </c>
      <c r="D6597" s="139" t="s">
        <v>15452</v>
      </c>
    </row>
    <row r="6598" spans="1:4" x14ac:dyDescent="0.25">
      <c r="A6598" s="139" t="s">
        <v>15453</v>
      </c>
      <c r="B6598" s="139" t="s">
        <v>15451</v>
      </c>
      <c r="C6598" s="139" t="s">
        <v>65</v>
      </c>
      <c r="D6598" s="139" t="s">
        <v>15454</v>
      </c>
    </row>
    <row r="6599" spans="1:4" x14ac:dyDescent="0.25">
      <c r="A6599" s="139" t="s">
        <v>15455</v>
      </c>
      <c r="B6599" s="139" t="s">
        <v>15456</v>
      </c>
      <c r="C6599" s="139" t="s">
        <v>65</v>
      </c>
      <c r="D6599" s="139" t="s">
        <v>15457</v>
      </c>
    </row>
    <row r="6600" spans="1:4" x14ac:dyDescent="0.25">
      <c r="A6600" s="139" t="s">
        <v>15458</v>
      </c>
      <c r="B6600" s="139" t="s">
        <v>15456</v>
      </c>
      <c r="C6600" s="139" t="s">
        <v>65</v>
      </c>
      <c r="D6600" s="139" t="s">
        <v>15459</v>
      </c>
    </row>
    <row r="6601" spans="1:4" x14ac:dyDescent="0.25">
      <c r="A6601" s="139" t="s">
        <v>15460</v>
      </c>
      <c r="B6601" s="139" t="s">
        <v>15461</v>
      </c>
      <c r="C6601" s="139" t="s">
        <v>65</v>
      </c>
      <c r="D6601" s="139" t="s">
        <v>15462</v>
      </c>
    </row>
    <row r="6602" spans="1:4" x14ac:dyDescent="0.25">
      <c r="A6602" s="139" t="s">
        <v>15463</v>
      </c>
      <c r="B6602" s="139" t="s">
        <v>15461</v>
      </c>
      <c r="C6602" s="139" t="s">
        <v>65</v>
      </c>
      <c r="D6602" s="139" t="s">
        <v>15464</v>
      </c>
    </row>
    <row r="6603" spans="1:4" x14ac:dyDescent="0.25">
      <c r="A6603" s="139" t="s">
        <v>15465</v>
      </c>
      <c r="B6603" s="139" t="s">
        <v>15466</v>
      </c>
      <c r="C6603" s="139" t="s">
        <v>123</v>
      </c>
      <c r="D6603" s="139" t="s">
        <v>15467</v>
      </c>
    </row>
    <row r="6604" spans="1:4" x14ac:dyDescent="0.25">
      <c r="A6604" s="139" t="s">
        <v>15468</v>
      </c>
      <c r="B6604" s="139" t="s">
        <v>15466</v>
      </c>
      <c r="C6604" s="139" t="s">
        <v>123</v>
      </c>
      <c r="D6604" s="139" t="s">
        <v>15469</v>
      </c>
    </row>
    <row r="6605" spans="1:4" x14ac:dyDescent="0.25">
      <c r="A6605" s="139" t="s">
        <v>15470</v>
      </c>
      <c r="B6605" s="139" t="s">
        <v>15471</v>
      </c>
      <c r="C6605" s="139" t="s">
        <v>123</v>
      </c>
      <c r="D6605" s="139" t="s">
        <v>15472</v>
      </c>
    </row>
    <row r="6606" spans="1:4" x14ac:dyDescent="0.25">
      <c r="A6606" s="139" t="s">
        <v>15473</v>
      </c>
      <c r="B6606" s="139" t="s">
        <v>15471</v>
      </c>
      <c r="C6606" s="139" t="s">
        <v>123</v>
      </c>
      <c r="D6606" s="139" t="s">
        <v>15474</v>
      </c>
    </row>
    <row r="6607" spans="1:4" x14ac:dyDescent="0.25">
      <c r="A6607" s="139" t="s">
        <v>15475</v>
      </c>
      <c r="B6607" s="139" t="s">
        <v>15476</v>
      </c>
      <c r="C6607" s="139" t="s">
        <v>123</v>
      </c>
      <c r="D6607" s="139" t="s">
        <v>15477</v>
      </c>
    </row>
    <row r="6608" spans="1:4" x14ac:dyDescent="0.25">
      <c r="A6608" s="139" t="s">
        <v>15478</v>
      </c>
      <c r="B6608" s="139" t="s">
        <v>15476</v>
      </c>
      <c r="C6608" s="139" t="s">
        <v>123</v>
      </c>
      <c r="D6608" s="139" t="s">
        <v>15479</v>
      </c>
    </row>
    <row r="6609" spans="1:4" x14ac:dyDescent="0.25">
      <c r="A6609" s="139" t="s">
        <v>15480</v>
      </c>
      <c r="B6609" s="139" t="s">
        <v>10157</v>
      </c>
      <c r="C6609" s="139" t="s">
        <v>123</v>
      </c>
      <c r="D6609" s="139" t="s">
        <v>15481</v>
      </c>
    </row>
    <row r="6610" spans="1:4" x14ac:dyDescent="0.25">
      <c r="A6610" s="139" t="s">
        <v>15482</v>
      </c>
      <c r="B6610" s="139" t="s">
        <v>10157</v>
      </c>
      <c r="C6610" s="139" t="s">
        <v>123</v>
      </c>
      <c r="D6610" s="139" t="s">
        <v>15483</v>
      </c>
    </row>
    <row r="6611" spans="1:4" x14ac:dyDescent="0.25">
      <c r="A6611" s="139" t="s">
        <v>15484</v>
      </c>
      <c r="B6611" s="139" t="s">
        <v>10133</v>
      </c>
      <c r="C6611" s="139" t="s">
        <v>65</v>
      </c>
      <c r="D6611" s="139" t="s">
        <v>15485</v>
      </c>
    </row>
    <row r="6612" spans="1:4" x14ac:dyDescent="0.25">
      <c r="A6612" s="139" t="s">
        <v>15486</v>
      </c>
      <c r="B6612" s="139" t="s">
        <v>10133</v>
      </c>
      <c r="C6612" s="139" t="s">
        <v>65</v>
      </c>
      <c r="D6612" s="139" t="s">
        <v>15487</v>
      </c>
    </row>
    <row r="6613" spans="1:4" x14ac:dyDescent="0.25">
      <c r="A6613" s="139" t="s">
        <v>15488</v>
      </c>
      <c r="B6613" s="139" t="s">
        <v>15489</v>
      </c>
      <c r="C6613" s="139" t="s">
        <v>1683</v>
      </c>
      <c r="D6613" s="139" t="s">
        <v>15490</v>
      </c>
    </row>
    <row r="6614" spans="1:4" x14ac:dyDescent="0.25">
      <c r="A6614" s="139" t="s">
        <v>15491</v>
      </c>
      <c r="B6614" s="139" t="s">
        <v>15489</v>
      </c>
      <c r="C6614" s="139" t="s">
        <v>1683</v>
      </c>
      <c r="D6614" s="139" t="s">
        <v>15492</v>
      </c>
    </row>
    <row r="6615" spans="1:4" x14ac:dyDescent="0.25">
      <c r="A6615" s="139" t="s">
        <v>15493</v>
      </c>
      <c r="B6615" s="139" t="s">
        <v>2979</v>
      </c>
      <c r="C6615" s="139" t="s">
        <v>658</v>
      </c>
      <c r="D6615" s="139" t="s">
        <v>15494</v>
      </c>
    </row>
    <row r="6616" spans="1:4" x14ac:dyDescent="0.25">
      <c r="A6616" s="139" t="s">
        <v>15495</v>
      </c>
      <c r="B6616" s="139" t="s">
        <v>2979</v>
      </c>
      <c r="C6616" s="139" t="s">
        <v>658</v>
      </c>
      <c r="D6616" s="139" t="s">
        <v>15496</v>
      </c>
    </row>
    <row r="6617" spans="1:4" x14ac:dyDescent="0.25">
      <c r="A6617" s="139" t="s">
        <v>15497</v>
      </c>
      <c r="B6617" s="139" t="s">
        <v>2979</v>
      </c>
      <c r="C6617" s="139" t="s">
        <v>658</v>
      </c>
      <c r="D6617" s="139" t="s">
        <v>15498</v>
      </c>
    </row>
    <row r="6618" spans="1:4" x14ac:dyDescent="0.25">
      <c r="A6618" s="139" t="s">
        <v>15499</v>
      </c>
      <c r="B6618" s="139" t="s">
        <v>2979</v>
      </c>
      <c r="C6618" s="139" t="s">
        <v>658</v>
      </c>
      <c r="D6618" s="139" t="s">
        <v>15500</v>
      </c>
    </row>
    <row r="6619" spans="1:4" x14ac:dyDescent="0.25">
      <c r="A6619" s="139" t="s">
        <v>15501</v>
      </c>
      <c r="B6619" s="139" t="s">
        <v>3176</v>
      </c>
      <c r="C6619" s="139" t="s">
        <v>664</v>
      </c>
      <c r="D6619" s="139" t="s">
        <v>15502</v>
      </c>
    </row>
    <row r="6620" spans="1:4" x14ac:dyDescent="0.25">
      <c r="A6620" s="139" t="s">
        <v>15503</v>
      </c>
      <c r="B6620" s="139" t="s">
        <v>3176</v>
      </c>
      <c r="C6620" s="139" t="s">
        <v>664</v>
      </c>
      <c r="D6620" s="139" t="s">
        <v>15504</v>
      </c>
    </row>
    <row r="6621" spans="1:4" x14ac:dyDescent="0.25">
      <c r="A6621" s="139" t="s">
        <v>15505</v>
      </c>
      <c r="B6621" s="139" t="s">
        <v>15506</v>
      </c>
      <c r="C6621" s="139" t="s">
        <v>535</v>
      </c>
      <c r="D6621" s="139" t="s">
        <v>15507</v>
      </c>
    </row>
    <row r="6622" spans="1:4" x14ac:dyDescent="0.25">
      <c r="A6622" s="139" t="s">
        <v>15508</v>
      </c>
      <c r="B6622" s="139" t="s">
        <v>15506</v>
      </c>
      <c r="C6622" s="139" t="s">
        <v>535</v>
      </c>
      <c r="D6622" s="139" t="s">
        <v>15509</v>
      </c>
    </row>
    <row r="6623" spans="1:4" x14ac:dyDescent="0.25">
      <c r="A6623" s="139" t="s">
        <v>15510</v>
      </c>
      <c r="B6623" s="139" t="s">
        <v>15182</v>
      </c>
      <c r="C6623" s="139" t="s">
        <v>664</v>
      </c>
      <c r="D6623" s="139" t="s">
        <v>15511</v>
      </c>
    </row>
    <row r="6624" spans="1:4" x14ac:dyDescent="0.25">
      <c r="A6624" s="139" t="s">
        <v>15512</v>
      </c>
      <c r="B6624" s="139" t="s">
        <v>15182</v>
      </c>
      <c r="C6624" s="139" t="s">
        <v>664</v>
      </c>
      <c r="D6624" s="139" t="s">
        <v>15513</v>
      </c>
    </row>
    <row r="6625" spans="1:4" x14ac:dyDescent="0.25">
      <c r="A6625" s="139" t="s">
        <v>15514</v>
      </c>
      <c r="B6625" s="139" t="s">
        <v>2058</v>
      </c>
      <c r="C6625" s="139" t="s">
        <v>535</v>
      </c>
      <c r="D6625" s="139" t="s">
        <v>15515</v>
      </c>
    </row>
    <row r="6626" spans="1:4" x14ac:dyDescent="0.25">
      <c r="A6626" s="139" t="s">
        <v>15516</v>
      </c>
      <c r="B6626" s="139" t="s">
        <v>2058</v>
      </c>
      <c r="C6626" s="139" t="s">
        <v>535</v>
      </c>
      <c r="D6626" s="139" t="s">
        <v>15517</v>
      </c>
    </row>
    <row r="6627" spans="1:4" x14ac:dyDescent="0.25">
      <c r="A6627" s="139" t="s">
        <v>15518</v>
      </c>
      <c r="B6627" s="139" t="s">
        <v>11044</v>
      </c>
      <c r="C6627" s="139" t="s">
        <v>65</v>
      </c>
      <c r="D6627" s="139" t="s">
        <v>15519</v>
      </c>
    </row>
    <row r="6628" spans="1:4" x14ac:dyDescent="0.25">
      <c r="A6628" s="139" t="s">
        <v>15520</v>
      </c>
      <c r="B6628" s="139" t="s">
        <v>11044</v>
      </c>
      <c r="C6628" s="139" t="s">
        <v>65</v>
      </c>
      <c r="D6628" s="139" t="s">
        <v>15521</v>
      </c>
    </row>
    <row r="6629" spans="1:4" x14ac:dyDescent="0.25">
      <c r="A6629" s="139" t="s">
        <v>15522</v>
      </c>
      <c r="B6629" s="139" t="s">
        <v>3176</v>
      </c>
      <c r="C6629" s="139" t="s">
        <v>658</v>
      </c>
      <c r="D6629" s="139" t="s">
        <v>15523</v>
      </c>
    </row>
    <row r="6630" spans="1:4" x14ac:dyDescent="0.25">
      <c r="A6630" s="139" t="s">
        <v>15524</v>
      </c>
      <c r="B6630" s="139" t="s">
        <v>3176</v>
      </c>
      <c r="C6630" s="139" t="s">
        <v>658</v>
      </c>
      <c r="D6630" s="139" t="s">
        <v>15525</v>
      </c>
    </row>
    <row r="6631" spans="1:4" x14ac:dyDescent="0.25">
      <c r="A6631" s="139" t="s">
        <v>15526</v>
      </c>
      <c r="B6631" s="139" t="s">
        <v>11429</v>
      </c>
      <c r="C6631" s="139" t="s">
        <v>658</v>
      </c>
      <c r="D6631" s="139" t="s">
        <v>15527</v>
      </c>
    </row>
    <row r="6632" spans="1:4" x14ac:dyDescent="0.25">
      <c r="A6632" s="139" t="s">
        <v>15528</v>
      </c>
      <c r="B6632" s="139" t="s">
        <v>11429</v>
      </c>
      <c r="C6632" s="139" t="s">
        <v>658</v>
      </c>
      <c r="D6632" s="139" t="s">
        <v>15529</v>
      </c>
    </row>
    <row r="6633" spans="1:4" x14ac:dyDescent="0.25">
      <c r="A6633" s="139" t="s">
        <v>15530</v>
      </c>
      <c r="B6633" s="139" t="s">
        <v>15531</v>
      </c>
      <c r="C6633" s="139" t="s">
        <v>658</v>
      </c>
      <c r="D6633" s="139" t="s">
        <v>15532</v>
      </c>
    </row>
    <row r="6634" spans="1:4" x14ac:dyDescent="0.25">
      <c r="A6634" s="139" t="s">
        <v>15533</v>
      </c>
      <c r="B6634" s="139" t="s">
        <v>15531</v>
      </c>
      <c r="C6634" s="139" t="s">
        <v>658</v>
      </c>
      <c r="D6634" s="139" t="s">
        <v>15534</v>
      </c>
    </row>
    <row r="6635" spans="1:4" x14ac:dyDescent="0.25">
      <c r="A6635" s="139" t="s">
        <v>15535</v>
      </c>
      <c r="B6635" s="139" t="s">
        <v>3176</v>
      </c>
      <c r="C6635" s="139" t="s">
        <v>658</v>
      </c>
      <c r="D6635" s="139" t="s">
        <v>15536</v>
      </c>
    </row>
    <row r="6636" spans="1:4" x14ac:dyDescent="0.25">
      <c r="A6636" s="139" t="s">
        <v>15537</v>
      </c>
      <c r="B6636" s="139" t="s">
        <v>3176</v>
      </c>
      <c r="C6636" s="139" t="s">
        <v>658</v>
      </c>
      <c r="D6636" s="139" t="s">
        <v>15538</v>
      </c>
    </row>
    <row r="6637" spans="1:4" x14ac:dyDescent="0.25">
      <c r="A6637" s="139" t="s">
        <v>15539</v>
      </c>
      <c r="B6637" s="139" t="s">
        <v>11429</v>
      </c>
      <c r="C6637" s="139" t="s">
        <v>658</v>
      </c>
      <c r="D6637" s="139" t="s">
        <v>15540</v>
      </c>
    </row>
    <row r="6638" spans="1:4" x14ac:dyDescent="0.25">
      <c r="A6638" s="139" t="s">
        <v>15541</v>
      </c>
      <c r="B6638" s="139" t="s">
        <v>11429</v>
      </c>
      <c r="C6638" s="139" t="s">
        <v>658</v>
      </c>
      <c r="D6638" s="139" t="s">
        <v>15542</v>
      </c>
    </row>
    <row r="6639" spans="1:4" x14ac:dyDescent="0.25">
      <c r="A6639" s="139" t="s">
        <v>15543</v>
      </c>
      <c r="B6639" s="139" t="s">
        <v>15531</v>
      </c>
      <c r="C6639" s="139" t="s">
        <v>658</v>
      </c>
      <c r="D6639" s="139" t="s">
        <v>15544</v>
      </c>
    </row>
    <row r="6640" spans="1:4" x14ac:dyDescent="0.25">
      <c r="A6640" s="139" t="s">
        <v>15545</v>
      </c>
      <c r="B6640" s="139" t="s">
        <v>15531</v>
      </c>
      <c r="C6640" s="139" t="s">
        <v>658</v>
      </c>
      <c r="D6640" s="139" t="s">
        <v>15546</v>
      </c>
    </row>
    <row r="6641" spans="1:4" x14ac:dyDescent="0.25">
      <c r="A6641" s="139" t="s">
        <v>15547</v>
      </c>
      <c r="B6641" s="139" t="s">
        <v>2979</v>
      </c>
      <c r="C6641" s="139" t="s">
        <v>664</v>
      </c>
      <c r="D6641" s="139" t="s">
        <v>15548</v>
      </c>
    </row>
    <row r="6642" spans="1:4" x14ac:dyDescent="0.25">
      <c r="A6642" s="139" t="s">
        <v>15549</v>
      </c>
      <c r="B6642" s="139" t="s">
        <v>2979</v>
      </c>
      <c r="C6642" s="139" t="s">
        <v>664</v>
      </c>
      <c r="D6642" s="139" t="s">
        <v>15550</v>
      </c>
    </row>
    <row r="6643" spans="1:4" x14ac:dyDescent="0.25">
      <c r="A6643" s="139" t="s">
        <v>15551</v>
      </c>
      <c r="B6643" s="139" t="s">
        <v>2974</v>
      </c>
      <c r="C6643" s="139" t="s">
        <v>664</v>
      </c>
      <c r="D6643" s="139" t="s">
        <v>15552</v>
      </c>
    </row>
    <row r="6644" spans="1:4" x14ac:dyDescent="0.25">
      <c r="A6644" s="139" t="s">
        <v>15553</v>
      </c>
      <c r="B6644" s="139" t="s">
        <v>2974</v>
      </c>
      <c r="C6644" s="139" t="s">
        <v>664</v>
      </c>
      <c r="D6644" s="139" t="s">
        <v>15554</v>
      </c>
    </row>
    <row r="6645" spans="1:4" x14ac:dyDescent="0.25">
      <c r="A6645" s="139" t="s">
        <v>15555</v>
      </c>
      <c r="B6645" s="139" t="s">
        <v>2974</v>
      </c>
      <c r="C6645" s="139" t="s">
        <v>664</v>
      </c>
      <c r="D6645" s="139" t="s">
        <v>15556</v>
      </c>
    </row>
    <row r="6646" spans="1:4" x14ac:dyDescent="0.25">
      <c r="A6646" s="139" t="s">
        <v>15557</v>
      </c>
      <c r="B6646" s="139" t="s">
        <v>2974</v>
      </c>
      <c r="C6646" s="139" t="s">
        <v>664</v>
      </c>
      <c r="D6646" s="139" t="s">
        <v>15558</v>
      </c>
    </row>
    <row r="6647" spans="1:4" x14ac:dyDescent="0.25">
      <c r="A6647" s="139" t="s">
        <v>15559</v>
      </c>
      <c r="B6647" s="139" t="s">
        <v>2979</v>
      </c>
      <c r="C6647" s="139" t="s">
        <v>664</v>
      </c>
      <c r="D6647" s="139" t="s">
        <v>15560</v>
      </c>
    </row>
    <row r="6648" spans="1:4" x14ac:dyDescent="0.25">
      <c r="A6648" s="139" t="s">
        <v>15561</v>
      </c>
      <c r="B6648" s="139" t="s">
        <v>2979</v>
      </c>
      <c r="C6648" s="139" t="s">
        <v>664</v>
      </c>
      <c r="D6648" s="139" t="s">
        <v>15562</v>
      </c>
    </row>
    <row r="6649" spans="1:4" x14ac:dyDescent="0.25">
      <c r="A6649" s="139" t="s">
        <v>15563</v>
      </c>
      <c r="B6649" s="139" t="s">
        <v>11158</v>
      </c>
      <c r="C6649" s="139" t="s">
        <v>15564</v>
      </c>
      <c r="D6649" s="139" t="s">
        <v>15565</v>
      </c>
    </row>
    <row r="6650" spans="1:4" x14ac:dyDescent="0.25">
      <c r="A6650" s="139" t="s">
        <v>15566</v>
      </c>
      <c r="B6650" s="139" t="s">
        <v>11158</v>
      </c>
      <c r="C6650" s="139" t="s">
        <v>123</v>
      </c>
      <c r="D6650" s="139" t="s">
        <v>15567</v>
      </c>
    </row>
    <row r="6651" spans="1:4" x14ac:dyDescent="0.25">
      <c r="A6651" s="139" t="s">
        <v>15568</v>
      </c>
      <c r="B6651" s="139" t="s">
        <v>1897</v>
      </c>
      <c r="C6651" s="139" t="s">
        <v>535</v>
      </c>
      <c r="D6651" s="139" t="s">
        <v>15569</v>
      </c>
    </row>
    <row r="6652" spans="1:4" x14ac:dyDescent="0.25">
      <c r="A6652" s="139" t="s">
        <v>15570</v>
      </c>
      <c r="B6652" s="139" t="s">
        <v>1897</v>
      </c>
      <c r="C6652" s="139" t="s">
        <v>535</v>
      </c>
      <c r="D6652" s="139" t="s">
        <v>15571</v>
      </c>
    </row>
    <row r="6653" spans="1:4" x14ac:dyDescent="0.25">
      <c r="A6653" s="139" t="s">
        <v>15572</v>
      </c>
      <c r="B6653" s="139" t="s">
        <v>11304</v>
      </c>
      <c r="C6653" s="139" t="s">
        <v>535</v>
      </c>
      <c r="D6653" s="139" t="s">
        <v>15573</v>
      </c>
    </row>
    <row r="6654" spans="1:4" x14ac:dyDescent="0.25">
      <c r="A6654" s="139" t="s">
        <v>15574</v>
      </c>
      <c r="B6654" s="139" t="s">
        <v>11304</v>
      </c>
      <c r="C6654" s="139" t="s">
        <v>535</v>
      </c>
      <c r="D6654" s="139" t="s">
        <v>15575</v>
      </c>
    </row>
    <row r="6655" spans="1:4" x14ac:dyDescent="0.25">
      <c r="A6655" s="139" t="s">
        <v>15576</v>
      </c>
      <c r="B6655" s="139" t="s">
        <v>15577</v>
      </c>
      <c r="C6655" s="139" t="s">
        <v>112</v>
      </c>
      <c r="D6655" s="139" t="s">
        <v>15578</v>
      </c>
    </row>
    <row r="6656" spans="1:4" x14ac:dyDescent="0.25">
      <c r="A6656" s="139" t="s">
        <v>15579</v>
      </c>
      <c r="B6656" s="139" t="s">
        <v>15577</v>
      </c>
      <c r="C6656" s="139" t="s">
        <v>112</v>
      </c>
      <c r="D6656" s="139" t="s">
        <v>15580</v>
      </c>
    </row>
    <row r="6657" spans="1:4" x14ac:dyDescent="0.25">
      <c r="A6657" s="139" t="s">
        <v>15581</v>
      </c>
      <c r="B6657" s="139" t="s">
        <v>15582</v>
      </c>
      <c r="C6657" s="139" t="s">
        <v>112</v>
      </c>
      <c r="D6657" s="139" t="s">
        <v>15583</v>
      </c>
    </row>
    <row r="6658" spans="1:4" x14ac:dyDescent="0.25">
      <c r="A6658" s="139" t="s">
        <v>15584</v>
      </c>
      <c r="B6658" s="139" t="s">
        <v>15582</v>
      </c>
      <c r="C6658" s="139" t="s">
        <v>112</v>
      </c>
      <c r="D6658" s="139" t="s">
        <v>15585</v>
      </c>
    </row>
    <row r="6659" spans="1:4" x14ac:dyDescent="0.25">
      <c r="A6659" s="139" t="s">
        <v>15586</v>
      </c>
      <c r="B6659" s="139" t="s">
        <v>15587</v>
      </c>
      <c r="C6659" s="139" t="s">
        <v>112</v>
      </c>
      <c r="D6659" s="139" t="s">
        <v>15588</v>
      </c>
    </row>
    <row r="6660" spans="1:4" x14ac:dyDescent="0.25">
      <c r="A6660" s="139" t="s">
        <v>15589</v>
      </c>
      <c r="B6660" s="139" t="s">
        <v>15587</v>
      </c>
      <c r="C6660" s="139" t="s">
        <v>112</v>
      </c>
      <c r="D6660" s="139" t="s">
        <v>15590</v>
      </c>
    </row>
    <row r="6661" spans="1:4" x14ac:dyDescent="0.25">
      <c r="A6661" s="139" t="s">
        <v>15591</v>
      </c>
      <c r="B6661" s="139" t="s">
        <v>15592</v>
      </c>
      <c r="C6661" s="139" t="s">
        <v>112</v>
      </c>
      <c r="D6661" s="139" t="s">
        <v>15593</v>
      </c>
    </row>
    <row r="6662" spans="1:4" x14ac:dyDescent="0.25">
      <c r="A6662" s="139" t="s">
        <v>15594</v>
      </c>
      <c r="B6662" s="139" t="s">
        <v>15592</v>
      </c>
      <c r="C6662" s="139" t="s">
        <v>112</v>
      </c>
      <c r="D6662" s="139" t="s">
        <v>15595</v>
      </c>
    </row>
    <row r="6663" spans="1:4" x14ac:dyDescent="0.25">
      <c r="A6663" s="139" t="s">
        <v>15596</v>
      </c>
      <c r="B6663" s="139" t="s">
        <v>15597</v>
      </c>
      <c r="C6663" s="139" t="s">
        <v>1820</v>
      </c>
      <c r="D6663" s="139" t="s">
        <v>15598</v>
      </c>
    </row>
    <row r="6664" spans="1:4" x14ac:dyDescent="0.25">
      <c r="A6664" s="139" t="s">
        <v>15599</v>
      </c>
      <c r="B6664" s="139" t="s">
        <v>15597</v>
      </c>
      <c r="C6664" s="139" t="s">
        <v>1820</v>
      </c>
      <c r="D6664" s="139" t="s">
        <v>15600</v>
      </c>
    </row>
    <row r="6665" spans="1:4" x14ac:dyDescent="0.25">
      <c r="A6665" s="139" t="s">
        <v>15601</v>
      </c>
      <c r="B6665" s="139" t="s">
        <v>6162</v>
      </c>
      <c r="C6665" s="139" t="s">
        <v>658</v>
      </c>
      <c r="D6665" s="139" t="s">
        <v>15602</v>
      </c>
    </row>
    <row r="6666" spans="1:4" x14ac:dyDescent="0.25">
      <c r="A6666" s="139" t="s">
        <v>15603</v>
      </c>
      <c r="B6666" s="139" t="s">
        <v>6162</v>
      </c>
      <c r="C6666" s="139" t="s">
        <v>658</v>
      </c>
      <c r="D6666" s="139" t="s">
        <v>15604</v>
      </c>
    </row>
    <row r="6667" spans="1:4" x14ac:dyDescent="0.25">
      <c r="A6667" s="139" t="s">
        <v>15605</v>
      </c>
      <c r="B6667" s="139" t="s">
        <v>15606</v>
      </c>
      <c r="C6667" s="139" t="s">
        <v>112</v>
      </c>
      <c r="D6667" s="139" t="s">
        <v>15607</v>
      </c>
    </row>
    <row r="6668" spans="1:4" x14ac:dyDescent="0.25">
      <c r="A6668" s="139" t="s">
        <v>15608</v>
      </c>
      <c r="B6668" s="139" t="s">
        <v>15606</v>
      </c>
      <c r="C6668" s="139" t="s">
        <v>112</v>
      </c>
      <c r="D6668" s="139" t="s">
        <v>15609</v>
      </c>
    </row>
    <row r="6669" spans="1:4" x14ac:dyDescent="0.25">
      <c r="A6669" s="139" t="s">
        <v>15610</v>
      </c>
      <c r="B6669" s="139" t="s">
        <v>15611</v>
      </c>
      <c r="C6669" s="139" t="s">
        <v>112</v>
      </c>
      <c r="D6669" s="139" t="s">
        <v>15612</v>
      </c>
    </row>
    <row r="6670" spans="1:4" x14ac:dyDescent="0.25">
      <c r="A6670" s="139" t="s">
        <v>15613</v>
      </c>
      <c r="B6670" s="139" t="s">
        <v>15611</v>
      </c>
      <c r="C6670" s="139" t="s">
        <v>112</v>
      </c>
      <c r="D6670" s="139" t="s">
        <v>15614</v>
      </c>
    </row>
    <row r="6671" spans="1:4" x14ac:dyDescent="0.25">
      <c r="A6671" s="139" t="s">
        <v>15615</v>
      </c>
      <c r="B6671" s="139" t="s">
        <v>15616</v>
      </c>
      <c r="C6671" s="139" t="s">
        <v>112</v>
      </c>
      <c r="D6671" s="139" t="s">
        <v>15617</v>
      </c>
    </row>
    <row r="6672" spans="1:4" x14ac:dyDescent="0.25">
      <c r="A6672" s="139" t="s">
        <v>15618</v>
      </c>
      <c r="B6672" s="139" t="s">
        <v>15616</v>
      </c>
      <c r="C6672" s="139" t="s">
        <v>112</v>
      </c>
      <c r="D6672" s="139" t="s">
        <v>15619</v>
      </c>
    </row>
    <row r="6673" spans="1:4" x14ac:dyDescent="0.25">
      <c r="A6673" s="139" t="s">
        <v>15620</v>
      </c>
      <c r="B6673" s="139" t="s">
        <v>1852</v>
      </c>
      <c r="C6673" s="139" t="s">
        <v>112</v>
      </c>
      <c r="D6673" s="139" t="s">
        <v>15621</v>
      </c>
    </row>
    <row r="6674" spans="1:4" x14ac:dyDescent="0.25">
      <c r="A6674" s="139" t="s">
        <v>15622</v>
      </c>
      <c r="B6674" s="139" t="s">
        <v>1852</v>
      </c>
      <c r="C6674" s="139" t="s">
        <v>112</v>
      </c>
      <c r="D6674" s="139" t="s">
        <v>15623</v>
      </c>
    </row>
    <row r="6675" spans="1:4" x14ac:dyDescent="0.25">
      <c r="A6675" s="139" t="s">
        <v>15624</v>
      </c>
      <c r="B6675" s="139" t="s">
        <v>11168</v>
      </c>
      <c r="C6675" s="139" t="s">
        <v>123</v>
      </c>
      <c r="D6675" s="139" t="s">
        <v>15625</v>
      </c>
    </row>
    <row r="6676" spans="1:4" x14ac:dyDescent="0.25">
      <c r="A6676" s="139" t="s">
        <v>15626</v>
      </c>
      <c r="B6676" s="139" t="s">
        <v>11168</v>
      </c>
      <c r="C6676" s="139" t="s">
        <v>123</v>
      </c>
      <c r="D6676" s="139" t="s">
        <v>15627</v>
      </c>
    </row>
    <row r="6677" spans="1:4" x14ac:dyDescent="0.25">
      <c r="A6677" s="139" t="s">
        <v>15628</v>
      </c>
      <c r="B6677" s="139" t="s">
        <v>13273</v>
      </c>
      <c r="C6677" s="139" t="s">
        <v>112</v>
      </c>
      <c r="D6677" s="139" t="s">
        <v>15629</v>
      </c>
    </row>
    <row r="6678" spans="1:4" x14ac:dyDescent="0.25">
      <c r="A6678" s="139" t="s">
        <v>15630</v>
      </c>
      <c r="B6678" s="139" t="s">
        <v>13273</v>
      </c>
      <c r="C6678" s="139" t="s">
        <v>112</v>
      </c>
      <c r="D6678" s="139" t="s">
        <v>15631</v>
      </c>
    </row>
    <row r="6679" spans="1:4" x14ac:dyDescent="0.25">
      <c r="A6679" s="139" t="s">
        <v>15632</v>
      </c>
      <c r="B6679" s="139" t="s">
        <v>15633</v>
      </c>
      <c r="C6679" s="139" t="s">
        <v>112</v>
      </c>
      <c r="D6679" s="139" t="s">
        <v>15634</v>
      </c>
    </row>
    <row r="6680" spans="1:4" x14ac:dyDescent="0.25">
      <c r="A6680" s="139" t="s">
        <v>15635</v>
      </c>
      <c r="B6680" s="139" t="s">
        <v>15633</v>
      </c>
      <c r="C6680" s="139" t="s">
        <v>112</v>
      </c>
      <c r="D6680" s="139" t="s">
        <v>15636</v>
      </c>
    </row>
    <row r="6681" spans="1:4" x14ac:dyDescent="0.25">
      <c r="A6681" s="139" t="s">
        <v>15637</v>
      </c>
      <c r="B6681" s="139" t="s">
        <v>15638</v>
      </c>
      <c r="C6681" s="139" t="s">
        <v>112</v>
      </c>
      <c r="D6681" s="139" t="s">
        <v>15639</v>
      </c>
    </row>
    <row r="6682" spans="1:4" x14ac:dyDescent="0.25">
      <c r="A6682" s="139" t="s">
        <v>15640</v>
      </c>
      <c r="B6682" s="139" t="s">
        <v>15638</v>
      </c>
      <c r="C6682" s="139" t="s">
        <v>112</v>
      </c>
      <c r="D6682" s="139" t="s">
        <v>15641</v>
      </c>
    </row>
    <row r="6683" spans="1:4" x14ac:dyDescent="0.25">
      <c r="A6683" s="139" t="s">
        <v>15642</v>
      </c>
      <c r="B6683" s="139" t="s">
        <v>15643</v>
      </c>
      <c r="C6683" s="139" t="s">
        <v>112</v>
      </c>
      <c r="D6683" s="139" t="s">
        <v>15644</v>
      </c>
    </row>
    <row r="6684" spans="1:4" x14ac:dyDescent="0.25">
      <c r="A6684" s="139" t="s">
        <v>15645</v>
      </c>
      <c r="B6684" s="139" t="s">
        <v>15643</v>
      </c>
      <c r="C6684" s="139" t="s">
        <v>112</v>
      </c>
      <c r="D6684" s="139" t="s">
        <v>15646</v>
      </c>
    </row>
    <row r="6685" spans="1:4" x14ac:dyDescent="0.25">
      <c r="A6685" s="139" t="s">
        <v>15647</v>
      </c>
      <c r="B6685" s="139" t="s">
        <v>15648</v>
      </c>
      <c r="C6685" s="139" t="s">
        <v>112</v>
      </c>
      <c r="D6685" s="139" t="s">
        <v>15649</v>
      </c>
    </row>
    <row r="6686" spans="1:4" x14ac:dyDescent="0.25">
      <c r="A6686" s="139" t="s">
        <v>15650</v>
      </c>
      <c r="B6686" s="139" t="s">
        <v>15648</v>
      </c>
      <c r="C6686" s="139" t="s">
        <v>112</v>
      </c>
      <c r="D6686" s="139" t="s">
        <v>15651</v>
      </c>
    </row>
    <row r="6687" spans="1:4" x14ac:dyDescent="0.25">
      <c r="A6687" s="139" t="s">
        <v>15652</v>
      </c>
      <c r="B6687" s="139" t="s">
        <v>15653</v>
      </c>
      <c r="C6687" s="139" t="s">
        <v>112</v>
      </c>
      <c r="D6687" s="139" t="s">
        <v>15654</v>
      </c>
    </row>
    <row r="6688" spans="1:4" x14ac:dyDescent="0.25">
      <c r="A6688" s="139" t="s">
        <v>15655</v>
      </c>
      <c r="B6688" s="139" t="s">
        <v>15653</v>
      </c>
      <c r="C6688" s="139" t="s">
        <v>112</v>
      </c>
      <c r="D6688" s="139" t="s">
        <v>15656</v>
      </c>
    </row>
    <row r="6689" spans="1:4" x14ac:dyDescent="0.25">
      <c r="A6689" s="139" t="s">
        <v>15657</v>
      </c>
      <c r="B6689" s="139" t="s">
        <v>15658</v>
      </c>
      <c r="C6689" s="139" t="s">
        <v>112</v>
      </c>
      <c r="D6689" s="139" t="s">
        <v>15659</v>
      </c>
    </row>
    <row r="6690" spans="1:4" x14ac:dyDescent="0.25">
      <c r="A6690" s="139" t="s">
        <v>15660</v>
      </c>
      <c r="B6690" s="139" t="s">
        <v>15658</v>
      </c>
      <c r="C6690" s="139" t="s">
        <v>112</v>
      </c>
      <c r="D6690" s="139" t="s">
        <v>15661</v>
      </c>
    </row>
    <row r="6691" spans="1:4" x14ac:dyDescent="0.25">
      <c r="A6691" s="139" t="s">
        <v>15662</v>
      </c>
      <c r="B6691" s="139" t="s">
        <v>15663</v>
      </c>
      <c r="C6691" s="139" t="s">
        <v>112</v>
      </c>
      <c r="D6691" s="139" t="s">
        <v>15664</v>
      </c>
    </row>
    <row r="6692" spans="1:4" x14ac:dyDescent="0.25">
      <c r="A6692" s="139" t="s">
        <v>15665</v>
      </c>
      <c r="B6692" s="139" t="s">
        <v>15663</v>
      </c>
      <c r="C6692" s="139" t="s">
        <v>112</v>
      </c>
      <c r="D6692" s="139" t="s">
        <v>15666</v>
      </c>
    </row>
    <row r="6693" spans="1:4" x14ac:dyDescent="0.25">
      <c r="A6693" s="139" t="s">
        <v>15667</v>
      </c>
      <c r="B6693" s="139" t="s">
        <v>15668</v>
      </c>
      <c r="C6693" s="139" t="s">
        <v>112</v>
      </c>
      <c r="D6693" s="139" t="s">
        <v>15669</v>
      </c>
    </row>
    <row r="6694" spans="1:4" x14ac:dyDescent="0.25">
      <c r="A6694" s="139" t="s">
        <v>15670</v>
      </c>
      <c r="B6694" s="139" t="s">
        <v>15668</v>
      </c>
      <c r="C6694" s="139" t="s">
        <v>112</v>
      </c>
      <c r="D6694" s="139" t="s">
        <v>15671</v>
      </c>
    </row>
    <row r="6695" spans="1:4" x14ac:dyDescent="0.25">
      <c r="A6695" s="139" t="s">
        <v>15672</v>
      </c>
      <c r="B6695" s="139" t="s">
        <v>15673</v>
      </c>
      <c r="C6695" s="139" t="s">
        <v>1820</v>
      </c>
      <c r="D6695" s="139" t="s">
        <v>15674</v>
      </c>
    </row>
    <row r="6696" spans="1:4" x14ac:dyDescent="0.25">
      <c r="A6696" s="139" t="s">
        <v>15675</v>
      </c>
      <c r="B6696" s="139" t="s">
        <v>15673</v>
      </c>
      <c r="C6696" s="139" t="s">
        <v>1820</v>
      </c>
      <c r="D6696" s="139" t="s">
        <v>15676</v>
      </c>
    </row>
    <row r="6697" spans="1:4" x14ac:dyDescent="0.25">
      <c r="A6697" s="139" t="s">
        <v>15677</v>
      </c>
      <c r="B6697" s="139" t="s">
        <v>15678</v>
      </c>
      <c r="C6697" s="139" t="s">
        <v>112</v>
      </c>
      <c r="D6697" s="139" t="s">
        <v>15679</v>
      </c>
    </row>
    <row r="6698" spans="1:4" x14ac:dyDescent="0.25">
      <c r="A6698" s="139" t="s">
        <v>15680</v>
      </c>
      <c r="B6698" s="139" t="s">
        <v>15678</v>
      </c>
      <c r="C6698" s="139" t="s">
        <v>112</v>
      </c>
      <c r="D6698" s="139" t="s">
        <v>15681</v>
      </c>
    </row>
    <row r="6699" spans="1:4" x14ac:dyDescent="0.25">
      <c r="A6699" s="139" t="s">
        <v>15682</v>
      </c>
      <c r="B6699" s="139" t="s">
        <v>15683</v>
      </c>
      <c r="C6699" s="139" t="s">
        <v>112</v>
      </c>
      <c r="D6699" s="139" t="s">
        <v>15684</v>
      </c>
    </row>
    <row r="6700" spans="1:4" x14ac:dyDescent="0.25">
      <c r="A6700" s="139" t="s">
        <v>15685</v>
      </c>
      <c r="B6700" s="139" t="s">
        <v>15683</v>
      </c>
      <c r="C6700" s="139" t="s">
        <v>112</v>
      </c>
      <c r="D6700" s="139" t="s">
        <v>15686</v>
      </c>
    </row>
    <row r="6701" spans="1:4" x14ac:dyDescent="0.25">
      <c r="A6701" s="139" t="s">
        <v>15687</v>
      </c>
      <c r="B6701" s="139" t="s">
        <v>15688</v>
      </c>
      <c r="C6701" s="139" t="s">
        <v>112</v>
      </c>
      <c r="D6701" s="139" t="s">
        <v>15689</v>
      </c>
    </row>
    <row r="6702" spans="1:4" x14ac:dyDescent="0.25">
      <c r="A6702" s="139" t="s">
        <v>15690</v>
      </c>
      <c r="B6702" s="139" t="s">
        <v>15688</v>
      </c>
      <c r="C6702" s="139" t="s">
        <v>112</v>
      </c>
      <c r="D6702" s="139" t="s">
        <v>15691</v>
      </c>
    </row>
    <row r="6703" spans="1:4" x14ac:dyDescent="0.25">
      <c r="A6703" s="139" t="s">
        <v>15692</v>
      </c>
      <c r="B6703" s="139" t="s">
        <v>14528</v>
      </c>
      <c r="C6703" s="139" t="s">
        <v>112</v>
      </c>
      <c r="D6703" s="139" t="s">
        <v>15693</v>
      </c>
    </row>
    <row r="6704" spans="1:4" x14ac:dyDescent="0.25">
      <c r="A6704" s="139" t="s">
        <v>15694</v>
      </c>
      <c r="B6704" s="139" t="s">
        <v>14528</v>
      </c>
      <c r="C6704" s="139" t="s">
        <v>112</v>
      </c>
      <c r="D6704" s="139" t="s">
        <v>15695</v>
      </c>
    </row>
    <row r="6705" spans="1:4" x14ac:dyDescent="0.25">
      <c r="A6705" s="139" t="s">
        <v>15696</v>
      </c>
      <c r="B6705" s="139" t="s">
        <v>15697</v>
      </c>
      <c r="C6705" s="139" t="s">
        <v>112</v>
      </c>
      <c r="D6705" s="139" t="s">
        <v>15698</v>
      </c>
    </row>
    <row r="6706" spans="1:4" x14ac:dyDescent="0.25">
      <c r="A6706" s="139" t="s">
        <v>15699</v>
      </c>
      <c r="B6706" s="139" t="s">
        <v>15697</v>
      </c>
      <c r="C6706" s="139" t="s">
        <v>112</v>
      </c>
      <c r="D6706" s="139" t="s">
        <v>15700</v>
      </c>
    </row>
    <row r="6707" spans="1:4" x14ac:dyDescent="0.25">
      <c r="A6707" s="139" t="s">
        <v>15701</v>
      </c>
      <c r="B6707" s="139" t="s">
        <v>14538</v>
      </c>
      <c r="C6707" s="139" t="s">
        <v>112</v>
      </c>
      <c r="D6707" s="139" t="s">
        <v>15702</v>
      </c>
    </row>
    <row r="6708" spans="1:4" x14ac:dyDescent="0.25">
      <c r="A6708" s="139" t="s">
        <v>15703</v>
      </c>
      <c r="B6708" s="139" t="s">
        <v>14538</v>
      </c>
      <c r="C6708" s="139" t="s">
        <v>112</v>
      </c>
      <c r="D6708" s="139" t="s">
        <v>15704</v>
      </c>
    </row>
    <row r="6709" spans="1:4" x14ac:dyDescent="0.25">
      <c r="A6709" s="139" t="s">
        <v>15705</v>
      </c>
      <c r="B6709" s="139" t="s">
        <v>15706</v>
      </c>
      <c r="C6709" s="139" t="s">
        <v>112</v>
      </c>
      <c r="D6709" s="139" t="s">
        <v>15707</v>
      </c>
    </row>
    <row r="6710" spans="1:4" x14ac:dyDescent="0.25">
      <c r="A6710" s="139" t="s">
        <v>15708</v>
      </c>
      <c r="B6710" s="139" t="s">
        <v>15706</v>
      </c>
      <c r="C6710" s="139" t="s">
        <v>112</v>
      </c>
      <c r="D6710" s="139" t="s">
        <v>15709</v>
      </c>
    </row>
    <row r="6711" spans="1:4" x14ac:dyDescent="0.25">
      <c r="A6711" s="139" t="s">
        <v>15710</v>
      </c>
      <c r="B6711" s="139" t="s">
        <v>15711</v>
      </c>
      <c r="C6711" s="139" t="s">
        <v>44</v>
      </c>
      <c r="D6711" s="139" t="s">
        <v>15712</v>
      </c>
    </row>
    <row r="6712" spans="1:4" x14ac:dyDescent="0.25">
      <c r="A6712" s="139" t="s">
        <v>15713</v>
      </c>
      <c r="B6712" s="139" t="s">
        <v>15711</v>
      </c>
      <c r="C6712" s="139" t="s">
        <v>44</v>
      </c>
      <c r="D6712" s="139" t="s">
        <v>15714</v>
      </c>
    </row>
    <row r="6713" spans="1:4" x14ac:dyDescent="0.25">
      <c r="A6713" s="139" t="s">
        <v>15715</v>
      </c>
      <c r="B6713" s="139" t="s">
        <v>15716</v>
      </c>
      <c r="C6713" s="139" t="s">
        <v>2895</v>
      </c>
      <c r="D6713" s="139" t="s">
        <v>15717</v>
      </c>
    </row>
    <row r="6714" spans="1:4" x14ac:dyDescent="0.25">
      <c r="A6714" s="139" t="s">
        <v>15718</v>
      </c>
      <c r="B6714" s="139" t="s">
        <v>15716</v>
      </c>
      <c r="C6714" s="139" t="s">
        <v>2895</v>
      </c>
      <c r="D6714" s="139" t="s">
        <v>15719</v>
      </c>
    </row>
    <row r="6715" spans="1:4" x14ac:dyDescent="0.25">
      <c r="A6715" s="139" t="s">
        <v>15720</v>
      </c>
      <c r="B6715" s="139" t="s">
        <v>11232</v>
      </c>
      <c r="C6715" s="139" t="s">
        <v>2895</v>
      </c>
      <c r="D6715" s="139" t="s">
        <v>15721</v>
      </c>
    </row>
    <row r="6716" spans="1:4" x14ac:dyDescent="0.25">
      <c r="A6716" s="139" t="s">
        <v>15722</v>
      </c>
      <c r="B6716" s="139" t="s">
        <v>11232</v>
      </c>
      <c r="C6716" s="139" t="s">
        <v>2895</v>
      </c>
      <c r="D6716" s="139" t="s">
        <v>15723</v>
      </c>
    </row>
    <row r="6717" spans="1:4" x14ac:dyDescent="0.25">
      <c r="A6717" s="139" t="s">
        <v>15724</v>
      </c>
      <c r="B6717" s="139" t="s">
        <v>11237</v>
      </c>
      <c r="C6717" s="139" t="s">
        <v>2895</v>
      </c>
      <c r="D6717" s="139" t="s">
        <v>15725</v>
      </c>
    </row>
    <row r="6718" spans="1:4" x14ac:dyDescent="0.25">
      <c r="A6718" s="139" t="s">
        <v>15726</v>
      </c>
      <c r="B6718" s="139" t="s">
        <v>11237</v>
      </c>
      <c r="C6718" s="139" t="s">
        <v>2895</v>
      </c>
      <c r="D6718" s="139" t="s">
        <v>15727</v>
      </c>
    </row>
    <row r="6719" spans="1:4" x14ac:dyDescent="0.25">
      <c r="A6719" s="139" t="s">
        <v>15728</v>
      </c>
      <c r="B6719" s="139" t="s">
        <v>11242</v>
      </c>
      <c r="C6719" s="139" t="s">
        <v>2895</v>
      </c>
      <c r="D6719" s="139" t="s">
        <v>15729</v>
      </c>
    </row>
    <row r="6720" spans="1:4" x14ac:dyDescent="0.25">
      <c r="A6720" s="139" t="s">
        <v>15730</v>
      </c>
      <c r="B6720" s="139" t="s">
        <v>11242</v>
      </c>
      <c r="C6720" s="139" t="s">
        <v>2895</v>
      </c>
      <c r="D6720" s="139" t="s">
        <v>15731</v>
      </c>
    </row>
    <row r="6721" spans="1:4" x14ac:dyDescent="0.25">
      <c r="A6721" s="139" t="s">
        <v>15732</v>
      </c>
      <c r="B6721" s="139" t="s">
        <v>11247</v>
      </c>
      <c r="C6721" s="139" t="s">
        <v>2895</v>
      </c>
      <c r="D6721" s="139" t="s">
        <v>15733</v>
      </c>
    </row>
    <row r="6722" spans="1:4" x14ac:dyDescent="0.25">
      <c r="A6722" s="139" t="s">
        <v>15734</v>
      </c>
      <c r="B6722" s="139" t="s">
        <v>11247</v>
      </c>
      <c r="C6722" s="139" t="s">
        <v>2895</v>
      </c>
      <c r="D6722" s="139" t="s">
        <v>15735</v>
      </c>
    </row>
    <row r="6723" spans="1:4" x14ac:dyDescent="0.25">
      <c r="A6723" s="139" t="s">
        <v>15736</v>
      </c>
      <c r="B6723" s="139" t="s">
        <v>11252</v>
      </c>
      <c r="C6723" s="139" t="s">
        <v>2895</v>
      </c>
      <c r="D6723" s="139" t="s">
        <v>15737</v>
      </c>
    </row>
    <row r="6724" spans="1:4" x14ac:dyDescent="0.25">
      <c r="A6724" s="139" t="s">
        <v>15738</v>
      </c>
      <c r="B6724" s="139" t="s">
        <v>11252</v>
      </c>
      <c r="C6724" s="139" t="s">
        <v>2895</v>
      </c>
      <c r="D6724" s="139" t="s">
        <v>15739</v>
      </c>
    </row>
    <row r="6725" spans="1:4" x14ac:dyDescent="0.25">
      <c r="A6725" s="139" t="s">
        <v>15740</v>
      </c>
      <c r="B6725" s="139" t="s">
        <v>15741</v>
      </c>
      <c r="C6725" s="139" t="s">
        <v>33</v>
      </c>
      <c r="D6725" s="139" t="s">
        <v>15742</v>
      </c>
    </row>
    <row r="6726" spans="1:4" x14ac:dyDescent="0.25">
      <c r="A6726" s="139" t="s">
        <v>15743</v>
      </c>
      <c r="B6726" s="139" t="s">
        <v>15741</v>
      </c>
      <c r="C6726" s="139" t="s">
        <v>33</v>
      </c>
      <c r="D6726" s="139" t="s">
        <v>15744</v>
      </c>
    </row>
    <row r="6727" spans="1:4" x14ac:dyDescent="0.25">
      <c r="A6727" s="139" t="s">
        <v>15745</v>
      </c>
      <c r="B6727" s="139" t="s">
        <v>340</v>
      </c>
      <c r="C6727" s="139" t="s">
        <v>127</v>
      </c>
      <c r="D6727" s="139" t="s">
        <v>15746</v>
      </c>
    </row>
    <row r="6728" spans="1:4" x14ac:dyDescent="0.25">
      <c r="A6728" s="139" t="s">
        <v>15747</v>
      </c>
      <c r="B6728" s="139" t="s">
        <v>4597</v>
      </c>
      <c r="C6728" s="139" t="s">
        <v>33</v>
      </c>
      <c r="D6728" s="139" t="s">
        <v>15748</v>
      </c>
    </row>
    <row r="6729" spans="1:4" x14ac:dyDescent="0.25">
      <c r="A6729" s="139" t="s">
        <v>15749</v>
      </c>
      <c r="B6729" s="139" t="s">
        <v>12324</v>
      </c>
      <c r="C6729" s="139" t="s">
        <v>33</v>
      </c>
      <c r="D6729" s="139" t="s">
        <v>15750</v>
      </c>
    </row>
    <row r="6730" spans="1:4" x14ac:dyDescent="0.25">
      <c r="A6730" s="139" t="s">
        <v>15751</v>
      </c>
      <c r="B6730" s="139" t="s">
        <v>8855</v>
      </c>
      <c r="C6730" s="139" t="s">
        <v>33</v>
      </c>
      <c r="D6730" s="139" t="s">
        <v>15752</v>
      </c>
    </row>
    <row r="6731" spans="1:4" x14ac:dyDescent="0.25">
      <c r="A6731" s="139" t="s">
        <v>15753</v>
      </c>
      <c r="B6731" s="139" t="s">
        <v>7273</v>
      </c>
      <c r="C6731" s="139" t="s">
        <v>112</v>
      </c>
      <c r="D6731" s="139" t="s">
        <v>15754</v>
      </c>
    </row>
    <row r="6732" spans="1:4" x14ac:dyDescent="0.25">
      <c r="A6732" s="139" t="s">
        <v>15755</v>
      </c>
      <c r="B6732" s="139" t="s">
        <v>3310</v>
      </c>
      <c r="C6732" s="139" t="s">
        <v>65</v>
      </c>
      <c r="D6732" s="139" t="s">
        <v>15756</v>
      </c>
    </row>
    <row r="6733" spans="1:4" x14ac:dyDescent="0.25">
      <c r="A6733" s="139" t="s">
        <v>15757</v>
      </c>
      <c r="B6733" s="139" t="s">
        <v>5705</v>
      </c>
      <c r="C6733" s="139" t="s">
        <v>65</v>
      </c>
      <c r="D6733" s="139" t="s">
        <v>15758</v>
      </c>
    </row>
    <row r="6734" spans="1:4" x14ac:dyDescent="0.25">
      <c r="A6734" s="139" t="s">
        <v>15759</v>
      </c>
      <c r="B6734" s="139" t="s">
        <v>5695</v>
      </c>
      <c r="C6734" s="139" t="s">
        <v>65</v>
      </c>
      <c r="D6734" s="139" t="s">
        <v>15760</v>
      </c>
    </row>
    <row r="6735" spans="1:4" x14ac:dyDescent="0.25">
      <c r="A6735" s="139" t="s">
        <v>15761</v>
      </c>
      <c r="B6735" s="139" t="s">
        <v>5845</v>
      </c>
      <c r="C6735" s="139" t="s">
        <v>65</v>
      </c>
      <c r="D6735" s="139" t="s">
        <v>15762</v>
      </c>
    </row>
    <row r="6736" spans="1:4" x14ac:dyDescent="0.25">
      <c r="A6736" s="139" t="s">
        <v>15763</v>
      </c>
      <c r="B6736" s="139" t="s">
        <v>5089</v>
      </c>
      <c r="C6736" s="139" t="s">
        <v>65</v>
      </c>
      <c r="D6736" s="139" t="s">
        <v>15764</v>
      </c>
    </row>
    <row r="6737" spans="1:4" x14ac:dyDescent="0.25">
      <c r="A6737" s="139" t="s">
        <v>15765</v>
      </c>
      <c r="B6737" s="139" t="s">
        <v>15766</v>
      </c>
      <c r="C6737" s="139" t="s">
        <v>65</v>
      </c>
      <c r="D6737" s="139" t="s">
        <v>15767</v>
      </c>
    </row>
    <row r="6738" spans="1:4" x14ac:dyDescent="0.25">
      <c r="A6738" s="139" t="s">
        <v>15768</v>
      </c>
      <c r="B6738" s="139" t="s">
        <v>904</v>
      </c>
      <c r="C6738" s="139" t="s">
        <v>65</v>
      </c>
      <c r="D6738" s="139" t="s">
        <v>15769</v>
      </c>
    </row>
    <row r="6739" spans="1:4" x14ac:dyDescent="0.25">
      <c r="A6739" s="139" t="s">
        <v>15770</v>
      </c>
      <c r="B6739" s="139" t="s">
        <v>5783</v>
      </c>
      <c r="C6739" s="139" t="s">
        <v>65</v>
      </c>
      <c r="D6739" s="139" t="s">
        <v>15771</v>
      </c>
    </row>
    <row r="6740" spans="1:4" x14ac:dyDescent="0.25">
      <c r="A6740" s="139" t="s">
        <v>15772</v>
      </c>
      <c r="B6740" s="139" t="s">
        <v>15773</v>
      </c>
      <c r="C6740" s="139" t="s">
        <v>658</v>
      </c>
      <c r="D6740" s="139" t="s">
        <v>15774</v>
      </c>
    </row>
    <row r="6741" spans="1:4" x14ac:dyDescent="0.25">
      <c r="A6741" s="139" t="s">
        <v>15775</v>
      </c>
      <c r="B6741" s="139" t="s">
        <v>7056</v>
      </c>
      <c r="C6741" s="139" t="s">
        <v>112</v>
      </c>
      <c r="D6741" s="139" t="s">
        <v>15776</v>
      </c>
    </row>
    <row r="6742" spans="1:4" x14ac:dyDescent="0.25">
      <c r="A6742" s="139" t="s">
        <v>15777</v>
      </c>
      <c r="B6742" s="139" t="s">
        <v>7288</v>
      </c>
      <c r="C6742" s="139" t="s">
        <v>112</v>
      </c>
      <c r="D6742" s="139" t="s">
        <v>15778</v>
      </c>
    </row>
    <row r="6743" spans="1:4" x14ac:dyDescent="0.25">
      <c r="A6743" s="139" t="s">
        <v>15779</v>
      </c>
      <c r="B6743" s="139" t="s">
        <v>4665</v>
      </c>
      <c r="C6743" s="139" t="s">
        <v>112</v>
      </c>
      <c r="D6743" s="139" t="s">
        <v>15780</v>
      </c>
    </row>
    <row r="6744" spans="1:4" x14ac:dyDescent="0.25">
      <c r="A6744" s="139" t="s">
        <v>15781</v>
      </c>
      <c r="B6744" s="139" t="s">
        <v>7307</v>
      </c>
      <c r="C6744" s="139" t="s">
        <v>112</v>
      </c>
      <c r="D6744" s="139" t="s">
        <v>15782</v>
      </c>
    </row>
    <row r="6745" spans="1:4" x14ac:dyDescent="0.25">
      <c r="A6745" s="139" t="s">
        <v>15783</v>
      </c>
      <c r="B6745" s="139" t="s">
        <v>5990</v>
      </c>
      <c r="C6745" s="139" t="s">
        <v>112</v>
      </c>
      <c r="D6745" s="139" t="s">
        <v>15784</v>
      </c>
    </row>
    <row r="6746" spans="1:4" x14ac:dyDescent="0.25">
      <c r="A6746" s="139" t="s">
        <v>15785</v>
      </c>
      <c r="B6746" s="139" t="s">
        <v>4875</v>
      </c>
      <c r="C6746" s="139" t="s">
        <v>2895</v>
      </c>
      <c r="D6746" s="139" t="s">
        <v>15786</v>
      </c>
    </row>
    <row r="6747" spans="1:4" x14ac:dyDescent="0.25">
      <c r="A6747" s="139" t="s">
        <v>15787</v>
      </c>
      <c r="B6747" s="139" t="s">
        <v>994</v>
      </c>
      <c r="C6747" s="139" t="s">
        <v>2895</v>
      </c>
      <c r="D6747" s="139" t="s">
        <v>15788</v>
      </c>
    </row>
    <row r="6748" spans="1:4" x14ac:dyDescent="0.25">
      <c r="A6748" s="139" t="s">
        <v>15789</v>
      </c>
      <c r="B6748" s="139" t="s">
        <v>4442</v>
      </c>
      <c r="C6748" s="139" t="s">
        <v>2895</v>
      </c>
      <c r="D6748" s="139" t="s">
        <v>15790</v>
      </c>
    </row>
    <row r="6749" spans="1:4" x14ac:dyDescent="0.25">
      <c r="A6749" s="139" t="s">
        <v>15791</v>
      </c>
      <c r="B6749" s="139" t="s">
        <v>989</v>
      </c>
      <c r="C6749" s="139" t="s">
        <v>2895</v>
      </c>
      <c r="D6749" s="139" t="s">
        <v>15792</v>
      </c>
    </row>
    <row r="6750" spans="1:4" x14ac:dyDescent="0.25">
      <c r="A6750" s="139" t="s">
        <v>15793</v>
      </c>
      <c r="B6750" s="139" t="s">
        <v>6118</v>
      </c>
      <c r="C6750" s="139" t="s">
        <v>65</v>
      </c>
      <c r="D6750" s="139" t="s">
        <v>15794</v>
      </c>
    </row>
    <row r="6751" spans="1:4" x14ac:dyDescent="0.25">
      <c r="A6751" s="139" t="s">
        <v>15795</v>
      </c>
      <c r="B6751" s="139" t="s">
        <v>9890</v>
      </c>
      <c r="C6751" s="139" t="s">
        <v>65</v>
      </c>
      <c r="D6751" s="139" t="s">
        <v>15796</v>
      </c>
    </row>
    <row r="6752" spans="1:4" x14ac:dyDescent="0.25">
      <c r="A6752" s="139" t="s">
        <v>15797</v>
      </c>
      <c r="B6752" s="139" t="s">
        <v>1228</v>
      </c>
      <c r="C6752" s="139" t="s">
        <v>65</v>
      </c>
      <c r="D6752" s="139" t="s">
        <v>15798</v>
      </c>
    </row>
    <row r="6753" spans="1:4" x14ac:dyDescent="0.25">
      <c r="A6753" s="139" t="s">
        <v>15799</v>
      </c>
      <c r="B6753" s="139" t="s">
        <v>541</v>
      </c>
      <c r="C6753" s="139" t="s">
        <v>65</v>
      </c>
      <c r="D6753" s="139" t="s">
        <v>15800</v>
      </c>
    </row>
    <row r="6754" spans="1:4" x14ac:dyDescent="0.25">
      <c r="A6754" s="139" t="s">
        <v>15801</v>
      </c>
      <c r="B6754" s="139" t="s">
        <v>570</v>
      </c>
      <c r="C6754" s="139" t="s">
        <v>65</v>
      </c>
      <c r="D6754" s="139" t="s">
        <v>15802</v>
      </c>
    </row>
    <row r="6755" spans="1:4" x14ac:dyDescent="0.25">
      <c r="A6755" s="139" t="s">
        <v>15803</v>
      </c>
      <c r="B6755" s="139" t="s">
        <v>8899</v>
      </c>
      <c r="C6755" s="139" t="s">
        <v>65</v>
      </c>
      <c r="D6755" s="139" t="s">
        <v>15804</v>
      </c>
    </row>
    <row r="6756" spans="1:4" x14ac:dyDescent="0.25">
      <c r="A6756" s="139" t="s">
        <v>15805</v>
      </c>
      <c r="B6756" s="139" t="s">
        <v>8894</v>
      </c>
      <c r="C6756" s="139" t="s">
        <v>65</v>
      </c>
      <c r="D6756" s="139" t="s">
        <v>15806</v>
      </c>
    </row>
    <row r="6757" spans="1:4" x14ac:dyDescent="0.25">
      <c r="A6757" s="139" t="s">
        <v>15807</v>
      </c>
      <c r="B6757" s="139" t="s">
        <v>1320</v>
      </c>
      <c r="C6757" s="139" t="s">
        <v>65</v>
      </c>
      <c r="D6757" s="139" t="s">
        <v>15808</v>
      </c>
    </row>
    <row r="6758" spans="1:4" x14ac:dyDescent="0.25">
      <c r="A6758" s="139" t="s">
        <v>15809</v>
      </c>
      <c r="B6758" s="139" t="s">
        <v>1315</v>
      </c>
      <c r="C6758" s="139" t="s">
        <v>65</v>
      </c>
      <c r="D6758" s="139" t="s">
        <v>15810</v>
      </c>
    </row>
    <row r="6759" spans="1:4" x14ac:dyDescent="0.25">
      <c r="A6759" s="139" t="s">
        <v>15811</v>
      </c>
      <c r="B6759" s="139" t="s">
        <v>229</v>
      </c>
      <c r="C6759" s="139" t="s">
        <v>65</v>
      </c>
      <c r="D6759" s="139" t="s">
        <v>15812</v>
      </c>
    </row>
    <row r="6760" spans="1:4" x14ac:dyDescent="0.25">
      <c r="A6760" s="139" t="s">
        <v>15813</v>
      </c>
      <c r="B6760" s="139" t="s">
        <v>4665</v>
      </c>
      <c r="C6760" s="139" t="s">
        <v>127</v>
      </c>
      <c r="D6760" s="139" t="s">
        <v>15814</v>
      </c>
    </row>
    <row r="6761" spans="1:4" x14ac:dyDescent="0.25">
      <c r="A6761" s="139" t="s">
        <v>15815</v>
      </c>
      <c r="B6761" s="139" t="s">
        <v>1039</v>
      </c>
      <c r="C6761" s="139" t="s">
        <v>127</v>
      </c>
      <c r="D6761" s="139" t="s">
        <v>15816</v>
      </c>
    </row>
    <row r="6762" spans="1:4" x14ac:dyDescent="0.25">
      <c r="A6762" s="139" t="s">
        <v>15817</v>
      </c>
      <c r="B6762" s="139" t="s">
        <v>15818</v>
      </c>
      <c r="C6762" s="139" t="s">
        <v>127</v>
      </c>
      <c r="D6762" s="139" t="s">
        <v>15819</v>
      </c>
    </row>
    <row r="6763" spans="1:4" x14ac:dyDescent="0.25">
      <c r="A6763" s="139" t="s">
        <v>15820</v>
      </c>
      <c r="B6763" s="139" t="s">
        <v>895</v>
      </c>
      <c r="C6763" s="139" t="s">
        <v>2895</v>
      </c>
      <c r="D6763" s="139" t="s">
        <v>15821</v>
      </c>
    </row>
    <row r="6764" spans="1:4" x14ac:dyDescent="0.25">
      <c r="A6764" s="139" t="s">
        <v>15822</v>
      </c>
      <c r="B6764" s="139" t="s">
        <v>4156</v>
      </c>
      <c r="C6764" s="139" t="s">
        <v>2895</v>
      </c>
      <c r="D6764" s="139" t="s">
        <v>15823</v>
      </c>
    </row>
    <row r="6765" spans="1:4" x14ac:dyDescent="0.25">
      <c r="A6765" s="139" t="s">
        <v>15824</v>
      </c>
      <c r="B6765" s="139" t="s">
        <v>1039</v>
      </c>
      <c r="C6765" s="139" t="s">
        <v>2895</v>
      </c>
      <c r="D6765" s="139" t="s">
        <v>15825</v>
      </c>
    </row>
    <row r="6766" spans="1:4" x14ac:dyDescent="0.25">
      <c r="A6766" s="139" t="s">
        <v>15826</v>
      </c>
      <c r="B6766" s="139" t="s">
        <v>1305</v>
      </c>
      <c r="C6766" s="139" t="s">
        <v>2895</v>
      </c>
      <c r="D6766" s="139" t="s">
        <v>15827</v>
      </c>
    </row>
    <row r="6767" spans="1:4" x14ac:dyDescent="0.25">
      <c r="A6767" s="139" t="s">
        <v>15828</v>
      </c>
      <c r="B6767" s="139" t="s">
        <v>9273</v>
      </c>
      <c r="C6767" s="139" t="s">
        <v>2895</v>
      </c>
      <c r="D6767" s="139" t="s">
        <v>15829</v>
      </c>
    </row>
    <row r="6768" spans="1:4" x14ac:dyDescent="0.25">
      <c r="A6768" s="139" t="s">
        <v>15830</v>
      </c>
      <c r="B6768" s="139" t="s">
        <v>15831</v>
      </c>
      <c r="C6768" s="139" t="s">
        <v>2895</v>
      </c>
      <c r="D6768" s="139" t="s">
        <v>15832</v>
      </c>
    </row>
    <row r="6769" spans="1:4" x14ac:dyDescent="0.25">
      <c r="A6769" s="139" t="s">
        <v>15833</v>
      </c>
      <c r="B6769" s="139" t="s">
        <v>1049</v>
      </c>
      <c r="C6769" s="139" t="s">
        <v>2895</v>
      </c>
      <c r="D6769" s="139" t="s">
        <v>15834</v>
      </c>
    </row>
    <row r="6770" spans="1:4" x14ac:dyDescent="0.25">
      <c r="A6770" s="139" t="s">
        <v>15835</v>
      </c>
      <c r="B6770" s="139" t="s">
        <v>1380</v>
      </c>
      <c r="C6770" s="139" t="s">
        <v>33</v>
      </c>
      <c r="D6770" s="139" t="s">
        <v>15836</v>
      </c>
    </row>
    <row r="6771" spans="1:4" x14ac:dyDescent="0.25">
      <c r="A6771" s="139" t="s">
        <v>15837</v>
      </c>
      <c r="B6771" s="139" t="s">
        <v>15838</v>
      </c>
      <c r="C6771" s="139" t="s">
        <v>112</v>
      </c>
      <c r="D6771" s="139" t="s">
        <v>15839</v>
      </c>
    </row>
    <row r="6772" spans="1:4" x14ac:dyDescent="0.25">
      <c r="A6772" s="139" t="s">
        <v>15840</v>
      </c>
      <c r="B6772" s="139" t="s">
        <v>15841</v>
      </c>
      <c r="C6772" s="139" t="s">
        <v>112</v>
      </c>
      <c r="D6772" s="139" t="s">
        <v>15842</v>
      </c>
    </row>
    <row r="6773" spans="1:4" x14ac:dyDescent="0.25">
      <c r="A6773" s="139" t="s">
        <v>15843</v>
      </c>
      <c r="B6773" s="139" t="s">
        <v>15844</v>
      </c>
      <c r="C6773" s="139" t="s">
        <v>112</v>
      </c>
      <c r="D6773" s="139" t="s">
        <v>15845</v>
      </c>
    </row>
    <row r="6774" spans="1:4" x14ac:dyDescent="0.25">
      <c r="A6774" s="139" t="s">
        <v>15846</v>
      </c>
      <c r="B6774" s="139" t="s">
        <v>15847</v>
      </c>
      <c r="C6774" s="139" t="s">
        <v>112</v>
      </c>
      <c r="D6774" s="139" t="s">
        <v>15848</v>
      </c>
    </row>
    <row r="6775" spans="1:4" x14ac:dyDescent="0.25">
      <c r="A6775" s="139" t="s">
        <v>15849</v>
      </c>
      <c r="B6775" s="139" t="s">
        <v>15850</v>
      </c>
      <c r="C6775" s="139" t="s">
        <v>112</v>
      </c>
      <c r="D6775" s="139" t="s">
        <v>15851</v>
      </c>
    </row>
    <row r="6776" spans="1:4" x14ac:dyDescent="0.25">
      <c r="A6776" s="139" t="s">
        <v>15852</v>
      </c>
      <c r="B6776" s="139" t="s">
        <v>15853</v>
      </c>
      <c r="C6776" s="139" t="s">
        <v>112</v>
      </c>
      <c r="D6776" s="139" t="s">
        <v>15854</v>
      </c>
    </row>
    <row r="6777" spans="1:4" x14ac:dyDescent="0.25">
      <c r="A6777" s="139" t="s">
        <v>15855</v>
      </c>
      <c r="B6777" s="139" t="s">
        <v>15856</v>
      </c>
      <c r="C6777" s="139" t="s">
        <v>112</v>
      </c>
      <c r="D6777" s="139" t="s">
        <v>15857</v>
      </c>
    </row>
    <row r="6778" spans="1:4" x14ac:dyDescent="0.25">
      <c r="A6778" s="139" t="s">
        <v>15858</v>
      </c>
      <c r="B6778" s="139" t="s">
        <v>5411</v>
      </c>
      <c r="C6778" s="139" t="s">
        <v>112</v>
      </c>
      <c r="D6778" s="139" t="s">
        <v>15859</v>
      </c>
    </row>
    <row r="6779" spans="1:4" x14ac:dyDescent="0.25">
      <c r="A6779" s="139" t="s">
        <v>15860</v>
      </c>
      <c r="B6779" s="139" t="s">
        <v>15861</v>
      </c>
      <c r="C6779" s="139" t="s">
        <v>112</v>
      </c>
      <c r="D6779" s="139" t="s">
        <v>15862</v>
      </c>
    </row>
    <row r="6780" spans="1:4" x14ac:dyDescent="0.25">
      <c r="A6780" s="139" t="s">
        <v>15863</v>
      </c>
      <c r="B6780" s="139" t="s">
        <v>4558</v>
      </c>
      <c r="C6780" s="139" t="s">
        <v>112</v>
      </c>
      <c r="D6780" s="139" t="s">
        <v>15864</v>
      </c>
    </row>
    <row r="6781" spans="1:4" x14ac:dyDescent="0.25">
      <c r="A6781" s="139" t="s">
        <v>15865</v>
      </c>
      <c r="B6781" s="139" t="s">
        <v>15866</v>
      </c>
      <c r="C6781" s="139" t="s">
        <v>112</v>
      </c>
      <c r="D6781" s="139" t="s">
        <v>15867</v>
      </c>
    </row>
    <row r="6782" spans="1:4" x14ac:dyDescent="0.25">
      <c r="A6782" s="139" t="s">
        <v>15868</v>
      </c>
      <c r="B6782" s="139" t="s">
        <v>15869</v>
      </c>
      <c r="C6782" s="139" t="s">
        <v>112</v>
      </c>
      <c r="D6782" s="139" t="s">
        <v>15870</v>
      </c>
    </row>
    <row r="6783" spans="1:4" x14ac:dyDescent="0.25">
      <c r="A6783" s="139" t="s">
        <v>15871</v>
      </c>
      <c r="B6783" s="139" t="s">
        <v>12620</v>
      </c>
      <c r="C6783" s="139" t="s">
        <v>112</v>
      </c>
      <c r="D6783" s="139" t="s">
        <v>15872</v>
      </c>
    </row>
    <row r="6784" spans="1:4" x14ac:dyDescent="0.25">
      <c r="A6784" s="139" t="s">
        <v>15873</v>
      </c>
      <c r="B6784" s="139" t="s">
        <v>15874</v>
      </c>
      <c r="C6784" s="139" t="s">
        <v>112</v>
      </c>
      <c r="D6784" s="139" t="s">
        <v>15875</v>
      </c>
    </row>
    <row r="6785" spans="1:4" x14ac:dyDescent="0.25">
      <c r="A6785" s="139" t="s">
        <v>15876</v>
      </c>
      <c r="B6785" s="139" t="s">
        <v>7312</v>
      </c>
      <c r="C6785" s="139" t="s">
        <v>112</v>
      </c>
      <c r="D6785" s="139" t="s">
        <v>15877</v>
      </c>
    </row>
    <row r="6786" spans="1:4" x14ac:dyDescent="0.25">
      <c r="A6786" s="139" t="s">
        <v>15878</v>
      </c>
      <c r="B6786" s="139" t="s">
        <v>422</v>
      </c>
      <c r="C6786" s="139" t="s">
        <v>123</v>
      </c>
      <c r="D6786" s="139" t="s">
        <v>15879</v>
      </c>
    </row>
    <row r="6787" spans="1:4" x14ac:dyDescent="0.25">
      <c r="A6787" s="139" t="s">
        <v>15880</v>
      </c>
      <c r="B6787" s="139" t="s">
        <v>335</v>
      </c>
      <c r="C6787" s="139" t="s">
        <v>123</v>
      </c>
      <c r="D6787" s="139" t="s">
        <v>15881</v>
      </c>
    </row>
    <row r="6788" spans="1:4" x14ac:dyDescent="0.25">
      <c r="A6788" s="139" t="s">
        <v>15882</v>
      </c>
      <c r="B6788" s="139" t="s">
        <v>15883</v>
      </c>
      <c r="C6788" s="139" t="s">
        <v>123</v>
      </c>
      <c r="D6788" s="139" t="s">
        <v>15884</v>
      </c>
    </row>
    <row r="6789" spans="1:4" x14ac:dyDescent="0.25">
      <c r="A6789" s="139" t="s">
        <v>15885</v>
      </c>
      <c r="B6789" s="139" t="s">
        <v>4095</v>
      </c>
      <c r="C6789" s="139" t="s">
        <v>123</v>
      </c>
      <c r="D6789" s="139" t="s">
        <v>15886</v>
      </c>
    </row>
    <row r="6790" spans="1:4" x14ac:dyDescent="0.25">
      <c r="A6790" s="139" t="s">
        <v>15887</v>
      </c>
      <c r="B6790" s="139" t="s">
        <v>4086</v>
      </c>
      <c r="C6790" s="139" t="s">
        <v>123</v>
      </c>
      <c r="D6790" s="139" t="s">
        <v>15888</v>
      </c>
    </row>
    <row r="6791" spans="1:4" x14ac:dyDescent="0.25">
      <c r="A6791" s="139" t="s">
        <v>15889</v>
      </c>
      <c r="B6791" s="139" t="s">
        <v>4044</v>
      </c>
      <c r="C6791" s="139" t="s">
        <v>123</v>
      </c>
      <c r="D6791" s="139" t="s">
        <v>15890</v>
      </c>
    </row>
    <row r="6792" spans="1:4" x14ac:dyDescent="0.25">
      <c r="A6792" s="139" t="s">
        <v>15891</v>
      </c>
      <c r="B6792" s="139" t="s">
        <v>248</v>
      </c>
      <c r="C6792" s="139" t="s">
        <v>123</v>
      </c>
      <c r="D6792" s="139" t="s">
        <v>15892</v>
      </c>
    </row>
    <row r="6793" spans="1:4" x14ac:dyDescent="0.25">
      <c r="A6793" s="139" t="s">
        <v>15893</v>
      </c>
      <c r="B6793" s="139" t="s">
        <v>15894</v>
      </c>
      <c r="C6793" s="139" t="s">
        <v>123</v>
      </c>
      <c r="D6793" s="139" t="s">
        <v>15895</v>
      </c>
    </row>
    <row r="6794" spans="1:4" x14ac:dyDescent="0.25">
      <c r="A6794" s="139" t="s">
        <v>15896</v>
      </c>
      <c r="B6794" s="139" t="s">
        <v>206</v>
      </c>
      <c r="C6794" s="139" t="s">
        <v>123</v>
      </c>
      <c r="D6794" s="139" t="s">
        <v>15897</v>
      </c>
    </row>
    <row r="6795" spans="1:4" x14ac:dyDescent="0.25">
      <c r="A6795" s="139" t="s">
        <v>15898</v>
      </c>
      <c r="B6795" s="139" t="s">
        <v>201</v>
      </c>
      <c r="C6795" s="139" t="s">
        <v>123</v>
      </c>
      <c r="D6795" s="139" t="s">
        <v>15899</v>
      </c>
    </row>
    <row r="6796" spans="1:4" x14ac:dyDescent="0.25">
      <c r="A6796" s="139" t="s">
        <v>15900</v>
      </c>
      <c r="B6796" s="139" t="s">
        <v>702</v>
      </c>
      <c r="C6796" s="139" t="s">
        <v>123</v>
      </c>
      <c r="D6796" s="139" t="s">
        <v>15901</v>
      </c>
    </row>
    <row r="6797" spans="1:4" x14ac:dyDescent="0.25">
      <c r="A6797" s="139" t="s">
        <v>15902</v>
      </c>
      <c r="B6797" s="139" t="s">
        <v>4073</v>
      </c>
      <c r="C6797" s="139" t="s">
        <v>123</v>
      </c>
      <c r="D6797" s="139" t="s">
        <v>15903</v>
      </c>
    </row>
    <row r="6798" spans="1:4" x14ac:dyDescent="0.25">
      <c r="A6798" s="139" t="s">
        <v>15904</v>
      </c>
      <c r="B6798" s="139" t="s">
        <v>15905</v>
      </c>
      <c r="C6798" s="139" t="s">
        <v>123</v>
      </c>
      <c r="D6798" s="139" t="s">
        <v>15906</v>
      </c>
    </row>
    <row r="6799" spans="1:4" x14ac:dyDescent="0.25">
      <c r="A6799" s="139" t="s">
        <v>15907</v>
      </c>
      <c r="B6799" s="139" t="s">
        <v>196</v>
      </c>
      <c r="C6799" s="139" t="s">
        <v>123</v>
      </c>
      <c r="D6799" s="139" t="s">
        <v>15908</v>
      </c>
    </row>
    <row r="6800" spans="1:4" x14ac:dyDescent="0.25">
      <c r="A6800" s="139" t="s">
        <v>15909</v>
      </c>
      <c r="B6800" s="139" t="s">
        <v>106</v>
      </c>
      <c r="C6800" s="139" t="s">
        <v>123</v>
      </c>
      <c r="D6800" s="139" t="s">
        <v>15910</v>
      </c>
    </row>
    <row r="6801" spans="1:4" x14ac:dyDescent="0.25">
      <c r="A6801" s="139" t="s">
        <v>15911</v>
      </c>
      <c r="B6801" s="139" t="s">
        <v>15912</v>
      </c>
      <c r="C6801" s="139" t="s">
        <v>65</v>
      </c>
      <c r="D6801" s="139" t="s">
        <v>15913</v>
      </c>
    </row>
    <row r="6802" spans="1:4" x14ac:dyDescent="0.25">
      <c r="A6802" s="139" t="s">
        <v>15914</v>
      </c>
      <c r="B6802" s="139" t="s">
        <v>11716</v>
      </c>
      <c r="C6802" s="139" t="s">
        <v>65</v>
      </c>
      <c r="D6802" s="139" t="s">
        <v>15915</v>
      </c>
    </row>
    <row r="6803" spans="1:4" x14ac:dyDescent="0.25">
      <c r="A6803" s="139" t="s">
        <v>15916</v>
      </c>
      <c r="B6803" s="139" t="s">
        <v>9916</v>
      </c>
      <c r="C6803" s="139" t="s">
        <v>65</v>
      </c>
      <c r="D6803" s="139" t="s">
        <v>15917</v>
      </c>
    </row>
    <row r="6804" spans="1:4" x14ac:dyDescent="0.25">
      <c r="A6804" s="139" t="s">
        <v>15918</v>
      </c>
      <c r="B6804" s="139" t="s">
        <v>1039</v>
      </c>
      <c r="C6804" s="139" t="s">
        <v>65</v>
      </c>
      <c r="D6804" s="139" t="s">
        <v>15919</v>
      </c>
    </row>
    <row r="6805" spans="1:4" x14ac:dyDescent="0.25">
      <c r="A6805" s="139" t="s">
        <v>15920</v>
      </c>
      <c r="B6805" s="139" t="s">
        <v>137</v>
      </c>
      <c r="C6805" s="139" t="s">
        <v>65</v>
      </c>
      <c r="D6805" s="139" t="s">
        <v>15921</v>
      </c>
    </row>
    <row r="6806" spans="1:4" x14ac:dyDescent="0.25">
      <c r="A6806" s="139" t="s">
        <v>15922</v>
      </c>
      <c r="B6806" s="139" t="s">
        <v>663</v>
      </c>
      <c r="C6806" s="139" t="s">
        <v>65</v>
      </c>
      <c r="D6806" s="139" t="s">
        <v>15923</v>
      </c>
    </row>
    <row r="6807" spans="1:4" x14ac:dyDescent="0.25">
      <c r="A6807" s="139" t="s">
        <v>15924</v>
      </c>
      <c r="B6807" s="139" t="s">
        <v>5613</v>
      </c>
      <c r="C6807" s="139" t="s">
        <v>65</v>
      </c>
      <c r="D6807" s="139" t="s">
        <v>15925</v>
      </c>
    </row>
    <row r="6808" spans="1:4" x14ac:dyDescent="0.25">
      <c r="A6808" s="139" t="s">
        <v>15926</v>
      </c>
      <c r="B6808" s="139" t="s">
        <v>5622</v>
      </c>
      <c r="C6808" s="139" t="s">
        <v>65</v>
      </c>
      <c r="D6808" s="139" t="s">
        <v>15927</v>
      </c>
    </row>
    <row r="6809" spans="1:4" x14ac:dyDescent="0.25">
      <c r="A6809" s="139" t="s">
        <v>15928</v>
      </c>
      <c r="B6809" s="139" t="s">
        <v>2328</v>
      </c>
      <c r="C6809" s="139" t="s">
        <v>65</v>
      </c>
      <c r="D6809" s="139" t="s">
        <v>15929</v>
      </c>
    </row>
    <row r="6810" spans="1:4" x14ac:dyDescent="0.25">
      <c r="A6810" s="139" t="s">
        <v>15930</v>
      </c>
      <c r="B6810" s="139" t="s">
        <v>5631</v>
      </c>
      <c r="C6810" s="139" t="s">
        <v>65</v>
      </c>
      <c r="D6810" s="139" t="s">
        <v>15931</v>
      </c>
    </row>
    <row r="6811" spans="1:4" x14ac:dyDescent="0.25">
      <c r="A6811" s="139" t="s">
        <v>15932</v>
      </c>
      <c r="B6811" s="139" t="s">
        <v>15933</v>
      </c>
      <c r="C6811" s="139" t="s">
        <v>44</v>
      </c>
      <c r="D6811" s="139" t="s">
        <v>15934</v>
      </c>
    </row>
    <row r="6812" spans="1:4" x14ac:dyDescent="0.25">
      <c r="A6812" s="139" t="s">
        <v>15935</v>
      </c>
      <c r="B6812" s="139" t="s">
        <v>15936</v>
      </c>
      <c r="C6812" s="139" t="s">
        <v>44</v>
      </c>
      <c r="D6812" s="139" t="s">
        <v>15937</v>
      </c>
    </row>
    <row r="6813" spans="1:4" x14ac:dyDescent="0.25">
      <c r="A6813" s="139" t="s">
        <v>15938</v>
      </c>
      <c r="B6813" s="139" t="s">
        <v>4912</v>
      </c>
      <c r="C6813" s="139" t="s">
        <v>4913</v>
      </c>
      <c r="D6813" s="139" t="s">
        <v>15939</v>
      </c>
    </row>
    <row r="6814" spans="1:4" x14ac:dyDescent="0.25">
      <c r="A6814" s="139" t="s">
        <v>15940</v>
      </c>
      <c r="B6814" s="139" t="s">
        <v>904</v>
      </c>
      <c r="C6814" s="139" t="s">
        <v>658</v>
      </c>
      <c r="D6814" s="139" t="s">
        <v>15941</v>
      </c>
    </row>
    <row r="6815" spans="1:4" x14ac:dyDescent="0.25">
      <c r="A6815" s="139" t="s">
        <v>15942</v>
      </c>
      <c r="B6815" s="139" t="s">
        <v>15943</v>
      </c>
      <c r="C6815" s="139" t="s">
        <v>658</v>
      </c>
      <c r="D6815" s="139" t="s">
        <v>15944</v>
      </c>
    </row>
    <row r="6816" spans="1:4" x14ac:dyDescent="0.25">
      <c r="A6816" s="139" t="s">
        <v>15945</v>
      </c>
      <c r="B6816" s="139" t="s">
        <v>3383</v>
      </c>
      <c r="C6816" s="139" t="s">
        <v>658</v>
      </c>
      <c r="D6816" s="139" t="s">
        <v>15946</v>
      </c>
    </row>
    <row r="6817" spans="1:4" x14ac:dyDescent="0.25">
      <c r="A6817" s="139" t="s">
        <v>15947</v>
      </c>
      <c r="B6817" s="139" t="s">
        <v>1469</v>
      </c>
      <c r="C6817" s="139" t="s">
        <v>1683</v>
      </c>
      <c r="D6817" s="139" t="s">
        <v>15948</v>
      </c>
    </row>
    <row r="6818" spans="1:4" x14ac:dyDescent="0.25">
      <c r="A6818" s="139" t="s">
        <v>15949</v>
      </c>
      <c r="B6818" s="139" t="s">
        <v>1271</v>
      </c>
      <c r="C6818" s="139" t="s">
        <v>5475</v>
      </c>
      <c r="D6818" s="139" t="s">
        <v>15950</v>
      </c>
    </row>
    <row r="6819" spans="1:4" x14ac:dyDescent="0.25">
      <c r="A6819" s="139" t="s">
        <v>15951</v>
      </c>
      <c r="B6819" s="139" t="s">
        <v>4156</v>
      </c>
      <c r="C6819" s="139" t="s">
        <v>33</v>
      </c>
      <c r="D6819" s="139" t="s">
        <v>15952</v>
      </c>
    </row>
    <row r="6820" spans="1:4" x14ac:dyDescent="0.25">
      <c r="A6820" s="139" t="s">
        <v>15953</v>
      </c>
      <c r="B6820" s="139" t="s">
        <v>4695</v>
      </c>
      <c r="C6820" s="139" t="s">
        <v>112</v>
      </c>
      <c r="D6820" s="139" t="s">
        <v>15954</v>
      </c>
    </row>
    <row r="6821" spans="1:4" x14ac:dyDescent="0.25">
      <c r="A6821" s="139" t="s">
        <v>15955</v>
      </c>
      <c r="B6821" s="139" t="s">
        <v>2475</v>
      </c>
      <c r="C6821" s="139" t="s">
        <v>65</v>
      </c>
      <c r="D6821" s="139" t="s">
        <v>15956</v>
      </c>
    </row>
    <row r="6822" spans="1:4" x14ac:dyDescent="0.25">
      <c r="A6822" s="139" t="s">
        <v>15957</v>
      </c>
      <c r="B6822" s="139" t="s">
        <v>1199</v>
      </c>
      <c r="C6822" s="139" t="s">
        <v>658</v>
      </c>
      <c r="D6822" s="139" t="s">
        <v>15958</v>
      </c>
    </row>
    <row r="6823" spans="1:4" x14ac:dyDescent="0.25">
      <c r="A6823" s="139" t="s">
        <v>15959</v>
      </c>
      <c r="B6823" s="139" t="s">
        <v>15841</v>
      </c>
      <c r="C6823" s="139" t="s">
        <v>112</v>
      </c>
      <c r="D6823" s="139" t="s">
        <v>15960</v>
      </c>
    </row>
    <row r="6824" spans="1:4" x14ac:dyDescent="0.25">
      <c r="A6824" s="139" t="s">
        <v>15961</v>
      </c>
      <c r="B6824" s="139" t="s">
        <v>15844</v>
      </c>
      <c r="C6824" s="139" t="s">
        <v>112</v>
      </c>
      <c r="D6824" s="139" t="s">
        <v>15962</v>
      </c>
    </row>
    <row r="6825" spans="1:4" x14ac:dyDescent="0.25">
      <c r="A6825" s="139" t="s">
        <v>15963</v>
      </c>
      <c r="B6825" s="139" t="s">
        <v>15847</v>
      </c>
      <c r="C6825" s="139" t="s">
        <v>112</v>
      </c>
      <c r="D6825" s="139" t="s">
        <v>15964</v>
      </c>
    </row>
    <row r="6826" spans="1:4" x14ac:dyDescent="0.25">
      <c r="A6826" s="139" t="s">
        <v>15965</v>
      </c>
      <c r="B6826" s="139" t="s">
        <v>15850</v>
      </c>
      <c r="C6826" s="139" t="s">
        <v>112</v>
      </c>
      <c r="D6826" s="139" t="s">
        <v>15966</v>
      </c>
    </row>
    <row r="6827" spans="1:4" x14ac:dyDescent="0.25">
      <c r="A6827" s="139" t="s">
        <v>15967</v>
      </c>
      <c r="B6827" s="139" t="s">
        <v>15853</v>
      </c>
      <c r="C6827" s="139" t="s">
        <v>112</v>
      </c>
      <c r="D6827" s="139" t="s">
        <v>15968</v>
      </c>
    </row>
    <row r="6828" spans="1:4" x14ac:dyDescent="0.25">
      <c r="A6828" s="139" t="s">
        <v>15969</v>
      </c>
      <c r="B6828" s="139" t="s">
        <v>15856</v>
      </c>
      <c r="C6828" s="139" t="s">
        <v>112</v>
      </c>
      <c r="D6828" s="139" t="s">
        <v>15970</v>
      </c>
    </row>
    <row r="6829" spans="1:4" x14ac:dyDescent="0.25">
      <c r="A6829" s="139" t="s">
        <v>15971</v>
      </c>
      <c r="B6829" s="139" t="s">
        <v>5411</v>
      </c>
      <c r="C6829" s="139" t="s">
        <v>112</v>
      </c>
      <c r="D6829" s="139" t="s">
        <v>15972</v>
      </c>
    </row>
    <row r="6830" spans="1:4" x14ac:dyDescent="0.25">
      <c r="A6830" s="139" t="s">
        <v>15973</v>
      </c>
      <c r="B6830" s="139" t="s">
        <v>15861</v>
      </c>
      <c r="C6830" s="139" t="s">
        <v>112</v>
      </c>
      <c r="D6830" s="139" t="s">
        <v>15974</v>
      </c>
    </row>
    <row r="6831" spans="1:4" x14ac:dyDescent="0.25">
      <c r="A6831" s="139" t="s">
        <v>15975</v>
      </c>
      <c r="B6831" s="139" t="s">
        <v>4558</v>
      </c>
      <c r="C6831" s="139" t="s">
        <v>112</v>
      </c>
      <c r="D6831" s="139" t="s">
        <v>15976</v>
      </c>
    </row>
    <row r="6832" spans="1:4" x14ac:dyDescent="0.25">
      <c r="A6832" s="139" t="s">
        <v>15977</v>
      </c>
      <c r="B6832" s="139" t="s">
        <v>15869</v>
      </c>
      <c r="C6832" s="139" t="s">
        <v>112</v>
      </c>
      <c r="D6832" s="139" t="s">
        <v>15978</v>
      </c>
    </row>
    <row r="6833" spans="1:4" x14ac:dyDescent="0.25">
      <c r="A6833" s="139" t="s">
        <v>15979</v>
      </c>
      <c r="B6833" s="139" t="s">
        <v>12620</v>
      </c>
      <c r="C6833" s="139" t="s">
        <v>112</v>
      </c>
      <c r="D6833" s="139" t="s">
        <v>15980</v>
      </c>
    </row>
    <row r="6834" spans="1:4" x14ac:dyDescent="0.25">
      <c r="A6834" s="139" t="s">
        <v>15981</v>
      </c>
      <c r="B6834" s="139" t="s">
        <v>15874</v>
      </c>
      <c r="C6834" s="139" t="s">
        <v>112</v>
      </c>
      <c r="D6834" s="139" t="s">
        <v>15982</v>
      </c>
    </row>
    <row r="6835" spans="1:4" x14ac:dyDescent="0.25">
      <c r="A6835" s="139" t="s">
        <v>15983</v>
      </c>
      <c r="B6835" s="139" t="s">
        <v>7312</v>
      </c>
      <c r="C6835" s="139" t="s">
        <v>112</v>
      </c>
      <c r="D6835" s="139" t="s">
        <v>15984</v>
      </c>
    </row>
    <row r="6836" spans="1:4" x14ac:dyDescent="0.25">
      <c r="A6836" s="139" t="s">
        <v>15985</v>
      </c>
      <c r="B6836" s="139" t="s">
        <v>422</v>
      </c>
      <c r="C6836" s="139" t="s">
        <v>123</v>
      </c>
      <c r="D6836" s="139" t="s">
        <v>15986</v>
      </c>
    </row>
    <row r="6837" spans="1:4" x14ac:dyDescent="0.25">
      <c r="A6837" s="139" t="s">
        <v>15987</v>
      </c>
      <c r="B6837" s="139" t="s">
        <v>335</v>
      </c>
      <c r="C6837" s="139" t="s">
        <v>123</v>
      </c>
      <c r="D6837" s="139" t="s">
        <v>15988</v>
      </c>
    </row>
    <row r="6838" spans="1:4" x14ac:dyDescent="0.25">
      <c r="A6838" s="139" t="s">
        <v>15989</v>
      </c>
      <c r="B6838" s="139" t="s">
        <v>15883</v>
      </c>
      <c r="C6838" s="139" t="s">
        <v>123</v>
      </c>
      <c r="D6838" s="139" t="s">
        <v>15990</v>
      </c>
    </row>
    <row r="6839" spans="1:4" x14ac:dyDescent="0.25">
      <c r="A6839" s="139" t="s">
        <v>15991</v>
      </c>
      <c r="B6839" s="139" t="s">
        <v>4095</v>
      </c>
      <c r="C6839" s="139" t="s">
        <v>123</v>
      </c>
      <c r="D6839" s="139" t="s">
        <v>15992</v>
      </c>
    </row>
    <row r="6840" spans="1:4" x14ac:dyDescent="0.25">
      <c r="A6840" s="139" t="s">
        <v>15993</v>
      </c>
      <c r="B6840" s="139" t="s">
        <v>4086</v>
      </c>
      <c r="C6840" s="139" t="s">
        <v>123</v>
      </c>
      <c r="D6840" s="139" t="s">
        <v>15994</v>
      </c>
    </row>
    <row r="6841" spans="1:4" x14ac:dyDescent="0.25">
      <c r="A6841" s="139" t="s">
        <v>15995</v>
      </c>
      <c r="B6841" s="139" t="s">
        <v>4044</v>
      </c>
      <c r="C6841" s="139" t="s">
        <v>123</v>
      </c>
      <c r="D6841" s="139" t="s">
        <v>15996</v>
      </c>
    </row>
    <row r="6842" spans="1:4" x14ac:dyDescent="0.25">
      <c r="A6842" s="139" t="s">
        <v>15997</v>
      </c>
      <c r="B6842" s="139" t="s">
        <v>248</v>
      </c>
      <c r="C6842" s="139" t="s">
        <v>123</v>
      </c>
      <c r="D6842" s="139" t="s">
        <v>15998</v>
      </c>
    </row>
    <row r="6843" spans="1:4" x14ac:dyDescent="0.25">
      <c r="A6843" s="139" t="s">
        <v>15999</v>
      </c>
      <c r="B6843" s="139" t="s">
        <v>15894</v>
      </c>
      <c r="C6843" s="139" t="s">
        <v>123</v>
      </c>
      <c r="D6843" s="139" t="s">
        <v>16000</v>
      </c>
    </row>
    <row r="6844" spans="1:4" x14ac:dyDescent="0.25">
      <c r="A6844" s="139" t="s">
        <v>16001</v>
      </c>
      <c r="B6844" s="139" t="s">
        <v>206</v>
      </c>
      <c r="C6844" s="139" t="s">
        <v>123</v>
      </c>
      <c r="D6844" s="139" t="s">
        <v>16002</v>
      </c>
    </row>
    <row r="6845" spans="1:4" x14ac:dyDescent="0.25">
      <c r="A6845" s="139" t="s">
        <v>16003</v>
      </c>
      <c r="B6845" s="139" t="s">
        <v>201</v>
      </c>
      <c r="C6845" s="139" t="s">
        <v>123</v>
      </c>
      <c r="D6845" s="139" t="s">
        <v>16004</v>
      </c>
    </row>
    <row r="6846" spans="1:4" x14ac:dyDescent="0.25">
      <c r="A6846" s="139" t="s">
        <v>16005</v>
      </c>
      <c r="B6846" s="139" t="s">
        <v>702</v>
      </c>
      <c r="C6846" s="139" t="s">
        <v>123</v>
      </c>
      <c r="D6846" s="139" t="s">
        <v>16006</v>
      </c>
    </row>
    <row r="6847" spans="1:4" x14ac:dyDescent="0.25">
      <c r="A6847" s="139" t="s">
        <v>16007</v>
      </c>
      <c r="B6847" s="139" t="s">
        <v>4073</v>
      </c>
      <c r="C6847" s="139" t="s">
        <v>123</v>
      </c>
      <c r="D6847" s="139" t="s">
        <v>16008</v>
      </c>
    </row>
    <row r="6848" spans="1:4" x14ac:dyDescent="0.25">
      <c r="A6848" s="139" t="s">
        <v>16009</v>
      </c>
      <c r="B6848" s="139" t="s">
        <v>15912</v>
      </c>
      <c r="C6848" s="139" t="s">
        <v>65</v>
      </c>
      <c r="D6848" s="139" t="s">
        <v>16010</v>
      </c>
    </row>
    <row r="6849" spans="1:4" x14ac:dyDescent="0.25">
      <c r="A6849" s="139" t="s">
        <v>16011</v>
      </c>
      <c r="B6849" s="139" t="s">
        <v>11716</v>
      </c>
      <c r="C6849" s="139" t="s">
        <v>65</v>
      </c>
      <c r="D6849" s="139" t="s">
        <v>16012</v>
      </c>
    </row>
    <row r="6850" spans="1:4" x14ac:dyDescent="0.25">
      <c r="A6850" s="139" t="s">
        <v>16013</v>
      </c>
      <c r="B6850" s="139" t="s">
        <v>9916</v>
      </c>
      <c r="C6850" s="139" t="s">
        <v>65</v>
      </c>
      <c r="D6850" s="139" t="s">
        <v>16014</v>
      </c>
    </row>
    <row r="6851" spans="1:4" x14ac:dyDescent="0.25">
      <c r="A6851" s="139" t="s">
        <v>16015</v>
      </c>
      <c r="B6851" s="139" t="s">
        <v>1039</v>
      </c>
      <c r="C6851" s="139" t="s">
        <v>65</v>
      </c>
      <c r="D6851" s="139" t="s">
        <v>16016</v>
      </c>
    </row>
    <row r="6852" spans="1:4" x14ac:dyDescent="0.25">
      <c r="A6852" s="139" t="s">
        <v>16017</v>
      </c>
      <c r="B6852" s="139" t="s">
        <v>137</v>
      </c>
      <c r="C6852" s="139" t="s">
        <v>65</v>
      </c>
      <c r="D6852" s="139" t="s">
        <v>16018</v>
      </c>
    </row>
    <row r="6853" spans="1:4" x14ac:dyDescent="0.25">
      <c r="A6853" s="139" t="s">
        <v>16019</v>
      </c>
      <c r="B6853" s="139" t="s">
        <v>663</v>
      </c>
      <c r="C6853" s="139" t="s">
        <v>65</v>
      </c>
      <c r="D6853" s="139" t="s">
        <v>16020</v>
      </c>
    </row>
    <row r="6854" spans="1:4" x14ac:dyDescent="0.25">
      <c r="A6854" s="139" t="s">
        <v>16021</v>
      </c>
      <c r="B6854" s="139" t="s">
        <v>5613</v>
      </c>
      <c r="C6854" s="139" t="s">
        <v>65</v>
      </c>
      <c r="D6854" s="139" t="s">
        <v>16022</v>
      </c>
    </row>
    <row r="6855" spans="1:4" x14ac:dyDescent="0.25">
      <c r="A6855" s="139" t="s">
        <v>16023</v>
      </c>
      <c r="B6855" s="139" t="s">
        <v>5622</v>
      </c>
      <c r="C6855" s="139" t="s">
        <v>65</v>
      </c>
      <c r="D6855" s="139" t="s">
        <v>16024</v>
      </c>
    </row>
    <row r="6856" spans="1:4" x14ac:dyDescent="0.25">
      <c r="A6856" s="139" t="s">
        <v>16025</v>
      </c>
      <c r="B6856" s="139" t="s">
        <v>2328</v>
      </c>
      <c r="C6856" s="139" t="s">
        <v>65</v>
      </c>
      <c r="D6856" s="139" t="s">
        <v>16026</v>
      </c>
    </row>
    <row r="6857" spans="1:4" x14ac:dyDescent="0.25">
      <c r="A6857" s="139" t="s">
        <v>16027</v>
      </c>
      <c r="B6857" s="139" t="s">
        <v>5631</v>
      </c>
      <c r="C6857" s="139" t="s">
        <v>65</v>
      </c>
      <c r="D6857" s="139" t="s">
        <v>16028</v>
      </c>
    </row>
    <row r="6858" spans="1:4" x14ac:dyDescent="0.25">
      <c r="A6858" s="139" t="s">
        <v>16029</v>
      </c>
      <c r="B6858" s="139" t="s">
        <v>15933</v>
      </c>
      <c r="C6858" s="139" t="s">
        <v>44</v>
      </c>
      <c r="D6858" s="139" t="s">
        <v>16030</v>
      </c>
    </row>
    <row r="6859" spans="1:4" x14ac:dyDescent="0.25">
      <c r="A6859" s="139" t="s">
        <v>16031</v>
      </c>
      <c r="B6859" s="139" t="s">
        <v>15936</v>
      </c>
      <c r="C6859" s="139" t="s">
        <v>44</v>
      </c>
      <c r="D6859" s="139" t="s">
        <v>16032</v>
      </c>
    </row>
    <row r="6860" spans="1:4" x14ac:dyDescent="0.25">
      <c r="A6860" s="139" t="s">
        <v>16033</v>
      </c>
      <c r="B6860" s="139" t="s">
        <v>4912</v>
      </c>
      <c r="C6860" s="139" t="s">
        <v>4913</v>
      </c>
      <c r="D6860" s="139" t="s">
        <v>16034</v>
      </c>
    </row>
    <row r="6861" spans="1:4" x14ac:dyDescent="0.25">
      <c r="A6861" s="139" t="s">
        <v>16035</v>
      </c>
      <c r="B6861" s="139" t="s">
        <v>904</v>
      </c>
      <c r="C6861" s="139" t="s">
        <v>658</v>
      </c>
      <c r="D6861" s="139" t="s">
        <v>16036</v>
      </c>
    </row>
    <row r="6862" spans="1:4" x14ac:dyDescent="0.25">
      <c r="A6862" s="139" t="s">
        <v>16037</v>
      </c>
      <c r="B6862" s="139" t="s">
        <v>15943</v>
      </c>
      <c r="C6862" s="139" t="s">
        <v>658</v>
      </c>
      <c r="D6862" s="139" t="s">
        <v>16038</v>
      </c>
    </row>
    <row r="6863" spans="1:4" x14ac:dyDescent="0.25">
      <c r="A6863" s="139" t="s">
        <v>16039</v>
      </c>
      <c r="B6863" s="139" t="s">
        <v>3383</v>
      </c>
      <c r="C6863" s="139" t="s">
        <v>658</v>
      </c>
      <c r="D6863" s="139" t="s">
        <v>16040</v>
      </c>
    </row>
    <row r="6864" spans="1:4" x14ac:dyDescent="0.25">
      <c r="A6864" s="139" t="s">
        <v>16041</v>
      </c>
      <c r="B6864" s="139" t="s">
        <v>1469</v>
      </c>
      <c r="C6864" s="139" t="s">
        <v>1683</v>
      </c>
      <c r="D6864" s="139" t="s">
        <v>16042</v>
      </c>
    </row>
    <row r="6865" spans="1:4" x14ac:dyDescent="0.25">
      <c r="A6865" s="139" t="s">
        <v>16043</v>
      </c>
      <c r="B6865" s="139" t="s">
        <v>1271</v>
      </c>
      <c r="C6865" s="139" t="s">
        <v>5475</v>
      </c>
      <c r="D6865" s="139" t="s">
        <v>16044</v>
      </c>
    </row>
    <row r="6866" spans="1:4" x14ac:dyDescent="0.25">
      <c r="A6866" s="139" t="s">
        <v>16045</v>
      </c>
      <c r="B6866" s="139" t="s">
        <v>15838</v>
      </c>
      <c r="C6866" s="139" t="s">
        <v>112</v>
      </c>
      <c r="D6866" s="139" t="s">
        <v>16046</v>
      </c>
    </row>
    <row r="6867" spans="1:4" x14ac:dyDescent="0.25">
      <c r="A6867" s="139" t="s">
        <v>16047</v>
      </c>
      <c r="B6867" s="139" t="s">
        <v>15866</v>
      </c>
      <c r="C6867" s="139" t="s">
        <v>112</v>
      </c>
      <c r="D6867" s="139" t="s">
        <v>16048</v>
      </c>
    </row>
    <row r="6868" spans="1:4" x14ac:dyDescent="0.25">
      <c r="A6868" s="139" t="s">
        <v>16049</v>
      </c>
      <c r="B6868" s="139" t="s">
        <v>3310</v>
      </c>
      <c r="C6868" s="139" t="s">
        <v>65</v>
      </c>
      <c r="D6868" s="139" t="s">
        <v>16050</v>
      </c>
    </row>
    <row r="6869" spans="1:4" x14ac:dyDescent="0.25">
      <c r="A6869" s="139" t="s">
        <v>16051</v>
      </c>
      <c r="B6869" s="139" t="s">
        <v>5845</v>
      </c>
      <c r="C6869" s="139" t="s">
        <v>65</v>
      </c>
      <c r="D6869" s="139" t="s">
        <v>16052</v>
      </c>
    </row>
    <row r="6870" spans="1:4" x14ac:dyDescent="0.25">
      <c r="A6870" s="139" t="s">
        <v>16053</v>
      </c>
      <c r="B6870" s="139" t="s">
        <v>5089</v>
      </c>
      <c r="C6870" s="139" t="s">
        <v>65</v>
      </c>
      <c r="D6870" s="139" t="s">
        <v>16054</v>
      </c>
    </row>
    <row r="6871" spans="1:4" x14ac:dyDescent="0.25">
      <c r="A6871" s="139" t="s">
        <v>16055</v>
      </c>
      <c r="B6871" s="139" t="s">
        <v>15766</v>
      </c>
      <c r="C6871" s="139" t="s">
        <v>65</v>
      </c>
      <c r="D6871" s="139" t="s">
        <v>16056</v>
      </c>
    </row>
    <row r="6872" spans="1:4" x14ac:dyDescent="0.25">
      <c r="A6872" s="139" t="s">
        <v>16057</v>
      </c>
      <c r="B6872" s="139" t="s">
        <v>904</v>
      </c>
      <c r="C6872" s="139" t="s">
        <v>65</v>
      </c>
      <c r="D6872" s="139" t="s">
        <v>16058</v>
      </c>
    </row>
    <row r="6873" spans="1:4" x14ac:dyDescent="0.25">
      <c r="A6873" s="139" t="s">
        <v>16059</v>
      </c>
      <c r="B6873" s="139" t="s">
        <v>5783</v>
      </c>
      <c r="C6873" s="139" t="s">
        <v>65</v>
      </c>
      <c r="D6873" s="139" t="s">
        <v>16060</v>
      </c>
    </row>
    <row r="6874" spans="1:4" x14ac:dyDescent="0.25">
      <c r="A6874" s="139" t="s">
        <v>16061</v>
      </c>
      <c r="B6874" s="139" t="s">
        <v>15773</v>
      </c>
      <c r="C6874" s="139" t="s">
        <v>658</v>
      </c>
      <c r="D6874" s="139" t="s">
        <v>16062</v>
      </c>
    </row>
    <row r="6875" spans="1:4" x14ac:dyDescent="0.25">
      <c r="A6875" s="139" t="s">
        <v>16063</v>
      </c>
      <c r="B6875" s="139" t="s">
        <v>7056</v>
      </c>
      <c r="C6875" s="139" t="s">
        <v>112</v>
      </c>
      <c r="D6875" s="139" t="s">
        <v>16064</v>
      </c>
    </row>
    <row r="6876" spans="1:4" x14ac:dyDescent="0.25">
      <c r="A6876" s="139" t="s">
        <v>16065</v>
      </c>
      <c r="B6876" s="139" t="s">
        <v>7288</v>
      </c>
      <c r="C6876" s="139" t="s">
        <v>112</v>
      </c>
      <c r="D6876" s="139" t="s">
        <v>16066</v>
      </c>
    </row>
    <row r="6877" spans="1:4" x14ac:dyDescent="0.25">
      <c r="A6877" s="139" t="s">
        <v>16067</v>
      </c>
      <c r="B6877" s="139" t="s">
        <v>4665</v>
      </c>
      <c r="C6877" s="139" t="s">
        <v>112</v>
      </c>
      <c r="D6877" s="139" t="s">
        <v>16068</v>
      </c>
    </row>
    <row r="6878" spans="1:4" x14ac:dyDescent="0.25">
      <c r="A6878" s="139" t="s">
        <v>16069</v>
      </c>
      <c r="B6878" s="139" t="s">
        <v>7307</v>
      </c>
      <c r="C6878" s="139" t="s">
        <v>112</v>
      </c>
      <c r="D6878" s="139" t="s">
        <v>16070</v>
      </c>
    </row>
    <row r="6879" spans="1:4" x14ac:dyDescent="0.25">
      <c r="A6879" s="139" t="s">
        <v>16071</v>
      </c>
      <c r="B6879" s="139" t="s">
        <v>5990</v>
      </c>
      <c r="C6879" s="139" t="s">
        <v>112</v>
      </c>
      <c r="D6879" s="139" t="s">
        <v>16072</v>
      </c>
    </row>
    <row r="6880" spans="1:4" x14ac:dyDescent="0.25">
      <c r="A6880" s="139" t="s">
        <v>16073</v>
      </c>
      <c r="B6880" s="139" t="s">
        <v>340</v>
      </c>
      <c r="C6880" s="139" t="s">
        <v>127</v>
      </c>
      <c r="D6880" s="139" t="s">
        <v>16074</v>
      </c>
    </row>
    <row r="6881" spans="1:4" x14ac:dyDescent="0.25">
      <c r="A6881" s="139" t="s">
        <v>16075</v>
      </c>
      <c r="B6881" s="139" t="s">
        <v>4597</v>
      </c>
      <c r="C6881" s="139" t="s">
        <v>33</v>
      </c>
      <c r="D6881" s="139" t="s">
        <v>16076</v>
      </c>
    </row>
    <row r="6882" spans="1:4" x14ac:dyDescent="0.25">
      <c r="A6882" s="139" t="s">
        <v>16077</v>
      </c>
      <c r="B6882" s="139" t="s">
        <v>12324</v>
      </c>
      <c r="C6882" s="139" t="s">
        <v>33</v>
      </c>
      <c r="D6882" s="139" t="s">
        <v>16078</v>
      </c>
    </row>
    <row r="6883" spans="1:4" x14ac:dyDescent="0.25">
      <c r="A6883" s="139" t="s">
        <v>16079</v>
      </c>
      <c r="B6883" s="139" t="s">
        <v>8855</v>
      </c>
      <c r="C6883" s="139" t="s">
        <v>33</v>
      </c>
      <c r="D6883" s="139" t="s">
        <v>16080</v>
      </c>
    </row>
    <row r="6884" spans="1:4" x14ac:dyDescent="0.25">
      <c r="A6884" s="139" t="s">
        <v>16081</v>
      </c>
      <c r="B6884" s="139" t="s">
        <v>7273</v>
      </c>
      <c r="C6884" s="139" t="s">
        <v>112</v>
      </c>
      <c r="D6884" s="139" t="s">
        <v>16082</v>
      </c>
    </row>
    <row r="6885" spans="1:4" x14ac:dyDescent="0.25">
      <c r="A6885" s="139" t="s">
        <v>16083</v>
      </c>
      <c r="B6885" s="139" t="s">
        <v>4875</v>
      </c>
      <c r="C6885" s="139" t="s">
        <v>2895</v>
      </c>
      <c r="D6885" s="139" t="s">
        <v>16084</v>
      </c>
    </row>
    <row r="6886" spans="1:4" x14ac:dyDescent="0.25">
      <c r="A6886" s="139" t="s">
        <v>16085</v>
      </c>
      <c r="B6886" s="139" t="s">
        <v>994</v>
      </c>
      <c r="C6886" s="139" t="s">
        <v>2895</v>
      </c>
      <c r="D6886" s="139" t="s">
        <v>16086</v>
      </c>
    </row>
    <row r="6887" spans="1:4" x14ac:dyDescent="0.25">
      <c r="A6887" s="139" t="s">
        <v>16087</v>
      </c>
      <c r="B6887" s="139" t="s">
        <v>4442</v>
      </c>
      <c r="C6887" s="139" t="s">
        <v>2895</v>
      </c>
      <c r="D6887" s="139" t="s">
        <v>16088</v>
      </c>
    </row>
    <row r="6888" spans="1:4" x14ac:dyDescent="0.25">
      <c r="A6888" s="139" t="s">
        <v>16089</v>
      </c>
      <c r="B6888" s="139" t="s">
        <v>989</v>
      </c>
      <c r="C6888" s="139" t="s">
        <v>2895</v>
      </c>
      <c r="D6888" s="139" t="s">
        <v>16090</v>
      </c>
    </row>
    <row r="6889" spans="1:4" x14ac:dyDescent="0.25">
      <c r="A6889" s="139" t="s">
        <v>16091</v>
      </c>
      <c r="B6889" s="139" t="s">
        <v>6118</v>
      </c>
      <c r="C6889" s="139" t="s">
        <v>65</v>
      </c>
      <c r="D6889" s="139" t="s">
        <v>16092</v>
      </c>
    </row>
    <row r="6890" spans="1:4" x14ac:dyDescent="0.25">
      <c r="A6890" s="139" t="s">
        <v>16093</v>
      </c>
      <c r="B6890" s="139" t="s">
        <v>9890</v>
      </c>
      <c r="C6890" s="139" t="s">
        <v>65</v>
      </c>
      <c r="D6890" s="139" t="s">
        <v>16094</v>
      </c>
    </row>
    <row r="6891" spans="1:4" x14ac:dyDescent="0.25">
      <c r="A6891" s="139" t="s">
        <v>16095</v>
      </c>
      <c r="B6891" s="139" t="s">
        <v>1228</v>
      </c>
      <c r="C6891" s="139" t="s">
        <v>65</v>
      </c>
      <c r="D6891" s="139" t="s">
        <v>16096</v>
      </c>
    </row>
    <row r="6892" spans="1:4" x14ac:dyDescent="0.25">
      <c r="A6892" s="139" t="s">
        <v>16097</v>
      </c>
      <c r="B6892" s="139" t="s">
        <v>541</v>
      </c>
      <c r="C6892" s="139" t="s">
        <v>65</v>
      </c>
      <c r="D6892" s="139" t="s">
        <v>16098</v>
      </c>
    </row>
    <row r="6893" spans="1:4" x14ac:dyDescent="0.25">
      <c r="A6893" s="139" t="s">
        <v>16099</v>
      </c>
      <c r="B6893" s="139" t="s">
        <v>570</v>
      </c>
      <c r="C6893" s="139" t="s">
        <v>65</v>
      </c>
      <c r="D6893" s="139" t="s">
        <v>16100</v>
      </c>
    </row>
    <row r="6894" spans="1:4" x14ac:dyDescent="0.25">
      <c r="A6894" s="139" t="s">
        <v>16101</v>
      </c>
      <c r="B6894" s="139" t="s">
        <v>8899</v>
      </c>
      <c r="C6894" s="139" t="s">
        <v>65</v>
      </c>
      <c r="D6894" s="139" t="s">
        <v>16102</v>
      </c>
    </row>
    <row r="6895" spans="1:4" x14ac:dyDescent="0.25">
      <c r="A6895" s="139" t="s">
        <v>16103</v>
      </c>
      <c r="B6895" s="139" t="s">
        <v>8894</v>
      </c>
      <c r="C6895" s="139" t="s">
        <v>65</v>
      </c>
      <c r="D6895" s="139" t="s">
        <v>16104</v>
      </c>
    </row>
    <row r="6896" spans="1:4" x14ac:dyDescent="0.25">
      <c r="A6896" s="139" t="s">
        <v>16105</v>
      </c>
      <c r="B6896" s="139" t="s">
        <v>1320</v>
      </c>
      <c r="C6896" s="139" t="s">
        <v>65</v>
      </c>
      <c r="D6896" s="139" t="s">
        <v>16106</v>
      </c>
    </row>
    <row r="6897" spans="1:4" x14ac:dyDescent="0.25">
      <c r="A6897" s="139" t="s">
        <v>16107</v>
      </c>
      <c r="B6897" s="139" t="s">
        <v>1315</v>
      </c>
      <c r="C6897" s="139" t="s">
        <v>65</v>
      </c>
      <c r="D6897" s="139" t="s">
        <v>16108</v>
      </c>
    </row>
    <row r="6898" spans="1:4" x14ac:dyDescent="0.25">
      <c r="A6898" s="139" t="s">
        <v>16109</v>
      </c>
      <c r="B6898" s="139" t="s">
        <v>229</v>
      </c>
      <c r="C6898" s="139" t="s">
        <v>65</v>
      </c>
      <c r="D6898" s="139" t="s">
        <v>16110</v>
      </c>
    </row>
    <row r="6899" spans="1:4" x14ac:dyDescent="0.25">
      <c r="A6899" s="139" t="s">
        <v>16111</v>
      </c>
      <c r="B6899" s="139" t="s">
        <v>4665</v>
      </c>
      <c r="C6899" s="139" t="s">
        <v>127</v>
      </c>
      <c r="D6899" s="139" t="s">
        <v>16112</v>
      </c>
    </row>
    <row r="6900" spans="1:4" x14ac:dyDescent="0.25">
      <c r="A6900" s="139" t="s">
        <v>16113</v>
      </c>
      <c r="B6900" s="139" t="s">
        <v>15818</v>
      </c>
      <c r="C6900" s="139" t="s">
        <v>127</v>
      </c>
      <c r="D6900" s="139" t="s">
        <v>16114</v>
      </c>
    </row>
    <row r="6901" spans="1:4" x14ac:dyDescent="0.25">
      <c r="A6901" s="139" t="s">
        <v>16115</v>
      </c>
      <c r="B6901" s="139" t="s">
        <v>895</v>
      </c>
      <c r="C6901" s="139" t="s">
        <v>2895</v>
      </c>
      <c r="D6901" s="139" t="s">
        <v>16116</v>
      </c>
    </row>
    <row r="6902" spans="1:4" x14ac:dyDescent="0.25">
      <c r="A6902" s="139" t="s">
        <v>16117</v>
      </c>
      <c r="B6902" s="139" t="s">
        <v>4156</v>
      </c>
      <c r="C6902" s="139" t="s">
        <v>2895</v>
      </c>
      <c r="D6902" s="139" t="s">
        <v>16118</v>
      </c>
    </row>
    <row r="6903" spans="1:4" x14ac:dyDescent="0.25">
      <c r="A6903" s="139" t="s">
        <v>16119</v>
      </c>
      <c r="B6903" s="139" t="s">
        <v>1039</v>
      </c>
      <c r="C6903" s="139" t="s">
        <v>2895</v>
      </c>
      <c r="D6903" s="139" t="s">
        <v>16120</v>
      </c>
    </row>
    <row r="6904" spans="1:4" x14ac:dyDescent="0.25">
      <c r="A6904" s="139" t="s">
        <v>16121</v>
      </c>
      <c r="B6904" s="139" t="s">
        <v>1305</v>
      </c>
      <c r="C6904" s="139" t="s">
        <v>2895</v>
      </c>
      <c r="D6904" s="139" t="s">
        <v>16122</v>
      </c>
    </row>
    <row r="6905" spans="1:4" x14ac:dyDescent="0.25">
      <c r="A6905" s="139" t="s">
        <v>16123</v>
      </c>
      <c r="B6905" s="139" t="s">
        <v>9273</v>
      </c>
      <c r="C6905" s="139" t="s">
        <v>2895</v>
      </c>
      <c r="D6905" s="139" t="s">
        <v>16124</v>
      </c>
    </row>
    <row r="6906" spans="1:4" x14ac:dyDescent="0.25">
      <c r="A6906" s="139" t="s">
        <v>16125</v>
      </c>
      <c r="B6906" s="139" t="s">
        <v>15831</v>
      </c>
      <c r="C6906" s="139" t="s">
        <v>2895</v>
      </c>
      <c r="D6906" s="139" t="s">
        <v>16126</v>
      </c>
    </row>
    <row r="6907" spans="1:4" x14ac:dyDescent="0.25">
      <c r="A6907" s="139" t="s">
        <v>16127</v>
      </c>
      <c r="B6907" s="139" t="s">
        <v>1049</v>
      </c>
      <c r="C6907" s="139" t="s">
        <v>2895</v>
      </c>
      <c r="D6907" s="139" t="s">
        <v>16128</v>
      </c>
    </row>
    <row r="6908" spans="1:4" x14ac:dyDescent="0.25">
      <c r="A6908" s="139" t="s">
        <v>16129</v>
      </c>
      <c r="B6908" s="139" t="s">
        <v>1380</v>
      </c>
      <c r="C6908" s="139" t="s">
        <v>33</v>
      </c>
      <c r="D6908" s="139" t="s">
        <v>16130</v>
      </c>
    </row>
    <row r="6909" spans="1:4" x14ac:dyDescent="0.25">
      <c r="A6909" s="139" t="s">
        <v>16131</v>
      </c>
      <c r="B6909" s="139" t="s">
        <v>4156</v>
      </c>
      <c r="C6909" s="139" t="s">
        <v>33</v>
      </c>
      <c r="D6909" s="139" t="s">
        <v>16132</v>
      </c>
    </row>
    <row r="6910" spans="1:4" x14ac:dyDescent="0.25">
      <c r="A6910" s="139" t="s">
        <v>16133</v>
      </c>
      <c r="B6910" s="139" t="s">
        <v>4695</v>
      </c>
      <c r="C6910" s="139" t="s">
        <v>112</v>
      </c>
      <c r="D6910" s="139" t="s">
        <v>16134</v>
      </c>
    </row>
    <row r="6911" spans="1:4" x14ac:dyDescent="0.25">
      <c r="A6911" s="139" t="s">
        <v>16135</v>
      </c>
      <c r="B6911" s="139" t="s">
        <v>2475</v>
      </c>
      <c r="C6911" s="139" t="s">
        <v>65</v>
      </c>
      <c r="D6911" s="139" t="s">
        <v>16136</v>
      </c>
    </row>
    <row r="6912" spans="1:4" x14ac:dyDescent="0.25">
      <c r="A6912" s="139" t="s">
        <v>16137</v>
      </c>
      <c r="B6912" s="139" t="s">
        <v>1199</v>
      </c>
      <c r="C6912" s="139" t="s">
        <v>658</v>
      </c>
      <c r="D6912" s="139" t="s">
        <v>16138</v>
      </c>
    </row>
    <row r="6913" spans="1:4" x14ac:dyDescent="0.25">
      <c r="A6913" s="139" t="s">
        <v>16139</v>
      </c>
      <c r="B6913" s="139" t="s">
        <v>1039</v>
      </c>
      <c r="C6913" s="139" t="s">
        <v>127</v>
      </c>
      <c r="D6913" s="139" t="s">
        <v>16140</v>
      </c>
    </row>
    <row r="6914" spans="1:4" x14ac:dyDescent="0.25">
      <c r="A6914" s="139" t="s">
        <v>16141</v>
      </c>
      <c r="B6914" s="139" t="s">
        <v>15905</v>
      </c>
      <c r="C6914" s="139" t="s">
        <v>123</v>
      </c>
      <c r="D6914" s="139" t="s">
        <v>16142</v>
      </c>
    </row>
    <row r="6915" spans="1:4" x14ac:dyDescent="0.25">
      <c r="A6915" s="139" t="s">
        <v>16143</v>
      </c>
      <c r="B6915" s="139" t="s">
        <v>196</v>
      </c>
      <c r="C6915" s="139" t="s">
        <v>123</v>
      </c>
      <c r="D6915" s="139" t="s">
        <v>16144</v>
      </c>
    </row>
    <row r="6916" spans="1:4" x14ac:dyDescent="0.25">
      <c r="A6916" s="139" t="s">
        <v>16145</v>
      </c>
      <c r="B6916" s="139" t="s">
        <v>106</v>
      </c>
      <c r="C6916" s="139" t="s">
        <v>123</v>
      </c>
      <c r="D6916" s="139" t="s">
        <v>16146</v>
      </c>
    </row>
    <row r="6917" spans="1:4" x14ac:dyDescent="0.25">
      <c r="A6917" s="139" t="s">
        <v>16147</v>
      </c>
      <c r="B6917" s="139" t="s">
        <v>5705</v>
      </c>
      <c r="C6917" s="139" t="s">
        <v>65</v>
      </c>
      <c r="D6917" s="139" t="s">
        <v>16148</v>
      </c>
    </row>
    <row r="6918" spans="1:4" x14ac:dyDescent="0.25">
      <c r="A6918" s="139" t="s">
        <v>16149</v>
      </c>
      <c r="B6918" s="139" t="s">
        <v>5695</v>
      </c>
      <c r="C6918" s="139" t="s">
        <v>65</v>
      </c>
      <c r="D6918" s="139" t="s">
        <v>16150</v>
      </c>
    </row>
    <row r="6919" spans="1:4" x14ac:dyDescent="0.25">
      <c r="A6919" s="139" t="s">
        <v>16151</v>
      </c>
      <c r="B6919" s="139" t="s">
        <v>16152</v>
      </c>
      <c r="C6919" s="139" t="s">
        <v>65</v>
      </c>
      <c r="D6919" s="139" t="s">
        <v>16153</v>
      </c>
    </row>
    <row r="6920" spans="1:4" x14ac:dyDescent="0.25">
      <c r="A6920" s="139" t="s">
        <v>16154</v>
      </c>
      <c r="B6920" s="139" t="s">
        <v>16155</v>
      </c>
      <c r="C6920" s="139" t="s">
        <v>65</v>
      </c>
      <c r="D6920" s="139" t="s">
        <v>16156</v>
      </c>
    </row>
    <row r="6921" spans="1:4" x14ac:dyDescent="0.25">
      <c r="A6921" s="139" t="s">
        <v>16157</v>
      </c>
      <c r="B6921" s="139" t="s">
        <v>16155</v>
      </c>
      <c r="C6921" s="139" t="s">
        <v>65</v>
      </c>
      <c r="D6921" s="139" t="s">
        <v>16158</v>
      </c>
    </row>
    <row r="6922" spans="1:4" x14ac:dyDescent="0.25">
      <c r="A6922" s="139" t="s">
        <v>16159</v>
      </c>
      <c r="B6922" s="139" t="s">
        <v>16160</v>
      </c>
      <c r="C6922" s="139" t="s">
        <v>535</v>
      </c>
      <c r="D6922" s="139" t="s">
        <v>16161</v>
      </c>
    </row>
    <row r="6923" spans="1:4" x14ac:dyDescent="0.25">
      <c r="A6923" s="139" t="s">
        <v>16162</v>
      </c>
      <c r="B6923" s="139" t="s">
        <v>16160</v>
      </c>
      <c r="C6923" s="139" t="s">
        <v>535</v>
      </c>
      <c r="D6923" s="139" t="s">
        <v>16163</v>
      </c>
    </row>
    <row r="6924" spans="1:4" x14ac:dyDescent="0.25">
      <c r="A6924" s="139" t="s">
        <v>16164</v>
      </c>
      <c r="B6924" s="139" t="s">
        <v>16165</v>
      </c>
      <c r="C6924" s="139" t="s">
        <v>123</v>
      </c>
      <c r="D6924" s="139" t="s">
        <v>16166</v>
      </c>
    </row>
    <row r="6925" spans="1:4" x14ac:dyDescent="0.25">
      <c r="A6925" s="139" t="s">
        <v>16167</v>
      </c>
      <c r="B6925" s="139" t="s">
        <v>16165</v>
      </c>
      <c r="C6925" s="139" t="s">
        <v>123</v>
      </c>
      <c r="D6925" s="139" t="s">
        <v>16168</v>
      </c>
    </row>
    <row r="6926" spans="1:4" x14ac:dyDescent="0.25">
      <c r="A6926" s="139" t="s">
        <v>16169</v>
      </c>
      <c r="B6926" s="139" t="s">
        <v>2475</v>
      </c>
      <c r="C6926" s="139" t="s">
        <v>65</v>
      </c>
      <c r="D6926" s="139" t="s">
        <v>16170</v>
      </c>
    </row>
    <row r="6927" spans="1:4" x14ac:dyDescent="0.25">
      <c r="A6927" s="139" t="s">
        <v>16171</v>
      </c>
      <c r="B6927" s="139" t="s">
        <v>2475</v>
      </c>
      <c r="C6927" s="139" t="s">
        <v>65</v>
      </c>
      <c r="D6927" s="139" t="s">
        <v>16172</v>
      </c>
    </row>
    <row r="6928" spans="1:4" x14ac:dyDescent="0.25">
      <c r="A6928" s="139" t="s">
        <v>16173</v>
      </c>
      <c r="B6928" s="139" t="s">
        <v>9931</v>
      </c>
      <c r="C6928" s="139" t="s">
        <v>65</v>
      </c>
      <c r="D6928" s="139" t="s">
        <v>16174</v>
      </c>
    </row>
    <row r="6929" spans="1:4" x14ac:dyDescent="0.25">
      <c r="A6929" s="139" t="s">
        <v>16175</v>
      </c>
      <c r="B6929" s="139" t="s">
        <v>9931</v>
      </c>
      <c r="C6929" s="139" t="s">
        <v>65</v>
      </c>
      <c r="D6929" s="139" t="s">
        <v>16176</v>
      </c>
    </row>
    <row r="6930" spans="1:4" x14ac:dyDescent="0.25">
      <c r="A6930" s="139" t="s">
        <v>16177</v>
      </c>
      <c r="B6930" s="139" t="s">
        <v>243</v>
      </c>
      <c r="C6930" s="139" t="s">
        <v>112</v>
      </c>
      <c r="D6930" s="139" t="s">
        <v>16178</v>
      </c>
    </row>
    <row r="6931" spans="1:4" x14ac:dyDescent="0.25">
      <c r="A6931" s="139" t="s">
        <v>16179</v>
      </c>
      <c r="B6931" s="139" t="s">
        <v>243</v>
      </c>
      <c r="C6931" s="139" t="s">
        <v>112</v>
      </c>
      <c r="D6931" s="139" t="s">
        <v>16180</v>
      </c>
    </row>
    <row r="6932" spans="1:4" x14ac:dyDescent="0.25">
      <c r="A6932" s="139" t="s">
        <v>16181</v>
      </c>
      <c r="B6932" s="139" t="s">
        <v>16182</v>
      </c>
      <c r="C6932" s="139" t="s">
        <v>33</v>
      </c>
      <c r="D6932" s="139" t="s">
        <v>16183</v>
      </c>
    </row>
    <row r="6933" spans="1:4" x14ac:dyDescent="0.25">
      <c r="A6933" s="139" t="s">
        <v>16184</v>
      </c>
      <c r="B6933" s="139" t="s">
        <v>16182</v>
      </c>
      <c r="C6933" s="139" t="s">
        <v>33</v>
      </c>
      <c r="D6933" s="139" t="s">
        <v>16185</v>
      </c>
    </row>
    <row r="6934" spans="1:4" x14ac:dyDescent="0.25">
      <c r="A6934" s="139" t="s">
        <v>16186</v>
      </c>
      <c r="B6934" s="139" t="s">
        <v>1394</v>
      </c>
      <c r="C6934" s="139" t="s">
        <v>33</v>
      </c>
      <c r="D6934" s="139" t="s">
        <v>16187</v>
      </c>
    </row>
    <row r="6935" spans="1:4" x14ac:dyDescent="0.25">
      <c r="A6935" s="139" t="s">
        <v>16188</v>
      </c>
      <c r="B6935" s="139" t="s">
        <v>1394</v>
      </c>
      <c r="C6935" s="139" t="s">
        <v>33</v>
      </c>
      <c r="D6935" s="139" t="s">
        <v>16189</v>
      </c>
    </row>
    <row r="6936" spans="1:4" x14ac:dyDescent="0.25">
      <c r="A6936" s="139" t="s">
        <v>16190</v>
      </c>
      <c r="B6936" s="139" t="s">
        <v>16191</v>
      </c>
      <c r="C6936" s="139" t="s">
        <v>33</v>
      </c>
      <c r="D6936" s="139" t="s">
        <v>16192</v>
      </c>
    </row>
    <row r="6937" spans="1:4" x14ac:dyDescent="0.25">
      <c r="A6937" s="139" t="s">
        <v>16193</v>
      </c>
      <c r="B6937" s="139" t="s">
        <v>16191</v>
      </c>
      <c r="C6937" s="139" t="s">
        <v>33</v>
      </c>
      <c r="D6937" s="139" t="s">
        <v>16194</v>
      </c>
    </row>
    <row r="6938" spans="1:4" x14ac:dyDescent="0.25">
      <c r="A6938" s="139" t="s">
        <v>16195</v>
      </c>
      <c r="B6938" s="139" t="s">
        <v>16196</v>
      </c>
      <c r="C6938" s="139" t="s">
        <v>33</v>
      </c>
      <c r="D6938" s="139" t="s">
        <v>16197</v>
      </c>
    </row>
    <row r="6939" spans="1:4" x14ac:dyDescent="0.25">
      <c r="A6939" s="139" t="s">
        <v>16198</v>
      </c>
      <c r="B6939" s="139" t="s">
        <v>16196</v>
      </c>
      <c r="C6939" s="139" t="s">
        <v>33</v>
      </c>
      <c r="D6939" s="139" t="s">
        <v>16199</v>
      </c>
    </row>
    <row r="6940" spans="1:4" x14ac:dyDescent="0.25">
      <c r="A6940" s="139" t="s">
        <v>16200</v>
      </c>
      <c r="B6940" s="139" t="s">
        <v>16201</v>
      </c>
      <c r="C6940" s="139" t="s">
        <v>33</v>
      </c>
      <c r="D6940" s="139" t="s">
        <v>16202</v>
      </c>
    </row>
    <row r="6941" spans="1:4" x14ac:dyDescent="0.25">
      <c r="A6941" s="139" t="s">
        <v>16203</v>
      </c>
      <c r="B6941" s="139" t="s">
        <v>16201</v>
      </c>
      <c r="C6941" s="139" t="s">
        <v>33</v>
      </c>
      <c r="D6941" s="139" t="s">
        <v>16204</v>
      </c>
    </row>
    <row r="6942" spans="1:4" x14ac:dyDescent="0.25">
      <c r="A6942" s="139" t="s">
        <v>16205</v>
      </c>
      <c r="B6942" s="139" t="s">
        <v>16206</v>
      </c>
      <c r="C6942" s="139" t="s">
        <v>33</v>
      </c>
      <c r="D6942" s="139" t="s">
        <v>16207</v>
      </c>
    </row>
    <row r="6943" spans="1:4" x14ac:dyDescent="0.25">
      <c r="A6943" s="139" t="s">
        <v>16208</v>
      </c>
      <c r="B6943" s="139" t="s">
        <v>16206</v>
      </c>
      <c r="C6943" s="139" t="s">
        <v>33</v>
      </c>
      <c r="D6943" s="139" t="s">
        <v>16209</v>
      </c>
    </row>
    <row r="6944" spans="1:4" x14ac:dyDescent="0.25">
      <c r="A6944" s="139" t="s">
        <v>16210</v>
      </c>
      <c r="B6944" s="139" t="s">
        <v>16211</v>
      </c>
      <c r="C6944" s="139" t="s">
        <v>33</v>
      </c>
      <c r="D6944" s="139" t="s">
        <v>16212</v>
      </c>
    </row>
    <row r="6945" spans="1:4" x14ac:dyDescent="0.25">
      <c r="A6945" s="139" t="s">
        <v>16213</v>
      </c>
      <c r="B6945" s="139" t="s">
        <v>16211</v>
      </c>
      <c r="C6945" s="139" t="s">
        <v>33</v>
      </c>
      <c r="D6945" s="139" t="s">
        <v>16214</v>
      </c>
    </row>
    <row r="6946" spans="1:4" x14ac:dyDescent="0.25">
      <c r="A6946" s="139" t="s">
        <v>16215</v>
      </c>
      <c r="B6946" s="139" t="s">
        <v>16216</v>
      </c>
      <c r="C6946" s="139" t="s">
        <v>33</v>
      </c>
      <c r="D6946" s="139" t="s">
        <v>16217</v>
      </c>
    </row>
    <row r="6947" spans="1:4" x14ac:dyDescent="0.25">
      <c r="A6947" s="139" t="s">
        <v>16218</v>
      </c>
      <c r="B6947" s="139" t="s">
        <v>16216</v>
      </c>
      <c r="C6947" s="139" t="s">
        <v>33</v>
      </c>
      <c r="D6947" s="139" t="s">
        <v>16219</v>
      </c>
    </row>
    <row r="6948" spans="1:4" x14ac:dyDescent="0.25">
      <c r="A6948" s="139" t="s">
        <v>16220</v>
      </c>
      <c r="B6948" s="139" t="s">
        <v>16221</v>
      </c>
      <c r="C6948" s="139" t="s">
        <v>33</v>
      </c>
      <c r="D6948" s="139" t="s">
        <v>16222</v>
      </c>
    </row>
    <row r="6949" spans="1:4" x14ac:dyDescent="0.25">
      <c r="A6949" s="139" t="s">
        <v>16223</v>
      </c>
      <c r="B6949" s="139" t="s">
        <v>16221</v>
      </c>
      <c r="C6949" s="139" t="s">
        <v>33</v>
      </c>
      <c r="D6949" s="139" t="s">
        <v>16224</v>
      </c>
    </row>
    <row r="6950" spans="1:4" x14ac:dyDescent="0.25">
      <c r="A6950" s="139" t="s">
        <v>16225</v>
      </c>
      <c r="B6950" s="139" t="s">
        <v>16226</v>
      </c>
      <c r="C6950" s="139" t="s">
        <v>33</v>
      </c>
      <c r="D6950" s="139" t="s">
        <v>16227</v>
      </c>
    </row>
    <row r="6951" spans="1:4" x14ac:dyDescent="0.25">
      <c r="A6951" s="139" t="s">
        <v>16228</v>
      </c>
      <c r="B6951" s="139" t="s">
        <v>16226</v>
      </c>
      <c r="C6951" s="139" t="s">
        <v>33</v>
      </c>
      <c r="D6951" s="139" t="s">
        <v>16229</v>
      </c>
    </row>
    <row r="6952" spans="1:4" x14ac:dyDescent="0.25">
      <c r="A6952" s="139" t="s">
        <v>16230</v>
      </c>
      <c r="B6952" s="139" t="s">
        <v>16231</v>
      </c>
      <c r="C6952" s="139" t="s">
        <v>33</v>
      </c>
      <c r="D6952" s="139" t="s">
        <v>16232</v>
      </c>
    </row>
    <row r="6953" spans="1:4" x14ac:dyDescent="0.25">
      <c r="A6953" s="139" t="s">
        <v>16233</v>
      </c>
      <c r="B6953" s="139" t="s">
        <v>16231</v>
      </c>
      <c r="C6953" s="139" t="s">
        <v>33</v>
      </c>
      <c r="D6953" s="139" t="s">
        <v>16234</v>
      </c>
    </row>
    <row r="6954" spans="1:4" x14ac:dyDescent="0.25">
      <c r="A6954" s="139" t="s">
        <v>16235</v>
      </c>
      <c r="B6954" s="139" t="s">
        <v>6721</v>
      </c>
      <c r="C6954" s="139" t="s">
        <v>33</v>
      </c>
      <c r="D6954" s="139" t="s">
        <v>16236</v>
      </c>
    </row>
    <row r="6955" spans="1:4" x14ac:dyDescent="0.25">
      <c r="A6955" s="139" t="s">
        <v>16237</v>
      </c>
      <c r="B6955" s="139" t="s">
        <v>6721</v>
      </c>
      <c r="C6955" s="139" t="s">
        <v>33</v>
      </c>
      <c r="D6955" s="139" t="s">
        <v>16238</v>
      </c>
    </row>
    <row r="6956" spans="1:4" x14ac:dyDescent="0.25">
      <c r="A6956" s="139" t="s">
        <v>16239</v>
      </c>
      <c r="B6956" s="139" t="s">
        <v>16240</v>
      </c>
      <c r="C6956" s="139" t="s">
        <v>65</v>
      </c>
      <c r="D6956" s="139" t="s">
        <v>16241</v>
      </c>
    </row>
    <row r="6957" spans="1:4" x14ac:dyDescent="0.25">
      <c r="A6957" s="139" t="s">
        <v>16242</v>
      </c>
      <c r="B6957" s="139" t="s">
        <v>16240</v>
      </c>
      <c r="C6957" s="139" t="s">
        <v>65</v>
      </c>
      <c r="D6957" s="139" t="s">
        <v>16243</v>
      </c>
    </row>
    <row r="6958" spans="1:4" x14ac:dyDescent="0.25">
      <c r="A6958" s="139" t="s">
        <v>16244</v>
      </c>
      <c r="B6958" s="139" t="s">
        <v>2284</v>
      </c>
      <c r="C6958" s="139" t="s">
        <v>65</v>
      </c>
      <c r="D6958" s="139" t="s">
        <v>16245</v>
      </c>
    </row>
    <row r="6959" spans="1:4" x14ac:dyDescent="0.25">
      <c r="A6959" s="139" t="s">
        <v>16246</v>
      </c>
      <c r="B6959" s="139" t="s">
        <v>2284</v>
      </c>
      <c r="C6959" s="139" t="s">
        <v>65</v>
      </c>
      <c r="D6959" s="139" t="s">
        <v>16247</v>
      </c>
    </row>
    <row r="6960" spans="1:4" x14ac:dyDescent="0.25">
      <c r="A6960" s="139" t="s">
        <v>16248</v>
      </c>
      <c r="B6960" s="139" t="s">
        <v>4156</v>
      </c>
      <c r="C6960" s="139" t="s">
        <v>33</v>
      </c>
      <c r="D6960" s="139" t="s">
        <v>16249</v>
      </c>
    </row>
    <row r="6961" spans="1:4" x14ac:dyDescent="0.25">
      <c r="A6961" s="139" t="s">
        <v>16250</v>
      </c>
      <c r="B6961" s="139" t="s">
        <v>4156</v>
      </c>
      <c r="C6961" s="139" t="s">
        <v>33</v>
      </c>
      <c r="D6961" s="139" t="s">
        <v>16251</v>
      </c>
    </row>
    <row r="6962" spans="1:4" x14ac:dyDescent="0.25">
      <c r="A6962" s="139" t="s">
        <v>16252</v>
      </c>
      <c r="B6962" s="139" t="s">
        <v>4396</v>
      </c>
      <c r="C6962" s="139" t="s">
        <v>65</v>
      </c>
      <c r="D6962" s="139" t="s">
        <v>16253</v>
      </c>
    </row>
    <row r="6963" spans="1:4" x14ac:dyDescent="0.25">
      <c r="A6963" s="139" t="s">
        <v>16254</v>
      </c>
      <c r="B6963" s="139" t="s">
        <v>4396</v>
      </c>
      <c r="C6963" s="139" t="s">
        <v>65</v>
      </c>
      <c r="D6963" s="139" t="s">
        <v>16255</v>
      </c>
    </row>
    <row r="6964" spans="1:4" x14ac:dyDescent="0.25">
      <c r="A6964" s="139" t="s">
        <v>16256</v>
      </c>
      <c r="B6964" s="139" t="s">
        <v>1271</v>
      </c>
      <c r="C6964" s="139" t="s">
        <v>5475</v>
      </c>
      <c r="D6964" s="139" t="s">
        <v>16257</v>
      </c>
    </row>
    <row r="6965" spans="1:4" x14ac:dyDescent="0.25">
      <c r="A6965" s="139" t="s">
        <v>16258</v>
      </c>
      <c r="B6965" s="139" t="s">
        <v>1271</v>
      </c>
      <c r="C6965" s="139" t="s">
        <v>5475</v>
      </c>
      <c r="D6965" s="139" t="s">
        <v>16259</v>
      </c>
    </row>
    <row r="6966" spans="1:4" x14ac:dyDescent="0.25">
      <c r="A6966" s="139" t="s">
        <v>16260</v>
      </c>
      <c r="B6966" s="139" t="s">
        <v>15933</v>
      </c>
      <c r="C6966" s="139" t="s">
        <v>44</v>
      </c>
      <c r="D6966" s="139" t="s">
        <v>16261</v>
      </c>
    </row>
    <row r="6967" spans="1:4" x14ac:dyDescent="0.25">
      <c r="A6967" s="139" t="s">
        <v>16262</v>
      </c>
      <c r="B6967" s="139" t="s">
        <v>15933</v>
      </c>
      <c r="C6967" s="139" t="s">
        <v>44</v>
      </c>
      <c r="D6967" s="139" t="s">
        <v>16263</v>
      </c>
    </row>
    <row r="6968" spans="1:4" x14ac:dyDescent="0.25">
      <c r="A6968" s="139" t="s">
        <v>16264</v>
      </c>
      <c r="B6968" s="139" t="s">
        <v>1469</v>
      </c>
      <c r="C6968" s="139" t="s">
        <v>1683</v>
      </c>
      <c r="D6968" s="139" t="s">
        <v>16265</v>
      </c>
    </row>
    <row r="6969" spans="1:4" x14ac:dyDescent="0.25">
      <c r="A6969" s="139" t="s">
        <v>16266</v>
      </c>
      <c r="B6969" s="139" t="s">
        <v>1469</v>
      </c>
      <c r="C6969" s="139" t="s">
        <v>1683</v>
      </c>
      <c r="D6969" s="139" t="s">
        <v>16267</v>
      </c>
    </row>
    <row r="6970" spans="1:4" x14ac:dyDescent="0.25">
      <c r="A6970" s="139" t="s">
        <v>16268</v>
      </c>
      <c r="B6970" s="139" t="s">
        <v>13636</v>
      </c>
      <c r="C6970" s="139" t="s">
        <v>16269</v>
      </c>
      <c r="D6970" s="139" t="s">
        <v>16270</v>
      </c>
    </row>
    <row r="6971" spans="1:4" x14ac:dyDescent="0.25">
      <c r="A6971" s="139" t="s">
        <v>16271</v>
      </c>
      <c r="B6971" s="139" t="s">
        <v>13636</v>
      </c>
      <c r="C6971" s="139" t="s">
        <v>16269</v>
      </c>
      <c r="D6971" s="139" t="s">
        <v>16272</v>
      </c>
    </row>
    <row r="6972" spans="1:4" x14ac:dyDescent="0.25">
      <c r="A6972" s="139" t="s">
        <v>16273</v>
      </c>
      <c r="B6972" s="139" t="s">
        <v>15943</v>
      </c>
      <c r="C6972" s="139" t="s">
        <v>16269</v>
      </c>
      <c r="D6972" s="139" t="s">
        <v>16274</v>
      </c>
    </row>
    <row r="6973" spans="1:4" x14ac:dyDescent="0.25">
      <c r="A6973" s="139" t="s">
        <v>16275</v>
      </c>
      <c r="B6973" s="139" t="s">
        <v>15943</v>
      </c>
      <c r="C6973" s="139" t="s">
        <v>16269</v>
      </c>
      <c r="D6973" s="139" t="s">
        <v>16276</v>
      </c>
    </row>
    <row r="6974" spans="1:4" x14ac:dyDescent="0.25">
      <c r="A6974" s="139" t="s">
        <v>16277</v>
      </c>
      <c r="B6974" s="139" t="s">
        <v>137</v>
      </c>
      <c r="C6974" s="139" t="s">
        <v>65</v>
      </c>
      <c r="D6974" s="139" t="s">
        <v>16278</v>
      </c>
    </row>
    <row r="6975" spans="1:4" x14ac:dyDescent="0.25">
      <c r="A6975" s="139" t="s">
        <v>16279</v>
      </c>
      <c r="B6975" s="139" t="s">
        <v>137</v>
      </c>
      <c r="C6975" s="139" t="s">
        <v>65</v>
      </c>
      <c r="D6975" s="139" t="s">
        <v>16280</v>
      </c>
    </row>
    <row r="6976" spans="1:4" x14ac:dyDescent="0.25">
      <c r="A6976" s="139" t="s">
        <v>16281</v>
      </c>
      <c r="B6976" s="139" t="s">
        <v>9916</v>
      </c>
      <c r="C6976" s="139" t="s">
        <v>65</v>
      </c>
      <c r="D6976" s="139" t="s">
        <v>16282</v>
      </c>
    </row>
    <row r="6977" spans="1:4" x14ac:dyDescent="0.25">
      <c r="A6977" s="139" t="s">
        <v>16283</v>
      </c>
      <c r="B6977" s="139" t="s">
        <v>9916</v>
      </c>
      <c r="C6977" s="139" t="s">
        <v>65</v>
      </c>
      <c r="D6977" s="139" t="s">
        <v>16284</v>
      </c>
    </row>
    <row r="6978" spans="1:4" x14ac:dyDescent="0.25">
      <c r="A6978" s="139" t="s">
        <v>16285</v>
      </c>
      <c r="B6978" s="139" t="s">
        <v>11716</v>
      </c>
      <c r="C6978" s="139" t="s">
        <v>65</v>
      </c>
      <c r="D6978" s="139" t="s">
        <v>16286</v>
      </c>
    </row>
    <row r="6979" spans="1:4" x14ac:dyDescent="0.25">
      <c r="A6979" s="139" t="s">
        <v>16287</v>
      </c>
      <c r="B6979" s="139" t="s">
        <v>11716</v>
      </c>
      <c r="C6979" s="139" t="s">
        <v>65</v>
      </c>
      <c r="D6979" s="139" t="s">
        <v>16288</v>
      </c>
    </row>
    <row r="6980" spans="1:4" x14ac:dyDescent="0.25">
      <c r="A6980" s="139" t="s">
        <v>16289</v>
      </c>
      <c r="B6980" s="139" t="s">
        <v>15912</v>
      </c>
      <c r="C6980" s="139" t="s">
        <v>65</v>
      </c>
      <c r="D6980" s="139" t="s">
        <v>16290</v>
      </c>
    </row>
    <row r="6981" spans="1:4" x14ac:dyDescent="0.25">
      <c r="A6981" s="139" t="s">
        <v>16291</v>
      </c>
      <c r="B6981" s="139" t="s">
        <v>15912</v>
      </c>
      <c r="C6981" s="139" t="s">
        <v>65</v>
      </c>
      <c r="D6981" s="139" t="s">
        <v>16292</v>
      </c>
    </row>
    <row r="6982" spans="1:4" x14ac:dyDescent="0.25">
      <c r="A6982" s="139" t="s">
        <v>16293</v>
      </c>
      <c r="B6982" s="139" t="s">
        <v>5360</v>
      </c>
      <c r="C6982" s="139" t="s">
        <v>65</v>
      </c>
      <c r="D6982" s="139" t="s">
        <v>16294</v>
      </c>
    </row>
    <row r="6983" spans="1:4" x14ac:dyDescent="0.25">
      <c r="A6983" s="139" t="s">
        <v>16295</v>
      </c>
      <c r="B6983" s="139" t="s">
        <v>5360</v>
      </c>
      <c r="C6983" s="139" t="s">
        <v>65</v>
      </c>
      <c r="D6983" s="139" t="s">
        <v>16296</v>
      </c>
    </row>
    <row r="6984" spans="1:4" x14ac:dyDescent="0.25">
      <c r="A6984" s="139" t="s">
        <v>16297</v>
      </c>
      <c r="B6984" s="139" t="s">
        <v>1414</v>
      </c>
      <c r="C6984" s="139" t="s">
        <v>65</v>
      </c>
      <c r="D6984" s="139" t="s">
        <v>16298</v>
      </c>
    </row>
    <row r="6985" spans="1:4" x14ac:dyDescent="0.25">
      <c r="A6985" s="139" t="s">
        <v>16299</v>
      </c>
      <c r="B6985" s="139" t="s">
        <v>1414</v>
      </c>
      <c r="C6985" s="139" t="s">
        <v>65</v>
      </c>
      <c r="D6985" s="139" t="s">
        <v>16300</v>
      </c>
    </row>
    <row r="6986" spans="1:4" x14ac:dyDescent="0.25">
      <c r="A6986" s="139" t="s">
        <v>16301</v>
      </c>
      <c r="B6986" s="139" t="s">
        <v>16302</v>
      </c>
      <c r="C6986" s="139" t="s">
        <v>112</v>
      </c>
      <c r="D6986" s="139" t="s">
        <v>16303</v>
      </c>
    </row>
    <row r="6987" spans="1:4" x14ac:dyDescent="0.25">
      <c r="A6987" s="139" t="s">
        <v>16304</v>
      </c>
      <c r="B6987" s="139" t="s">
        <v>16302</v>
      </c>
      <c r="C6987" s="139" t="s">
        <v>112</v>
      </c>
      <c r="D6987" s="139" t="s">
        <v>16305</v>
      </c>
    </row>
    <row r="6988" spans="1:4" x14ac:dyDescent="0.25">
      <c r="A6988" s="139" t="s">
        <v>16306</v>
      </c>
      <c r="B6988" s="139" t="s">
        <v>16307</v>
      </c>
      <c r="C6988" s="139" t="s">
        <v>112</v>
      </c>
      <c r="D6988" s="139" t="s">
        <v>16308</v>
      </c>
    </row>
    <row r="6989" spans="1:4" x14ac:dyDescent="0.25">
      <c r="A6989" s="139" t="s">
        <v>16309</v>
      </c>
      <c r="B6989" s="139" t="s">
        <v>16307</v>
      </c>
      <c r="C6989" s="139" t="s">
        <v>112</v>
      </c>
      <c r="D6989" s="139" t="s">
        <v>16310</v>
      </c>
    </row>
    <row r="6990" spans="1:4" x14ac:dyDescent="0.25">
      <c r="A6990" s="139" t="s">
        <v>16311</v>
      </c>
      <c r="B6990" s="139" t="s">
        <v>15894</v>
      </c>
      <c r="C6990" s="139" t="s">
        <v>123</v>
      </c>
      <c r="D6990" s="139" t="s">
        <v>16312</v>
      </c>
    </row>
    <row r="6991" spans="1:4" x14ac:dyDescent="0.25">
      <c r="A6991" s="139" t="s">
        <v>16313</v>
      </c>
      <c r="B6991" s="139" t="s">
        <v>15894</v>
      </c>
      <c r="C6991" s="139" t="s">
        <v>123</v>
      </c>
      <c r="D6991" s="139" t="s">
        <v>16314</v>
      </c>
    </row>
    <row r="6992" spans="1:4" x14ac:dyDescent="0.25">
      <c r="A6992" s="139" t="s">
        <v>16315</v>
      </c>
      <c r="B6992" s="139" t="s">
        <v>15883</v>
      </c>
      <c r="C6992" s="139" t="s">
        <v>123</v>
      </c>
      <c r="D6992" s="139" t="s">
        <v>16316</v>
      </c>
    </row>
    <row r="6993" spans="1:4" x14ac:dyDescent="0.25">
      <c r="A6993" s="139" t="s">
        <v>16317</v>
      </c>
      <c r="B6993" s="139" t="s">
        <v>15883</v>
      </c>
      <c r="C6993" s="139" t="s">
        <v>123</v>
      </c>
      <c r="D6993" s="139" t="s">
        <v>16318</v>
      </c>
    </row>
    <row r="6994" spans="1:4" x14ac:dyDescent="0.25">
      <c r="A6994" s="139" t="s">
        <v>16319</v>
      </c>
      <c r="B6994" s="139" t="s">
        <v>16320</v>
      </c>
      <c r="C6994" s="139" t="s">
        <v>112</v>
      </c>
      <c r="D6994" s="139" t="s">
        <v>16321</v>
      </c>
    </row>
    <row r="6995" spans="1:4" x14ac:dyDescent="0.25">
      <c r="A6995" s="139" t="s">
        <v>16322</v>
      </c>
      <c r="B6995" s="139" t="s">
        <v>16320</v>
      </c>
      <c r="C6995" s="139" t="s">
        <v>112</v>
      </c>
      <c r="D6995" s="139" t="s">
        <v>16323</v>
      </c>
    </row>
    <row r="6996" spans="1:4" x14ac:dyDescent="0.25">
      <c r="A6996" s="139" t="s">
        <v>16324</v>
      </c>
      <c r="B6996" s="139" t="s">
        <v>16325</v>
      </c>
      <c r="C6996" s="139" t="s">
        <v>112</v>
      </c>
      <c r="D6996" s="139" t="s">
        <v>16326</v>
      </c>
    </row>
    <row r="6997" spans="1:4" x14ac:dyDescent="0.25">
      <c r="A6997" s="139" t="s">
        <v>16327</v>
      </c>
      <c r="B6997" s="139" t="s">
        <v>16325</v>
      </c>
      <c r="C6997" s="139" t="s">
        <v>112</v>
      </c>
      <c r="D6997" s="139" t="s">
        <v>16328</v>
      </c>
    </row>
    <row r="6998" spans="1:4" x14ac:dyDescent="0.25">
      <c r="A6998" s="139" t="s">
        <v>16329</v>
      </c>
      <c r="B6998" s="139" t="s">
        <v>15874</v>
      </c>
      <c r="C6998" s="139" t="s">
        <v>112</v>
      </c>
      <c r="D6998" s="139" t="s">
        <v>16330</v>
      </c>
    </row>
    <row r="6999" spans="1:4" x14ac:dyDescent="0.25">
      <c r="A6999" s="139" t="s">
        <v>16331</v>
      </c>
      <c r="B6999" s="139" t="s">
        <v>15874</v>
      </c>
      <c r="C6999" s="139" t="s">
        <v>112</v>
      </c>
      <c r="D6999" s="139" t="s">
        <v>16332</v>
      </c>
    </row>
    <row r="7000" spans="1:4" x14ac:dyDescent="0.25">
      <c r="A7000" s="139" t="s">
        <v>16333</v>
      </c>
      <c r="B7000" s="139" t="s">
        <v>16334</v>
      </c>
      <c r="C7000" s="139" t="s">
        <v>112</v>
      </c>
      <c r="D7000" s="139" t="s">
        <v>16335</v>
      </c>
    </row>
    <row r="7001" spans="1:4" x14ac:dyDescent="0.25">
      <c r="A7001" s="139" t="s">
        <v>16336</v>
      </c>
      <c r="B7001" s="139" t="s">
        <v>16334</v>
      </c>
      <c r="C7001" s="139" t="s">
        <v>112</v>
      </c>
      <c r="D7001" s="139" t="s">
        <v>16337</v>
      </c>
    </row>
    <row r="7002" spans="1:4" x14ac:dyDescent="0.25">
      <c r="A7002" s="139" t="s">
        <v>16338</v>
      </c>
      <c r="B7002" s="139" t="s">
        <v>15869</v>
      </c>
      <c r="C7002" s="139" t="s">
        <v>112</v>
      </c>
      <c r="D7002" s="139" t="s">
        <v>16339</v>
      </c>
    </row>
    <row r="7003" spans="1:4" x14ac:dyDescent="0.25">
      <c r="A7003" s="139" t="s">
        <v>16340</v>
      </c>
      <c r="B7003" s="139" t="s">
        <v>15869</v>
      </c>
      <c r="C7003" s="139" t="s">
        <v>112</v>
      </c>
      <c r="D7003" s="139" t="s">
        <v>16341</v>
      </c>
    </row>
    <row r="7004" spans="1:4" x14ac:dyDescent="0.25">
      <c r="A7004" s="139" t="s">
        <v>16342</v>
      </c>
      <c r="B7004" s="139" t="s">
        <v>16343</v>
      </c>
      <c r="C7004" s="139" t="s">
        <v>112</v>
      </c>
      <c r="D7004" s="139" t="s">
        <v>16344</v>
      </c>
    </row>
    <row r="7005" spans="1:4" x14ac:dyDescent="0.25">
      <c r="A7005" s="139" t="s">
        <v>16345</v>
      </c>
      <c r="B7005" s="139" t="s">
        <v>16343</v>
      </c>
      <c r="C7005" s="139" t="s">
        <v>112</v>
      </c>
      <c r="D7005" s="139" t="s">
        <v>16346</v>
      </c>
    </row>
    <row r="7006" spans="1:4" x14ac:dyDescent="0.25">
      <c r="A7006" s="139" t="s">
        <v>16347</v>
      </c>
      <c r="B7006" s="139" t="s">
        <v>425</v>
      </c>
      <c r="C7006" s="139" t="s">
        <v>112</v>
      </c>
      <c r="D7006" s="139" t="s">
        <v>16348</v>
      </c>
    </row>
    <row r="7007" spans="1:4" x14ac:dyDescent="0.25">
      <c r="A7007" s="139" t="s">
        <v>16349</v>
      </c>
      <c r="B7007" s="139" t="s">
        <v>425</v>
      </c>
      <c r="C7007" s="139" t="s">
        <v>112</v>
      </c>
      <c r="D7007" s="139" t="s">
        <v>16350</v>
      </c>
    </row>
    <row r="7008" spans="1:4" x14ac:dyDescent="0.25">
      <c r="A7008" s="139" t="s">
        <v>16351</v>
      </c>
      <c r="B7008" s="139" t="s">
        <v>15866</v>
      </c>
      <c r="C7008" s="139" t="s">
        <v>112</v>
      </c>
      <c r="D7008" s="139" t="s">
        <v>16352</v>
      </c>
    </row>
    <row r="7009" spans="1:4" x14ac:dyDescent="0.25">
      <c r="A7009" s="139" t="s">
        <v>16353</v>
      </c>
      <c r="B7009" s="139" t="s">
        <v>15866</v>
      </c>
      <c r="C7009" s="139" t="s">
        <v>112</v>
      </c>
      <c r="D7009" s="139" t="s">
        <v>16354</v>
      </c>
    </row>
    <row r="7010" spans="1:4" x14ac:dyDescent="0.25">
      <c r="A7010" s="139" t="s">
        <v>16355</v>
      </c>
      <c r="B7010" s="139" t="s">
        <v>15861</v>
      </c>
      <c r="C7010" s="139" t="s">
        <v>112</v>
      </c>
      <c r="D7010" s="139" t="s">
        <v>16356</v>
      </c>
    </row>
    <row r="7011" spans="1:4" x14ac:dyDescent="0.25">
      <c r="A7011" s="139" t="s">
        <v>16357</v>
      </c>
      <c r="B7011" s="139" t="s">
        <v>15861</v>
      </c>
      <c r="C7011" s="139" t="s">
        <v>112</v>
      </c>
      <c r="D7011" s="139" t="s">
        <v>16358</v>
      </c>
    </row>
    <row r="7012" spans="1:4" x14ac:dyDescent="0.25">
      <c r="A7012" s="139" t="s">
        <v>16359</v>
      </c>
      <c r="B7012" s="139" t="s">
        <v>5411</v>
      </c>
      <c r="C7012" s="139" t="s">
        <v>112</v>
      </c>
      <c r="D7012" s="139" t="s">
        <v>16360</v>
      </c>
    </row>
    <row r="7013" spans="1:4" x14ac:dyDescent="0.25">
      <c r="A7013" s="139" t="s">
        <v>16361</v>
      </c>
      <c r="B7013" s="139" t="s">
        <v>5411</v>
      </c>
      <c r="C7013" s="139" t="s">
        <v>112</v>
      </c>
      <c r="D7013" s="139" t="s">
        <v>16362</v>
      </c>
    </row>
    <row r="7014" spans="1:4" x14ac:dyDescent="0.25">
      <c r="A7014" s="139" t="s">
        <v>16363</v>
      </c>
      <c r="B7014" s="139" t="s">
        <v>16364</v>
      </c>
      <c r="C7014" s="139" t="s">
        <v>112</v>
      </c>
      <c r="D7014" s="139" t="s">
        <v>16365</v>
      </c>
    </row>
    <row r="7015" spans="1:4" x14ac:dyDescent="0.25">
      <c r="A7015" s="139" t="s">
        <v>16366</v>
      </c>
      <c r="B7015" s="139" t="s">
        <v>16364</v>
      </c>
      <c r="C7015" s="139" t="s">
        <v>112</v>
      </c>
      <c r="D7015" s="139" t="s">
        <v>16367</v>
      </c>
    </row>
    <row r="7016" spans="1:4" x14ac:dyDescent="0.25">
      <c r="A7016" s="139" t="s">
        <v>16368</v>
      </c>
      <c r="B7016" s="139" t="s">
        <v>6688</v>
      </c>
      <c r="C7016" s="139" t="s">
        <v>112</v>
      </c>
      <c r="D7016" s="139" t="s">
        <v>16369</v>
      </c>
    </row>
    <row r="7017" spans="1:4" x14ac:dyDescent="0.25">
      <c r="A7017" s="139" t="s">
        <v>16370</v>
      </c>
      <c r="B7017" s="139" t="s">
        <v>6688</v>
      </c>
      <c r="C7017" s="139" t="s">
        <v>112</v>
      </c>
      <c r="D7017" s="139" t="s">
        <v>16371</v>
      </c>
    </row>
    <row r="7018" spans="1:4" x14ac:dyDescent="0.25">
      <c r="A7018" s="139" t="s">
        <v>16372</v>
      </c>
      <c r="B7018" s="139" t="s">
        <v>8212</v>
      </c>
      <c r="C7018" s="139" t="s">
        <v>112</v>
      </c>
      <c r="D7018" s="139" t="s">
        <v>16373</v>
      </c>
    </row>
    <row r="7019" spans="1:4" x14ac:dyDescent="0.25">
      <c r="A7019" s="139" t="s">
        <v>16374</v>
      </c>
      <c r="B7019" s="139" t="s">
        <v>8212</v>
      </c>
      <c r="C7019" s="139" t="s">
        <v>112</v>
      </c>
      <c r="D7019" s="139" t="s">
        <v>16375</v>
      </c>
    </row>
    <row r="7020" spans="1:4" x14ac:dyDescent="0.25">
      <c r="A7020" s="139" t="s">
        <v>16376</v>
      </c>
      <c r="B7020" s="139" t="s">
        <v>4406</v>
      </c>
      <c r="C7020" s="139" t="s">
        <v>112</v>
      </c>
      <c r="D7020" s="139" t="s">
        <v>16377</v>
      </c>
    </row>
    <row r="7021" spans="1:4" x14ac:dyDescent="0.25">
      <c r="A7021" s="139" t="s">
        <v>16378</v>
      </c>
      <c r="B7021" s="139" t="s">
        <v>4406</v>
      </c>
      <c r="C7021" s="139" t="s">
        <v>112</v>
      </c>
      <c r="D7021" s="139" t="s">
        <v>16379</v>
      </c>
    </row>
    <row r="7022" spans="1:4" x14ac:dyDescent="0.25">
      <c r="A7022" s="139" t="s">
        <v>16380</v>
      </c>
      <c r="B7022" s="139" t="s">
        <v>16381</v>
      </c>
      <c r="C7022" s="139" t="s">
        <v>112</v>
      </c>
      <c r="D7022" s="139" t="s">
        <v>16382</v>
      </c>
    </row>
    <row r="7023" spans="1:4" x14ac:dyDescent="0.25">
      <c r="A7023" s="139" t="s">
        <v>16383</v>
      </c>
      <c r="B7023" s="139" t="s">
        <v>16381</v>
      </c>
      <c r="C7023" s="139" t="s">
        <v>112</v>
      </c>
      <c r="D7023" s="139" t="s">
        <v>16384</v>
      </c>
    </row>
    <row r="7024" spans="1:4" x14ac:dyDescent="0.25">
      <c r="A7024" s="139" t="s">
        <v>16385</v>
      </c>
      <c r="B7024" s="139" t="s">
        <v>15856</v>
      </c>
      <c r="C7024" s="139" t="s">
        <v>112</v>
      </c>
      <c r="D7024" s="139" t="s">
        <v>16386</v>
      </c>
    </row>
    <row r="7025" spans="1:4" x14ac:dyDescent="0.25">
      <c r="A7025" s="139" t="s">
        <v>16387</v>
      </c>
      <c r="B7025" s="139" t="s">
        <v>15856</v>
      </c>
      <c r="C7025" s="139" t="s">
        <v>112</v>
      </c>
      <c r="D7025" s="139" t="s">
        <v>16388</v>
      </c>
    </row>
    <row r="7026" spans="1:4" x14ac:dyDescent="0.25">
      <c r="A7026" s="139" t="s">
        <v>16389</v>
      </c>
      <c r="B7026" s="139" t="s">
        <v>15853</v>
      </c>
      <c r="C7026" s="139" t="s">
        <v>112</v>
      </c>
      <c r="D7026" s="139" t="s">
        <v>16390</v>
      </c>
    </row>
    <row r="7027" spans="1:4" x14ac:dyDescent="0.25">
      <c r="A7027" s="139" t="s">
        <v>16391</v>
      </c>
      <c r="B7027" s="139" t="s">
        <v>15853</v>
      </c>
      <c r="C7027" s="139" t="s">
        <v>112</v>
      </c>
      <c r="D7027" s="139" t="s">
        <v>16392</v>
      </c>
    </row>
    <row r="7028" spans="1:4" x14ac:dyDescent="0.25">
      <c r="A7028" s="139" t="s">
        <v>16393</v>
      </c>
      <c r="B7028" s="139" t="s">
        <v>16394</v>
      </c>
      <c r="C7028" s="139" t="s">
        <v>112</v>
      </c>
      <c r="D7028" s="139" t="s">
        <v>16395</v>
      </c>
    </row>
    <row r="7029" spans="1:4" x14ac:dyDescent="0.25">
      <c r="A7029" s="139" t="s">
        <v>16396</v>
      </c>
      <c r="B7029" s="139" t="s">
        <v>16394</v>
      </c>
      <c r="C7029" s="139" t="s">
        <v>112</v>
      </c>
      <c r="D7029" s="139" t="s">
        <v>16397</v>
      </c>
    </row>
    <row r="7030" spans="1:4" x14ac:dyDescent="0.25">
      <c r="A7030" s="139" t="s">
        <v>16398</v>
      </c>
      <c r="B7030" s="139" t="s">
        <v>16399</v>
      </c>
      <c r="C7030" s="139" t="s">
        <v>112</v>
      </c>
      <c r="D7030" s="139" t="s">
        <v>16400</v>
      </c>
    </row>
    <row r="7031" spans="1:4" x14ac:dyDescent="0.25">
      <c r="A7031" s="139" t="s">
        <v>16401</v>
      </c>
      <c r="B7031" s="139" t="s">
        <v>16399</v>
      </c>
      <c r="C7031" s="139" t="s">
        <v>112</v>
      </c>
      <c r="D7031" s="139" t="s">
        <v>16402</v>
      </c>
    </row>
    <row r="7032" spans="1:4" x14ac:dyDescent="0.25">
      <c r="A7032" s="139" t="s">
        <v>16403</v>
      </c>
      <c r="B7032" s="139" t="s">
        <v>15850</v>
      </c>
      <c r="C7032" s="139" t="s">
        <v>112</v>
      </c>
      <c r="D7032" s="139" t="s">
        <v>16404</v>
      </c>
    </row>
    <row r="7033" spans="1:4" x14ac:dyDescent="0.25">
      <c r="A7033" s="139" t="s">
        <v>16405</v>
      </c>
      <c r="B7033" s="139" t="s">
        <v>15850</v>
      </c>
      <c r="C7033" s="139" t="s">
        <v>112</v>
      </c>
      <c r="D7033" s="139" t="s">
        <v>16406</v>
      </c>
    </row>
    <row r="7034" spans="1:4" x14ac:dyDescent="0.25">
      <c r="A7034" s="139" t="s">
        <v>16407</v>
      </c>
      <c r="B7034" s="139" t="s">
        <v>15847</v>
      </c>
      <c r="C7034" s="139" t="s">
        <v>112</v>
      </c>
      <c r="D7034" s="139" t="s">
        <v>16408</v>
      </c>
    </row>
    <row r="7035" spans="1:4" x14ac:dyDescent="0.25">
      <c r="A7035" s="139" t="s">
        <v>16409</v>
      </c>
      <c r="B7035" s="139" t="s">
        <v>15847</v>
      </c>
      <c r="C7035" s="139" t="s">
        <v>112</v>
      </c>
      <c r="D7035" s="139" t="s">
        <v>16410</v>
      </c>
    </row>
    <row r="7036" spans="1:4" x14ac:dyDescent="0.25">
      <c r="A7036" s="139" t="s">
        <v>16411</v>
      </c>
      <c r="B7036" s="139" t="s">
        <v>15844</v>
      </c>
      <c r="C7036" s="139" t="s">
        <v>112</v>
      </c>
      <c r="D7036" s="139" t="s">
        <v>16412</v>
      </c>
    </row>
    <row r="7037" spans="1:4" x14ac:dyDescent="0.25">
      <c r="A7037" s="139" t="s">
        <v>16413</v>
      </c>
      <c r="B7037" s="139" t="s">
        <v>15844</v>
      </c>
      <c r="C7037" s="139" t="s">
        <v>112</v>
      </c>
      <c r="D7037" s="139" t="s">
        <v>16414</v>
      </c>
    </row>
    <row r="7038" spans="1:4" x14ac:dyDescent="0.25">
      <c r="A7038" s="139" t="s">
        <v>16415</v>
      </c>
      <c r="B7038" s="139" t="s">
        <v>15841</v>
      </c>
      <c r="C7038" s="139" t="s">
        <v>112</v>
      </c>
      <c r="D7038" s="139" t="s">
        <v>16416</v>
      </c>
    </row>
    <row r="7039" spans="1:4" x14ac:dyDescent="0.25">
      <c r="A7039" s="139" t="s">
        <v>16417</v>
      </c>
      <c r="B7039" s="139" t="s">
        <v>15841</v>
      </c>
      <c r="C7039" s="139" t="s">
        <v>112</v>
      </c>
      <c r="D7039" s="139" t="s">
        <v>16418</v>
      </c>
    </row>
    <row r="7040" spans="1:4" x14ac:dyDescent="0.25">
      <c r="A7040" s="139" t="s">
        <v>16419</v>
      </c>
      <c r="B7040" s="139" t="s">
        <v>15838</v>
      </c>
      <c r="C7040" s="139" t="s">
        <v>112</v>
      </c>
      <c r="D7040" s="139" t="s">
        <v>16420</v>
      </c>
    </row>
    <row r="7041" spans="1:4" x14ac:dyDescent="0.25">
      <c r="A7041" s="139" t="s">
        <v>16421</v>
      </c>
      <c r="B7041" s="139" t="s">
        <v>15838</v>
      </c>
      <c r="C7041" s="139" t="s">
        <v>112</v>
      </c>
      <c r="D7041" s="139" t="s">
        <v>16422</v>
      </c>
    </row>
    <row r="7042" spans="1:4" x14ac:dyDescent="0.25">
      <c r="A7042" s="139" t="s">
        <v>16423</v>
      </c>
      <c r="B7042" s="139" t="s">
        <v>5154</v>
      </c>
      <c r="C7042" s="139" t="s">
        <v>127</v>
      </c>
      <c r="D7042" s="139" t="s">
        <v>16424</v>
      </c>
    </row>
    <row r="7043" spans="1:4" x14ac:dyDescent="0.25">
      <c r="A7043" s="139" t="s">
        <v>16425</v>
      </c>
      <c r="B7043" s="139" t="s">
        <v>5154</v>
      </c>
      <c r="C7043" s="139" t="s">
        <v>127</v>
      </c>
      <c r="D7043" s="139" t="s">
        <v>16426</v>
      </c>
    </row>
    <row r="7044" spans="1:4" x14ac:dyDescent="0.25">
      <c r="A7044" s="139" t="s">
        <v>16427</v>
      </c>
      <c r="B7044" s="139" t="s">
        <v>16428</v>
      </c>
      <c r="C7044" s="139" t="s">
        <v>127</v>
      </c>
      <c r="D7044" s="139" t="s">
        <v>16429</v>
      </c>
    </row>
    <row r="7045" spans="1:4" x14ac:dyDescent="0.25">
      <c r="A7045" s="139" t="s">
        <v>16430</v>
      </c>
      <c r="B7045" s="139" t="s">
        <v>16428</v>
      </c>
      <c r="C7045" s="139" t="s">
        <v>127</v>
      </c>
      <c r="D7045" s="139" t="s">
        <v>16431</v>
      </c>
    </row>
    <row r="7046" spans="1:4" x14ac:dyDescent="0.25">
      <c r="A7046" s="139" t="s">
        <v>16432</v>
      </c>
      <c r="B7046" s="139" t="s">
        <v>16433</v>
      </c>
      <c r="C7046" s="139" t="s">
        <v>33</v>
      </c>
      <c r="D7046" s="139" t="s">
        <v>16434</v>
      </c>
    </row>
    <row r="7047" spans="1:4" x14ac:dyDescent="0.25">
      <c r="A7047" s="139" t="s">
        <v>16435</v>
      </c>
      <c r="B7047" s="139" t="s">
        <v>16433</v>
      </c>
      <c r="C7047" s="139" t="s">
        <v>33</v>
      </c>
      <c r="D7047" s="139" t="s">
        <v>16436</v>
      </c>
    </row>
    <row r="7048" spans="1:4" x14ac:dyDescent="0.25">
      <c r="A7048" s="139" t="s">
        <v>16437</v>
      </c>
      <c r="B7048" s="139" t="s">
        <v>16438</v>
      </c>
      <c r="C7048" s="139" t="s">
        <v>33</v>
      </c>
      <c r="D7048" s="139" t="s">
        <v>16439</v>
      </c>
    </row>
    <row r="7049" spans="1:4" x14ac:dyDescent="0.25">
      <c r="A7049" s="139" t="s">
        <v>16440</v>
      </c>
      <c r="B7049" s="139" t="s">
        <v>16438</v>
      </c>
      <c r="C7049" s="139" t="s">
        <v>33</v>
      </c>
      <c r="D7049" s="139" t="s">
        <v>16441</v>
      </c>
    </row>
    <row r="7050" spans="1:4" x14ac:dyDescent="0.25">
      <c r="A7050" s="139" t="s">
        <v>16442</v>
      </c>
      <c r="B7050" s="139" t="s">
        <v>16443</v>
      </c>
      <c r="C7050" s="139" t="s">
        <v>33</v>
      </c>
      <c r="D7050" s="139" t="s">
        <v>16444</v>
      </c>
    </row>
    <row r="7051" spans="1:4" x14ac:dyDescent="0.25">
      <c r="A7051" s="139" t="s">
        <v>16445</v>
      </c>
      <c r="B7051" s="139" t="s">
        <v>16443</v>
      </c>
      <c r="C7051" s="139" t="s">
        <v>33</v>
      </c>
      <c r="D7051" s="139" t="s">
        <v>16446</v>
      </c>
    </row>
    <row r="7052" spans="1:4" x14ac:dyDescent="0.25">
      <c r="A7052" s="139" t="s">
        <v>16447</v>
      </c>
      <c r="B7052" s="139" t="s">
        <v>16448</v>
      </c>
      <c r="C7052" s="139" t="s">
        <v>33</v>
      </c>
      <c r="D7052" s="139" t="s">
        <v>16449</v>
      </c>
    </row>
    <row r="7053" spans="1:4" x14ac:dyDescent="0.25">
      <c r="A7053" s="139" t="s">
        <v>16450</v>
      </c>
      <c r="B7053" s="139" t="s">
        <v>16448</v>
      </c>
      <c r="C7053" s="139" t="s">
        <v>33</v>
      </c>
      <c r="D7053" s="139" t="s">
        <v>16451</v>
      </c>
    </row>
    <row r="7054" spans="1:4" x14ac:dyDescent="0.25">
      <c r="A7054" s="139" t="s">
        <v>16452</v>
      </c>
      <c r="B7054" s="139" t="s">
        <v>16453</v>
      </c>
      <c r="C7054" s="139" t="s">
        <v>33</v>
      </c>
      <c r="D7054" s="139" t="s">
        <v>16454</v>
      </c>
    </row>
    <row r="7055" spans="1:4" x14ac:dyDescent="0.25">
      <c r="A7055" s="139" t="s">
        <v>16455</v>
      </c>
      <c r="B7055" s="139" t="s">
        <v>16453</v>
      </c>
      <c r="C7055" s="139" t="s">
        <v>33</v>
      </c>
      <c r="D7055" s="139" t="s">
        <v>16456</v>
      </c>
    </row>
    <row r="7056" spans="1:4" x14ac:dyDescent="0.25">
      <c r="A7056" s="139" t="s">
        <v>16457</v>
      </c>
      <c r="B7056" s="139" t="s">
        <v>16458</v>
      </c>
      <c r="C7056" s="139" t="s">
        <v>33</v>
      </c>
      <c r="D7056" s="139" t="s">
        <v>16459</v>
      </c>
    </row>
    <row r="7057" spans="1:4" x14ac:dyDescent="0.25">
      <c r="A7057" s="139" t="s">
        <v>16460</v>
      </c>
      <c r="B7057" s="139" t="s">
        <v>16458</v>
      </c>
      <c r="C7057" s="139" t="s">
        <v>33</v>
      </c>
      <c r="D7057" s="139" t="s">
        <v>16461</v>
      </c>
    </row>
    <row r="7058" spans="1:4" x14ac:dyDescent="0.25">
      <c r="A7058" s="139" t="s">
        <v>16462</v>
      </c>
      <c r="B7058" s="139" t="s">
        <v>16463</v>
      </c>
      <c r="C7058" s="139" t="s">
        <v>33</v>
      </c>
      <c r="D7058" s="139" t="s">
        <v>16464</v>
      </c>
    </row>
    <row r="7059" spans="1:4" x14ac:dyDescent="0.25">
      <c r="A7059" s="139" t="s">
        <v>16465</v>
      </c>
      <c r="B7059" s="139" t="s">
        <v>16463</v>
      </c>
      <c r="C7059" s="139" t="s">
        <v>33</v>
      </c>
      <c r="D7059" s="139" t="s">
        <v>16466</v>
      </c>
    </row>
    <row r="7060" spans="1:4" x14ac:dyDescent="0.25">
      <c r="A7060" s="139" t="s">
        <v>16467</v>
      </c>
      <c r="B7060" s="139" t="s">
        <v>16468</v>
      </c>
      <c r="C7060" s="139" t="s">
        <v>33</v>
      </c>
      <c r="D7060" s="139" t="s">
        <v>16469</v>
      </c>
    </row>
    <row r="7061" spans="1:4" x14ac:dyDescent="0.25">
      <c r="A7061" s="139" t="s">
        <v>16470</v>
      </c>
      <c r="B7061" s="139" t="s">
        <v>16468</v>
      </c>
      <c r="C7061" s="139" t="s">
        <v>33</v>
      </c>
      <c r="D7061" s="139" t="s">
        <v>16471</v>
      </c>
    </row>
    <row r="7062" spans="1:4" x14ac:dyDescent="0.25">
      <c r="A7062" s="139" t="s">
        <v>16472</v>
      </c>
      <c r="B7062" s="139" t="s">
        <v>16473</v>
      </c>
      <c r="C7062" s="139" t="s">
        <v>33</v>
      </c>
      <c r="D7062" s="139" t="s">
        <v>16474</v>
      </c>
    </row>
    <row r="7063" spans="1:4" x14ac:dyDescent="0.25">
      <c r="A7063" s="139" t="s">
        <v>16475</v>
      </c>
      <c r="B7063" s="139" t="s">
        <v>16473</v>
      </c>
      <c r="C7063" s="139" t="s">
        <v>33</v>
      </c>
      <c r="D7063" s="139" t="s">
        <v>16476</v>
      </c>
    </row>
    <row r="7064" spans="1:4" x14ac:dyDescent="0.25">
      <c r="A7064" s="139" t="s">
        <v>16477</v>
      </c>
      <c r="B7064" s="139" t="s">
        <v>16478</v>
      </c>
      <c r="C7064" s="139" t="s">
        <v>33</v>
      </c>
      <c r="D7064" s="139" t="s">
        <v>16479</v>
      </c>
    </row>
    <row r="7065" spans="1:4" x14ac:dyDescent="0.25">
      <c r="A7065" s="139" t="s">
        <v>16480</v>
      </c>
      <c r="B7065" s="139" t="s">
        <v>16478</v>
      </c>
      <c r="C7065" s="139" t="s">
        <v>33</v>
      </c>
      <c r="D7065" s="139" t="s">
        <v>16481</v>
      </c>
    </row>
    <row r="7066" spans="1:4" x14ac:dyDescent="0.25">
      <c r="A7066" s="139" t="s">
        <v>16482</v>
      </c>
      <c r="B7066" s="139" t="s">
        <v>16483</v>
      </c>
      <c r="C7066" s="139" t="s">
        <v>33</v>
      </c>
      <c r="D7066" s="139" t="s">
        <v>16484</v>
      </c>
    </row>
    <row r="7067" spans="1:4" x14ac:dyDescent="0.25">
      <c r="A7067" s="139" t="s">
        <v>16485</v>
      </c>
      <c r="B7067" s="139" t="s">
        <v>16483</v>
      </c>
      <c r="C7067" s="139" t="s">
        <v>33</v>
      </c>
      <c r="D7067" s="139" t="s">
        <v>16486</v>
      </c>
    </row>
    <row r="7068" spans="1:4" x14ac:dyDescent="0.25">
      <c r="A7068" s="139" t="s">
        <v>16487</v>
      </c>
      <c r="B7068" s="139" t="s">
        <v>9921</v>
      </c>
      <c r="C7068" s="139" t="s">
        <v>33</v>
      </c>
      <c r="D7068" s="139" t="s">
        <v>16488</v>
      </c>
    </row>
    <row r="7069" spans="1:4" x14ac:dyDescent="0.25">
      <c r="A7069" s="139" t="s">
        <v>16489</v>
      </c>
      <c r="B7069" s="139" t="s">
        <v>9921</v>
      </c>
      <c r="C7069" s="139" t="s">
        <v>33</v>
      </c>
      <c r="D7069" s="139" t="s">
        <v>16490</v>
      </c>
    </row>
    <row r="7070" spans="1:4" x14ac:dyDescent="0.25">
      <c r="A7070" s="139" t="s">
        <v>16491</v>
      </c>
      <c r="B7070" s="139" t="s">
        <v>16492</v>
      </c>
      <c r="C7070" s="139" t="s">
        <v>33</v>
      </c>
      <c r="D7070" s="139" t="s">
        <v>16493</v>
      </c>
    </row>
    <row r="7071" spans="1:4" x14ac:dyDescent="0.25">
      <c r="A7071" s="139" t="s">
        <v>16494</v>
      </c>
      <c r="B7071" s="139" t="s">
        <v>16492</v>
      </c>
      <c r="C7071" s="139" t="s">
        <v>33</v>
      </c>
      <c r="D7071" s="139" t="s">
        <v>16495</v>
      </c>
    </row>
    <row r="7072" spans="1:4" x14ac:dyDescent="0.25">
      <c r="A7072" s="139" t="s">
        <v>16496</v>
      </c>
      <c r="B7072" s="139" t="s">
        <v>16497</v>
      </c>
      <c r="C7072" s="139" t="s">
        <v>33</v>
      </c>
      <c r="D7072" s="139" t="s">
        <v>16498</v>
      </c>
    </row>
    <row r="7073" spans="1:4" x14ac:dyDescent="0.25">
      <c r="A7073" s="139" t="s">
        <v>16499</v>
      </c>
      <c r="B7073" s="139" t="s">
        <v>16497</v>
      </c>
      <c r="C7073" s="139" t="s">
        <v>33</v>
      </c>
      <c r="D7073" s="139" t="s">
        <v>16500</v>
      </c>
    </row>
    <row r="7074" spans="1:4" x14ac:dyDescent="0.25">
      <c r="A7074" s="139" t="s">
        <v>16501</v>
      </c>
      <c r="B7074" s="139" t="s">
        <v>16502</v>
      </c>
      <c r="C7074" s="139" t="s">
        <v>33</v>
      </c>
      <c r="D7074" s="139" t="s">
        <v>16503</v>
      </c>
    </row>
    <row r="7075" spans="1:4" x14ac:dyDescent="0.25">
      <c r="A7075" s="139" t="s">
        <v>16504</v>
      </c>
      <c r="B7075" s="139" t="s">
        <v>16502</v>
      </c>
      <c r="C7075" s="139" t="s">
        <v>33</v>
      </c>
      <c r="D7075" s="139" t="s">
        <v>16505</v>
      </c>
    </row>
    <row r="7076" spans="1:4" x14ac:dyDescent="0.25">
      <c r="A7076" s="139" t="s">
        <v>16506</v>
      </c>
      <c r="B7076" s="139" t="s">
        <v>16507</v>
      </c>
      <c r="C7076" s="139" t="s">
        <v>33</v>
      </c>
      <c r="D7076" s="139" t="s">
        <v>16508</v>
      </c>
    </row>
    <row r="7077" spans="1:4" x14ac:dyDescent="0.25">
      <c r="A7077" s="139" t="s">
        <v>16509</v>
      </c>
      <c r="B7077" s="139" t="s">
        <v>16507</v>
      </c>
      <c r="C7077" s="139" t="s">
        <v>33</v>
      </c>
      <c r="D7077" s="139" t="s">
        <v>16510</v>
      </c>
    </row>
    <row r="7078" spans="1:4" x14ac:dyDescent="0.25">
      <c r="A7078" s="139" t="s">
        <v>16511</v>
      </c>
      <c r="B7078" s="139" t="s">
        <v>10234</v>
      </c>
      <c r="C7078" s="139" t="s">
        <v>33</v>
      </c>
      <c r="D7078" s="139" t="s">
        <v>16512</v>
      </c>
    </row>
    <row r="7079" spans="1:4" x14ac:dyDescent="0.25">
      <c r="A7079" s="139" t="s">
        <v>16513</v>
      </c>
      <c r="B7079" s="139" t="s">
        <v>10234</v>
      </c>
      <c r="C7079" s="139" t="s">
        <v>33</v>
      </c>
      <c r="D7079" s="139" t="s">
        <v>16514</v>
      </c>
    </row>
    <row r="7080" spans="1:4" x14ac:dyDescent="0.25">
      <c r="A7080" s="139" t="s">
        <v>16515</v>
      </c>
      <c r="B7080" s="139" t="s">
        <v>229</v>
      </c>
      <c r="C7080" s="139" t="s">
        <v>65</v>
      </c>
      <c r="D7080" s="139" t="s">
        <v>16516</v>
      </c>
    </row>
    <row r="7081" spans="1:4" x14ac:dyDescent="0.25">
      <c r="A7081" s="139" t="s">
        <v>16517</v>
      </c>
      <c r="B7081" s="139" t="s">
        <v>229</v>
      </c>
      <c r="C7081" s="139" t="s">
        <v>65</v>
      </c>
      <c r="D7081" s="139" t="s">
        <v>16518</v>
      </c>
    </row>
    <row r="7082" spans="1:4" x14ac:dyDescent="0.25">
      <c r="A7082" s="139" t="s">
        <v>16519</v>
      </c>
      <c r="B7082" s="139" t="s">
        <v>5613</v>
      </c>
      <c r="C7082" s="139" t="s">
        <v>65</v>
      </c>
      <c r="D7082" s="139" t="s">
        <v>16520</v>
      </c>
    </row>
    <row r="7083" spans="1:4" x14ac:dyDescent="0.25">
      <c r="A7083" s="139" t="s">
        <v>16521</v>
      </c>
      <c r="B7083" s="139" t="s">
        <v>5613</v>
      </c>
      <c r="C7083" s="139" t="s">
        <v>65</v>
      </c>
      <c r="D7083" s="139" t="s">
        <v>16522</v>
      </c>
    </row>
    <row r="7084" spans="1:4" x14ac:dyDescent="0.25">
      <c r="A7084" s="139" t="s">
        <v>16523</v>
      </c>
      <c r="B7084" s="139" t="s">
        <v>5622</v>
      </c>
      <c r="C7084" s="139" t="s">
        <v>65</v>
      </c>
      <c r="D7084" s="139" t="s">
        <v>16524</v>
      </c>
    </row>
    <row r="7085" spans="1:4" x14ac:dyDescent="0.25">
      <c r="A7085" s="139" t="s">
        <v>16525</v>
      </c>
      <c r="B7085" s="139" t="s">
        <v>5622</v>
      </c>
      <c r="C7085" s="139" t="s">
        <v>65</v>
      </c>
      <c r="D7085" s="139" t="s">
        <v>16526</v>
      </c>
    </row>
    <row r="7086" spans="1:4" x14ac:dyDescent="0.25">
      <c r="A7086" s="139" t="s">
        <v>16527</v>
      </c>
      <c r="B7086" s="139" t="s">
        <v>2328</v>
      </c>
      <c r="C7086" s="139" t="s">
        <v>65</v>
      </c>
      <c r="D7086" s="139" t="s">
        <v>16528</v>
      </c>
    </row>
    <row r="7087" spans="1:4" x14ac:dyDescent="0.25">
      <c r="A7087" s="139" t="s">
        <v>16529</v>
      </c>
      <c r="B7087" s="139" t="s">
        <v>2328</v>
      </c>
      <c r="C7087" s="139" t="s">
        <v>65</v>
      </c>
      <c r="D7087" s="139" t="s">
        <v>16530</v>
      </c>
    </row>
    <row r="7088" spans="1:4" x14ac:dyDescent="0.25">
      <c r="A7088" s="139" t="s">
        <v>16531</v>
      </c>
      <c r="B7088" s="139" t="s">
        <v>5631</v>
      </c>
      <c r="C7088" s="139" t="s">
        <v>65</v>
      </c>
      <c r="D7088" s="139" t="s">
        <v>16532</v>
      </c>
    </row>
    <row r="7089" spans="1:4" x14ac:dyDescent="0.25">
      <c r="A7089" s="139" t="s">
        <v>16533</v>
      </c>
      <c r="B7089" s="139" t="s">
        <v>5631</v>
      </c>
      <c r="C7089" s="139" t="s">
        <v>65</v>
      </c>
      <c r="D7089" s="139" t="s">
        <v>16534</v>
      </c>
    </row>
    <row r="7090" spans="1:4" x14ac:dyDescent="0.25">
      <c r="A7090" s="139" t="s">
        <v>16535</v>
      </c>
      <c r="B7090" s="139" t="s">
        <v>16536</v>
      </c>
      <c r="C7090" s="139" t="s">
        <v>65</v>
      </c>
      <c r="D7090" s="139" t="s">
        <v>16537</v>
      </c>
    </row>
    <row r="7091" spans="1:4" x14ac:dyDescent="0.25">
      <c r="A7091" s="139" t="s">
        <v>16538</v>
      </c>
      <c r="B7091" s="139" t="s">
        <v>16536</v>
      </c>
      <c r="C7091" s="139" t="s">
        <v>65</v>
      </c>
      <c r="D7091" s="139" t="s">
        <v>16539</v>
      </c>
    </row>
    <row r="7092" spans="1:4" x14ac:dyDescent="0.25">
      <c r="A7092" s="139" t="s">
        <v>16540</v>
      </c>
      <c r="B7092" s="139" t="s">
        <v>16541</v>
      </c>
      <c r="C7092" s="139" t="s">
        <v>658</v>
      </c>
      <c r="D7092" s="139" t="s">
        <v>16542</v>
      </c>
    </row>
    <row r="7093" spans="1:4" x14ac:dyDescent="0.25">
      <c r="A7093" s="139" t="s">
        <v>16543</v>
      </c>
      <c r="B7093" s="139" t="s">
        <v>16541</v>
      </c>
      <c r="C7093" s="139" t="s">
        <v>658</v>
      </c>
      <c r="D7093" s="139" t="s">
        <v>16544</v>
      </c>
    </row>
    <row r="7094" spans="1:4" x14ac:dyDescent="0.25">
      <c r="A7094" s="139" t="s">
        <v>16545</v>
      </c>
      <c r="B7094" s="139" t="s">
        <v>16546</v>
      </c>
      <c r="C7094" s="139" t="s">
        <v>658</v>
      </c>
      <c r="D7094" s="139" t="s">
        <v>16547</v>
      </c>
    </row>
    <row r="7095" spans="1:4" x14ac:dyDescent="0.25">
      <c r="A7095" s="139" t="s">
        <v>16548</v>
      </c>
      <c r="B7095" s="139" t="s">
        <v>4179</v>
      </c>
      <c r="C7095" s="139" t="s">
        <v>658</v>
      </c>
      <c r="D7095" s="139" t="s">
        <v>16549</v>
      </c>
    </row>
    <row r="7096" spans="1:4" x14ac:dyDescent="0.25">
      <c r="A7096" s="139" t="s">
        <v>16550</v>
      </c>
      <c r="B7096" s="139" t="s">
        <v>9273</v>
      </c>
      <c r="C7096" s="139" t="s">
        <v>2895</v>
      </c>
      <c r="D7096" s="139" t="s">
        <v>16551</v>
      </c>
    </row>
    <row r="7097" spans="1:4" x14ac:dyDescent="0.25">
      <c r="A7097" s="139" t="s">
        <v>16552</v>
      </c>
      <c r="B7097" s="139" t="s">
        <v>9273</v>
      </c>
      <c r="C7097" s="139" t="s">
        <v>2895</v>
      </c>
      <c r="D7097" s="139" t="s">
        <v>16553</v>
      </c>
    </row>
    <row r="7098" spans="1:4" x14ac:dyDescent="0.25">
      <c r="A7098" s="139" t="s">
        <v>16554</v>
      </c>
      <c r="B7098" s="139" t="s">
        <v>1049</v>
      </c>
      <c r="C7098" s="139" t="s">
        <v>2895</v>
      </c>
      <c r="D7098" s="139" t="s">
        <v>16555</v>
      </c>
    </row>
    <row r="7099" spans="1:4" x14ac:dyDescent="0.25">
      <c r="A7099" s="139" t="s">
        <v>16556</v>
      </c>
      <c r="B7099" s="139" t="s">
        <v>1049</v>
      </c>
      <c r="C7099" s="139" t="s">
        <v>2895</v>
      </c>
      <c r="D7099" s="139" t="s">
        <v>16557</v>
      </c>
    </row>
    <row r="7100" spans="1:4" x14ac:dyDescent="0.25">
      <c r="A7100" s="139" t="s">
        <v>16558</v>
      </c>
      <c r="B7100" s="139" t="s">
        <v>1039</v>
      </c>
      <c r="C7100" s="139" t="s">
        <v>2895</v>
      </c>
      <c r="D7100" s="139" t="s">
        <v>16559</v>
      </c>
    </row>
    <row r="7101" spans="1:4" x14ac:dyDescent="0.25">
      <c r="A7101" s="139" t="s">
        <v>16560</v>
      </c>
      <c r="B7101" s="139" t="s">
        <v>1039</v>
      </c>
      <c r="C7101" s="139" t="s">
        <v>2895</v>
      </c>
      <c r="D7101" s="139" t="s">
        <v>16561</v>
      </c>
    </row>
    <row r="7102" spans="1:4" x14ac:dyDescent="0.25">
      <c r="A7102" s="139" t="s">
        <v>16562</v>
      </c>
      <c r="B7102" s="139" t="s">
        <v>4156</v>
      </c>
      <c r="C7102" s="139" t="s">
        <v>2895</v>
      </c>
      <c r="D7102" s="139" t="s">
        <v>16563</v>
      </c>
    </row>
    <row r="7103" spans="1:4" x14ac:dyDescent="0.25">
      <c r="A7103" s="139" t="s">
        <v>16564</v>
      </c>
      <c r="B7103" s="139" t="s">
        <v>4156</v>
      </c>
      <c r="C7103" s="139" t="s">
        <v>2895</v>
      </c>
      <c r="D7103" s="139" t="s">
        <v>16565</v>
      </c>
    </row>
    <row r="7104" spans="1:4" x14ac:dyDescent="0.25">
      <c r="A7104" s="139" t="s">
        <v>16566</v>
      </c>
      <c r="B7104" s="139" t="s">
        <v>895</v>
      </c>
      <c r="C7104" s="139" t="s">
        <v>2895</v>
      </c>
      <c r="D7104" s="139" t="s">
        <v>16567</v>
      </c>
    </row>
    <row r="7105" spans="1:4" x14ac:dyDescent="0.25">
      <c r="A7105" s="139" t="s">
        <v>16568</v>
      </c>
      <c r="B7105" s="139" t="s">
        <v>895</v>
      </c>
      <c r="C7105" s="139" t="s">
        <v>2895</v>
      </c>
      <c r="D7105" s="139" t="s">
        <v>16569</v>
      </c>
    </row>
    <row r="7106" spans="1:4" x14ac:dyDescent="0.25">
      <c r="A7106" s="139" t="s">
        <v>16570</v>
      </c>
      <c r="B7106" s="139" t="s">
        <v>15831</v>
      </c>
      <c r="C7106" s="139" t="s">
        <v>2895</v>
      </c>
      <c r="D7106" s="139" t="s">
        <v>16571</v>
      </c>
    </row>
    <row r="7107" spans="1:4" x14ac:dyDescent="0.25">
      <c r="A7107" s="139" t="s">
        <v>16572</v>
      </c>
      <c r="B7107" s="139" t="s">
        <v>15831</v>
      </c>
      <c r="C7107" s="139" t="s">
        <v>2895</v>
      </c>
      <c r="D7107" s="139" t="s">
        <v>16573</v>
      </c>
    </row>
    <row r="7108" spans="1:4" x14ac:dyDescent="0.25">
      <c r="A7108" s="139" t="s">
        <v>16574</v>
      </c>
      <c r="B7108" s="139" t="s">
        <v>1305</v>
      </c>
      <c r="C7108" s="139" t="s">
        <v>2895</v>
      </c>
      <c r="D7108" s="139" t="s">
        <v>16575</v>
      </c>
    </row>
    <row r="7109" spans="1:4" x14ac:dyDescent="0.25">
      <c r="A7109" s="139" t="s">
        <v>16576</v>
      </c>
      <c r="B7109" s="139" t="s">
        <v>1305</v>
      </c>
      <c r="C7109" s="139" t="s">
        <v>2895</v>
      </c>
      <c r="D7109" s="139" t="s">
        <v>16577</v>
      </c>
    </row>
    <row r="7110" spans="1:4" x14ac:dyDescent="0.25">
      <c r="A7110" s="139" t="s">
        <v>16578</v>
      </c>
      <c r="B7110" s="139" t="s">
        <v>1380</v>
      </c>
      <c r="C7110" s="139" t="s">
        <v>127</v>
      </c>
      <c r="D7110" s="139" t="s">
        <v>16579</v>
      </c>
    </row>
    <row r="7111" spans="1:4" x14ac:dyDescent="0.25">
      <c r="A7111" s="139" t="s">
        <v>16580</v>
      </c>
      <c r="B7111" s="139" t="s">
        <v>1380</v>
      </c>
      <c r="C7111" s="139" t="s">
        <v>127</v>
      </c>
      <c r="D7111" s="139" t="s">
        <v>16581</v>
      </c>
    </row>
    <row r="7112" spans="1:4" x14ac:dyDescent="0.25">
      <c r="A7112" s="139" t="s">
        <v>16582</v>
      </c>
      <c r="B7112" s="139" t="s">
        <v>15818</v>
      </c>
      <c r="C7112" s="139" t="s">
        <v>127</v>
      </c>
      <c r="D7112" s="139" t="s">
        <v>16583</v>
      </c>
    </row>
    <row r="7113" spans="1:4" x14ac:dyDescent="0.25">
      <c r="A7113" s="139" t="s">
        <v>16584</v>
      </c>
      <c r="B7113" s="139" t="s">
        <v>15818</v>
      </c>
      <c r="C7113" s="139" t="s">
        <v>127</v>
      </c>
      <c r="D7113" s="139" t="s">
        <v>16585</v>
      </c>
    </row>
    <row r="7114" spans="1:4" x14ac:dyDescent="0.25">
      <c r="A7114" s="139" t="s">
        <v>16586</v>
      </c>
      <c r="B7114" s="139" t="s">
        <v>16587</v>
      </c>
      <c r="C7114" s="139" t="s">
        <v>2895</v>
      </c>
      <c r="D7114" s="139" t="s">
        <v>16588</v>
      </c>
    </row>
    <row r="7115" spans="1:4" x14ac:dyDescent="0.25">
      <c r="A7115" s="139" t="s">
        <v>16589</v>
      </c>
      <c r="B7115" s="139" t="s">
        <v>16587</v>
      </c>
      <c r="C7115" s="139" t="s">
        <v>2895</v>
      </c>
      <c r="D7115" s="139" t="s">
        <v>16590</v>
      </c>
    </row>
    <row r="7116" spans="1:4" x14ac:dyDescent="0.25">
      <c r="A7116" s="139" t="s">
        <v>16591</v>
      </c>
      <c r="B7116" s="139" t="s">
        <v>1389</v>
      </c>
      <c r="C7116" s="139" t="s">
        <v>2895</v>
      </c>
      <c r="D7116" s="139" t="s">
        <v>16592</v>
      </c>
    </row>
    <row r="7117" spans="1:4" x14ac:dyDescent="0.25">
      <c r="A7117" s="139" t="s">
        <v>16593</v>
      </c>
      <c r="B7117" s="139" t="s">
        <v>1389</v>
      </c>
      <c r="C7117" s="139" t="s">
        <v>2895</v>
      </c>
      <c r="D7117" s="139" t="s">
        <v>16594</v>
      </c>
    </row>
    <row r="7118" spans="1:4" x14ac:dyDescent="0.25">
      <c r="A7118" s="139" t="s">
        <v>16595</v>
      </c>
      <c r="B7118" s="139" t="s">
        <v>329</v>
      </c>
      <c r="C7118" s="139" t="s">
        <v>2895</v>
      </c>
      <c r="D7118" s="139" t="s">
        <v>16596</v>
      </c>
    </row>
    <row r="7119" spans="1:4" x14ac:dyDescent="0.25">
      <c r="A7119" s="139" t="s">
        <v>16597</v>
      </c>
      <c r="B7119" s="139" t="s">
        <v>329</v>
      </c>
      <c r="C7119" s="139" t="s">
        <v>2895</v>
      </c>
      <c r="D7119" s="139" t="s">
        <v>16598</v>
      </c>
    </row>
    <row r="7120" spans="1:4" x14ac:dyDescent="0.25">
      <c r="A7120" s="139" t="s">
        <v>16599</v>
      </c>
      <c r="B7120" s="139" t="s">
        <v>5515</v>
      </c>
      <c r="C7120" s="139" t="s">
        <v>2895</v>
      </c>
      <c r="D7120" s="139" t="s">
        <v>16600</v>
      </c>
    </row>
    <row r="7121" spans="1:4" x14ac:dyDescent="0.25">
      <c r="A7121" s="139" t="s">
        <v>16601</v>
      </c>
      <c r="B7121" s="139" t="s">
        <v>5515</v>
      </c>
      <c r="C7121" s="139" t="s">
        <v>2895</v>
      </c>
      <c r="D7121" s="139" t="s">
        <v>16602</v>
      </c>
    </row>
    <row r="7122" spans="1:4" x14ac:dyDescent="0.25">
      <c r="A7122" s="139" t="s">
        <v>16603</v>
      </c>
      <c r="B7122" s="139" t="s">
        <v>5541</v>
      </c>
      <c r="C7122" s="139" t="s">
        <v>2895</v>
      </c>
      <c r="D7122" s="139" t="s">
        <v>16604</v>
      </c>
    </row>
    <row r="7123" spans="1:4" x14ac:dyDescent="0.25">
      <c r="A7123" s="139" t="s">
        <v>16605</v>
      </c>
      <c r="B7123" s="139" t="s">
        <v>5541</v>
      </c>
      <c r="C7123" s="139" t="s">
        <v>2895</v>
      </c>
      <c r="D7123" s="139" t="s">
        <v>16606</v>
      </c>
    </row>
    <row r="7124" spans="1:4" x14ac:dyDescent="0.25">
      <c r="A7124" s="139" t="s">
        <v>16607</v>
      </c>
      <c r="B7124" s="139" t="s">
        <v>994</v>
      </c>
      <c r="C7124" s="139" t="s">
        <v>2895</v>
      </c>
      <c r="D7124" s="139" t="s">
        <v>16608</v>
      </c>
    </row>
    <row r="7125" spans="1:4" x14ac:dyDescent="0.25">
      <c r="A7125" s="139" t="s">
        <v>16609</v>
      </c>
      <c r="B7125" s="139" t="s">
        <v>994</v>
      </c>
      <c r="C7125" s="139" t="s">
        <v>2895</v>
      </c>
      <c r="D7125" s="139" t="s">
        <v>16610</v>
      </c>
    </row>
    <row r="7126" spans="1:4" x14ac:dyDescent="0.25">
      <c r="A7126" s="139" t="s">
        <v>16611</v>
      </c>
      <c r="B7126" s="139" t="s">
        <v>6413</v>
      </c>
      <c r="C7126" s="139" t="s">
        <v>2895</v>
      </c>
      <c r="D7126" s="139" t="s">
        <v>16612</v>
      </c>
    </row>
    <row r="7127" spans="1:4" x14ac:dyDescent="0.25">
      <c r="A7127" s="139" t="s">
        <v>16613</v>
      </c>
      <c r="B7127" s="139" t="s">
        <v>6413</v>
      </c>
      <c r="C7127" s="139" t="s">
        <v>2895</v>
      </c>
      <c r="D7127" s="139" t="s">
        <v>16614</v>
      </c>
    </row>
    <row r="7128" spans="1:4" x14ac:dyDescent="0.25">
      <c r="A7128" s="139" t="s">
        <v>16615</v>
      </c>
      <c r="B7128" s="139" t="s">
        <v>5515</v>
      </c>
      <c r="C7128" s="139" t="s">
        <v>2895</v>
      </c>
      <c r="D7128" s="139" t="s">
        <v>16616</v>
      </c>
    </row>
    <row r="7129" spans="1:4" x14ac:dyDescent="0.25">
      <c r="A7129" s="139" t="s">
        <v>16617</v>
      </c>
      <c r="B7129" s="139" t="s">
        <v>5515</v>
      </c>
      <c r="C7129" s="139" t="s">
        <v>2895</v>
      </c>
      <c r="D7129" s="139" t="s">
        <v>16618</v>
      </c>
    </row>
    <row r="7130" spans="1:4" x14ac:dyDescent="0.25">
      <c r="A7130" s="139" t="s">
        <v>16619</v>
      </c>
      <c r="B7130" s="139" t="s">
        <v>5541</v>
      </c>
      <c r="C7130" s="139" t="s">
        <v>2895</v>
      </c>
      <c r="D7130" s="139" t="s">
        <v>16620</v>
      </c>
    </row>
    <row r="7131" spans="1:4" x14ac:dyDescent="0.25">
      <c r="A7131" s="139" t="s">
        <v>16621</v>
      </c>
      <c r="B7131" s="139" t="s">
        <v>5541</v>
      </c>
      <c r="C7131" s="139" t="s">
        <v>2895</v>
      </c>
      <c r="D7131" s="139" t="s">
        <v>16622</v>
      </c>
    </row>
    <row r="7132" spans="1:4" x14ac:dyDescent="0.25">
      <c r="A7132" s="139" t="s">
        <v>16623</v>
      </c>
      <c r="B7132" s="139" t="s">
        <v>4086</v>
      </c>
      <c r="C7132" s="139" t="s">
        <v>2895</v>
      </c>
      <c r="D7132" s="139" t="s">
        <v>16624</v>
      </c>
    </row>
    <row r="7133" spans="1:4" x14ac:dyDescent="0.25">
      <c r="A7133" s="139" t="s">
        <v>16625</v>
      </c>
      <c r="B7133" s="139" t="s">
        <v>4086</v>
      </c>
      <c r="C7133" s="139" t="s">
        <v>2895</v>
      </c>
      <c r="D7133" s="139" t="s">
        <v>16626</v>
      </c>
    </row>
    <row r="7134" spans="1:4" x14ac:dyDescent="0.25">
      <c r="A7134" s="139" t="s">
        <v>16627</v>
      </c>
      <c r="B7134" s="139" t="s">
        <v>16628</v>
      </c>
      <c r="C7134" s="139" t="s">
        <v>2895</v>
      </c>
      <c r="D7134" s="139" t="s">
        <v>16629</v>
      </c>
    </row>
    <row r="7135" spans="1:4" x14ac:dyDescent="0.25">
      <c r="A7135" s="139" t="s">
        <v>16630</v>
      </c>
      <c r="B7135" s="139" t="s">
        <v>16628</v>
      </c>
      <c r="C7135" s="139" t="s">
        <v>2895</v>
      </c>
      <c r="D7135" s="139" t="s">
        <v>16631</v>
      </c>
    </row>
    <row r="7136" spans="1:4" x14ac:dyDescent="0.25">
      <c r="A7136" s="139" t="s">
        <v>16632</v>
      </c>
      <c r="B7136" s="139" t="s">
        <v>1276</v>
      </c>
      <c r="C7136" s="139" t="s">
        <v>2895</v>
      </c>
      <c r="D7136" s="139" t="s">
        <v>16633</v>
      </c>
    </row>
    <row r="7137" spans="1:4" x14ac:dyDescent="0.25">
      <c r="A7137" s="139" t="s">
        <v>16634</v>
      </c>
      <c r="B7137" s="139" t="s">
        <v>1276</v>
      </c>
      <c r="C7137" s="139" t="s">
        <v>2895</v>
      </c>
      <c r="D7137" s="139" t="s">
        <v>16635</v>
      </c>
    </row>
    <row r="7138" spans="1:4" x14ac:dyDescent="0.25">
      <c r="A7138" s="139" t="s">
        <v>16636</v>
      </c>
      <c r="B7138" s="139" t="s">
        <v>1238</v>
      </c>
      <c r="C7138" s="139" t="s">
        <v>2895</v>
      </c>
      <c r="D7138" s="139" t="s">
        <v>16637</v>
      </c>
    </row>
    <row r="7139" spans="1:4" x14ac:dyDescent="0.25">
      <c r="A7139" s="139" t="s">
        <v>16638</v>
      </c>
      <c r="B7139" s="139" t="s">
        <v>1238</v>
      </c>
      <c r="C7139" s="139" t="s">
        <v>2895</v>
      </c>
      <c r="D7139" s="139" t="s">
        <v>16639</v>
      </c>
    </row>
    <row r="7140" spans="1:4" x14ac:dyDescent="0.25">
      <c r="A7140" s="139" t="s">
        <v>16640</v>
      </c>
      <c r="B7140" s="139" t="s">
        <v>397</v>
      </c>
      <c r="C7140" s="139" t="s">
        <v>2895</v>
      </c>
      <c r="D7140" s="139" t="s">
        <v>16641</v>
      </c>
    </row>
    <row r="7141" spans="1:4" x14ac:dyDescent="0.25">
      <c r="A7141" s="139" t="s">
        <v>16642</v>
      </c>
      <c r="B7141" s="139" t="s">
        <v>397</v>
      </c>
      <c r="C7141" s="139" t="s">
        <v>2895</v>
      </c>
      <c r="D7141" s="139" t="s">
        <v>16643</v>
      </c>
    </row>
    <row r="7142" spans="1:4" x14ac:dyDescent="0.25">
      <c r="A7142" s="139" t="s">
        <v>16644</v>
      </c>
      <c r="B7142" s="139" t="s">
        <v>6652</v>
      </c>
      <c r="C7142" s="139" t="s">
        <v>2895</v>
      </c>
      <c r="D7142" s="139" t="s">
        <v>16645</v>
      </c>
    </row>
    <row r="7143" spans="1:4" x14ac:dyDescent="0.25">
      <c r="A7143" s="139" t="s">
        <v>16646</v>
      </c>
      <c r="B7143" s="139" t="s">
        <v>6652</v>
      </c>
      <c r="C7143" s="139" t="s">
        <v>2895</v>
      </c>
      <c r="D7143" s="139" t="s">
        <v>16647</v>
      </c>
    </row>
    <row r="7144" spans="1:4" x14ac:dyDescent="0.25">
      <c r="A7144" s="139" t="s">
        <v>16648</v>
      </c>
      <c r="B7144" s="139" t="s">
        <v>4442</v>
      </c>
      <c r="C7144" s="139" t="s">
        <v>2895</v>
      </c>
      <c r="D7144" s="139" t="s">
        <v>16649</v>
      </c>
    </row>
    <row r="7145" spans="1:4" x14ac:dyDescent="0.25">
      <c r="A7145" s="139" t="s">
        <v>16650</v>
      </c>
      <c r="B7145" s="139" t="s">
        <v>4442</v>
      </c>
      <c r="C7145" s="139" t="s">
        <v>2895</v>
      </c>
      <c r="D7145" s="139" t="s">
        <v>16651</v>
      </c>
    </row>
    <row r="7146" spans="1:4" x14ac:dyDescent="0.25">
      <c r="A7146" s="139" t="s">
        <v>16652</v>
      </c>
      <c r="B7146" s="139" t="s">
        <v>3467</v>
      </c>
      <c r="C7146" s="139" t="s">
        <v>2895</v>
      </c>
      <c r="D7146" s="139" t="s">
        <v>16653</v>
      </c>
    </row>
    <row r="7147" spans="1:4" x14ac:dyDescent="0.25">
      <c r="A7147" s="139" t="s">
        <v>16654</v>
      </c>
      <c r="B7147" s="139" t="s">
        <v>3467</v>
      </c>
      <c r="C7147" s="139" t="s">
        <v>2895</v>
      </c>
      <c r="D7147" s="139" t="s">
        <v>16655</v>
      </c>
    </row>
    <row r="7148" spans="1:4" x14ac:dyDescent="0.25">
      <c r="A7148" s="139" t="s">
        <v>16656</v>
      </c>
      <c r="B7148" s="139" t="s">
        <v>397</v>
      </c>
      <c r="C7148" s="139" t="s">
        <v>2895</v>
      </c>
      <c r="D7148" s="139" t="s">
        <v>16657</v>
      </c>
    </row>
    <row r="7149" spans="1:4" x14ac:dyDescent="0.25">
      <c r="A7149" s="139" t="s">
        <v>16658</v>
      </c>
      <c r="B7149" s="139" t="s">
        <v>397</v>
      </c>
      <c r="C7149" s="139" t="s">
        <v>2895</v>
      </c>
      <c r="D7149" s="139" t="s">
        <v>16659</v>
      </c>
    </row>
    <row r="7150" spans="1:4" x14ac:dyDescent="0.25">
      <c r="A7150" s="139" t="s">
        <v>16660</v>
      </c>
      <c r="B7150" s="139" t="s">
        <v>6652</v>
      </c>
      <c r="C7150" s="139" t="s">
        <v>2895</v>
      </c>
      <c r="D7150" s="139" t="s">
        <v>16661</v>
      </c>
    </row>
    <row r="7151" spans="1:4" x14ac:dyDescent="0.25">
      <c r="A7151" s="139" t="s">
        <v>16662</v>
      </c>
      <c r="B7151" s="139" t="s">
        <v>6652</v>
      </c>
      <c r="C7151" s="139" t="s">
        <v>2895</v>
      </c>
      <c r="D7151" s="139" t="s">
        <v>16663</v>
      </c>
    </row>
    <row r="7152" spans="1:4" x14ac:dyDescent="0.25">
      <c r="A7152" s="139" t="s">
        <v>16664</v>
      </c>
      <c r="B7152" s="139" t="s">
        <v>1748</v>
      </c>
      <c r="C7152" s="139" t="s">
        <v>112</v>
      </c>
      <c r="D7152" s="139" t="s">
        <v>16665</v>
      </c>
    </row>
    <row r="7153" spans="1:4" x14ac:dyDescent="0.25">
      <c r="A7153" s="139" t="s">
        <v>16666</v>
      </c>
      <c r="B7153" s="139" t="s">
        <v>1748</v>
      </c>
      <c r="C7153" s="139" t="s">
        <v>112</v>
      </c>
      <c r="D7153" s="139" t="s">
        <v>16667</v>
      </c>
    </row>
    <row r="7154" spans="1:4" x14ac:dyDescent="0.25">
      <c r="A7154" s="139" t="s">
        <v>16668</v>
      </c>
      <c r="B7154" s="139" t="s">
        <v>15936</v>
      </c>
      <c r="C7154" s="139" t="s">
        <v>44</v>
      </c>
      <c r="D7154" s="139" t="s">
        <v>16669</v>
      </c>
    </row>
    <row r="7155" spans="1:4" x14ac:dyDescent="0.25">
      <c r="A7155" s="139" t="s">
        <v>16670</v>
      </c>
      <c r="B7155" s="139" t="s">
        <v>15936</v>
      </c>
      <c r="C7155" s="139" t="s">
        <v>44</v>
      </c>
      <c r="D7155" s="139" t="s">
        <v>16671</v>
      </c>
    </row>
    <row r="7156" spans="1:4" x14ac:dyDescent="0.25">
      <c r="A7156" s="139" t="s">
        <v>16672</v>
      </c>
      <c r="B7156" s="139" t="s">
        <v>16673</v>
      </c>
      <c r="C7156" s="139" t="s">
        <v>44</v>
      </c>
      <c r="D7156" s="139" t="s">
        <v>16674</v>
      </c>
    </row>
    <row r="7157" spans="1:4" x14ac:dyDescent="0.25">
      <c r="A7157" s="139" t="s">
        <v>16675</v>
      </c>
      <c r="B7157" s="139" t="s">
        <v>16673</v>
      </c>
      <c r="C7157" s="139" t="s">
        <v>44</v>
      </c>
      <c r="D7157" s="139" t="s">
        <v>16676</v>
      </c>
    </row>
    <row r="7158" spans="1:4" x14ac:dyDescent="0.25">
      <c r="A7158" s="139" t="s">
        <v>16677</v>
      </c>
      <c r="B7158" s="139" t="s">
        <v>16678</v>
      </c>
      <c r="C7158" s="139" t="s">
        <v>44</v>
      </c>
      <c r="D7158" s="139" t="s">
        <v>16679</v>
      </c>
    </row>
    <row r="7159" spans="1:4" x14ac:dyDescent="0.25">
      <c r="A7159" s="139" t="s">
        <v>16680</v>
      </c>
      <c r="B7159" s="139" t="s">
        <v>16678</v>
      </c>
      <c r="C7159" s="139" t="s">
        <v>44</v>
      </c>
      <c r="D7159" s="139" t="s">
        <v>16681</v>
      </c>
    </row>
    <row r="7160" spans="1:4" x14ac:dyDescent="0.25">
      <c r="A7160" s="139" t="s">
        <v>16682</v>
      </c>
      <c r="B7160" s="139" t="s">
        <v>16683</v>
      </c>
      <c r="C7160" s="139" t="s">
        <v>44</v>
      </c>
      <c r="D7160" s="139" t="s">
        <v>16684</v>
      </c>
    </row>
    <row r="7161" spans="1:4" x14ac:dyDescent="0.25">
      <c r="A7161" s="139" t="s">
        <v>16685</v>
      </c>
      <c r="B7161" s="139" t="s">
        <v>16683</v>
      </c>
      <c r="C7161" s="139" t="s">
        <v>44</v>
      </c>
      <c r="D7161" s="139" t="s">
        <v>16686</v>
      </c>
    </row>
    <row r="7162" spans="1:4" x14ac:dyDescent="0.25">
      <c r="A7162" s="139" t="s">
        <v>16687</v>
      </c>
      <c r="B7162" s="139" t="s">
        <v>16688</v>
      </c>
      <c r="C7162" s="139" t="s">
        <v>112</v>
      </c>
      <c r="D7162" s="139" t="s">
        <v>16689</v>
      </c>
    </row>
    <row r="7163" spans="1:4" x14ac:dyDescent="0.25">
      <c r="A7163" s="139" t="s">
        <v>16690</v>
      </c>
      <c r="B7163" s="139" t="s">
        <v>16688</v>
      </c>
      <c r="C7163" s="139" t="s">
        <v>112</v>
      </c>
      <c r="D7163" s="139" t="s">
        <v>16691</v>
      </c>
    </row>
    <row r="7164" spans="1:4" x14ac:dyDescent="0.25">
      <c r="A7164" s="139" t="s">
        <v>16692</v>
      </c>
      <c r="B7164" s="139" t="s">
        <v>8215</v>
      </c>
      <c r="C7164" s="139" t="s">
        <v>112</v>
      </c>
      <c r="D7164" s="139" t="s">
        <v>16693</v>
      </c>
    </row>
    <row r="7165" spans="1:4" x14ac:dyDescent="0.25">
      <c r="A7165" s="139" t="s">
        <v>16694</v>
      </c>
      <c r="B7165" s="139" t="s">
        <v>8215</v>
      </c>
      <c r="C7165" s="139" t="s">
        <v>112</v>
      </c>
      <c r="D7165" s="139" t="s">
        <v>16695</v>
      </c>
    </row>
    <row r="7166" spans="1:4" x14ac:dyDescent="0.25">
      <c r="A7166" s="139" t="s">
        <v>16696</v>
      </c>
      <c r="B7166" s="139" t="s">
        <v>16697</v>
      </c>
      <c r="C7166" s="139" t="s">
        <v>112</v>
      </c>
      <c r="D7166" s="139" t="s">
        <v>16698</v>
      </c>
    </row>
    <row r="7167" spans="1:4" x14ac:dyDescent="0.25">
      <c r="A7167" s="139" t="s">
        <v>16699</v>
      </c>
      <c r="B7167" s="139" t="s">
        <v>16697</v>
      </c>
      <c r="C7167" s="139" t="s">
        <v>112</v>
      </c>
      <c r="D7167" s="139" t="s">
        <v>16700</v>
      </c>
    </row>
    <row r="7168" spans="1:4" x14ac:dyDescent="0.25">
      <c r="A7168" s="139" t="s">
        <v>16701</v>
      </c>
      <c r="B7168" s="139" t="s">
        <v>16702</v>
      </c>
      <c r="C7168" s="139" t="s">
        <v>112</v>
      </c>
      <c r="D7168" s="139" t="s">
        <v>16703</v>
      </c>
    </row>
    <row r="7169" spans="1:4" x14ac:dyDescent="0.25">
      <c r="A7169" s="139" t="s">
        <v>16704</v>
      </c>
      <c r="B7169" s="139" t="s">
        <v>16702</v>
      </c>
      <c r="C7169" s="139" t="s">
        <v>112</v>
      </c>
      <c r="D7169" s="139" t="s">
        <v>16705</v>
      </c>
    </row>
    <row r="7170" spans="1:4" x14ac:dyDescent="0.25">
      <c r="A7170" s="139" t="s">
        <v>16706</v>
      </c>
      <c r="B7170" s="139" t="s">
        <v>16707</v>
      </c>
      <c r="C7170" s="139" t="s">
        <v>112</v>
      </c>
      <c r="D7170" s="139" t="s">
        <v>16708</v>
      </c>
    </row>
    <row r="7171" spans="1:4" x14ac:dyDescent="0.25">
      <c r="A7171" s="139" t="s">
        <v>16709</v>
      </c>
      <c r="B7171" s="139" t="s">
        <v>16707</v>
      </c>
      <c r="C7171" s="139" t="s">
        <v>112</v>
      </c>
      <c r="D7171" s="139" t="s">
        <v>16710</v>
      </c>
    </row>
    <row r="7172" spans="1:4" x14ac:dyDescent="0.25">
      <c r="A7172" s="139" t="s">
        <v>16711</v>
      </c>
      <c r="B7172" s="139" t="s">
        <v>7056</v>
      </c>
      <c r="C7172" s="139" t="s">
        <v>112</v>
      </c>
      <c r="D7172" s="139" t="s">
        <v>16712</v>
      </c>
    </row>
    <row r="7173" spans="1:4" x14ac:dyDescent="0.25">
      <c r="A7173" s="139" t="s">
        <v>16713</v>
      </c>
      <c r="B7173" s="139" t="s">
        <v>7056</v>
      </c>
      <c r="C7173" s="139" t="s">
        <v>112</v>
      </c>
      <c r="D7173" s="139" t="s">
        <v>16714</v>
      </c>
    </row>
    <row r="7174" spans="1:4" x14ac:dyDescent="0.25">
      <c r="A7174" s="139" t="s">
        <v>16715</v>
      </c>
      <c r="B7174" s="139" t="s">
        <v>16716</v>
      </c>
      <c r="C7174" s="139" t="s">
        <v>112</v>
      </c>
      <c r="D7174" s="139" t="s">
        <v>16717</v>
      </c>
    </row>
    <row r="7175" spans="1:4" x14ac:dyDescent="0.25">
      <c r="A7175" s="139" t="s">
        <v>16718</v>
      </c>
      <c r="B7175" s="139" t="s">
        <v>16716</v>
      </c>
      <c r="C7175" s="139" t="s">
        <v>112</v>
      </c>
      <c r="D7175" s="139" t="s">
        <v>16719</v>
      </c>
    </row>
    <row r="7176" spans="1:4" x14ac:dyDescent="0.25">
      <c r="A7176" s="139" t="s">
        <v>16720</v>
      </c>
      <c r="B7176" s="139" t="s">
        <v>16721</v>
      </c>
      <c r="C7176" s="139" t="s">
        <v>112</v>
      </c>
      <c r="D7176" s="139" t="s">
        <v>16722</v>
      </c>
    </row>
    <row r="7177" spans="1:4" x14ac:dyDescent="0.25">
      <c r="A7177" s="139" t="s">
        <v>16723</v>
      </c>
      <c r="B7177" s="139" t="s">
        <v>16721</v>
      </c>
      <c r="C7177" s="139" t="s">
        <v>112</v>
      </c>
      <c r="D7177" s="139" t="s">
        <v>16724</v>
      </c>
    </row>
    <row r="7178" spans="1:4" x14ac:dyDescent="0.25">
      <c r="A7178" s="139" t="s">
        <v>16725</v>
      </c>
      <c r="B7178" s="139" t="s">
        <v>16726</v>
      </c>
      <c r="C7178" s="139" t="s">
        <v>112</v>
      </c>
      <c r="D7178" s="139" t="s">
        <v>16727</v>
      </c>
    </row>
    <row r="7179" spans="1:4" x14ac:dyDescent="0.25">
      <c r="A7179" s="139" t="s">
        <v>16728</v>
      </c>
      <c r="B7179" s="139" t="s">
        <v>16726</v>
      </c>
      <c r="C7179" s="139" t="s">
        <v>112</v>
      </c>
      <c r="D7179" s="139" t="s">
        <v>16729</v>
      </c>
    </row>
    <row r="7180" spans="1:4" x14ac:dyDescent="0.25">
      <c r="A7180" s="139" t="s">
        <v>16730</v>
      </c>
      <c r="B7180" s="139" t="s">
        <v>3353</v>
      </c>
      <c r="C7180" s="139" t="s">
        <v>112</v>
      </c>
      <c r="D7180" s="139" t="s">
        <v>16731</v>
      </c>
    </row>
    <row r="7181" spans="1:4" x14ac:dyDescent="0.25">
      <c r="A7181" s="139" t="s">
        <v>16732</v>
      </c>
      <c r="B7181" s="139" t="s">
        <v>3353</v>
      </c>
      <c r="C7181" s="139" t="s">
        <v>112</v>
      </c>
      <c r="D7181" s="139" t="s">
        <v>16733</v>
      </c>
    </row>
    <row r="7182" spans="1:4" x14ac:dyDescent="0.25">
      <c r="A7182" s="139" t="s">
        <v>16734</v>
      </c>
      <c r="B7182" s="139" t="s">
        <v>16735</v>
      </c>
      <c r="C7182" s="139" t="s">
        <v>112</v>
      </c>
      <c r="D7182" s="139" t="s">
        <v>16736</v>
      </c>
    </row>
    <row r="7183" spans="1:4" x14ac:dyDescent="0.25">
      <c r="A7183" s="139" t="s">
        <v>16737</v>
      </c>
      <c r="B7183" s="139" t="s">
        <v>16735</v>
      </c>
      <c r="C7183" s="139" t="s">
        <v>112</v>
      </c>
      <c r="D7183" s="139" t="s">
        <v>16738</v>
      </c>
    </row>
    <row r="7184" spans="1:4" x14ac:dyDescent="0.25">
      <c r="A7184" s="139" t="s">
        <v>16739</v>
      </c>
      <c r="B7184" s="139" t="s">
        <v>16740</v>
      </c>
      <c r="C7184" s="139" t="s">
        <v>112</v>
      </c>
      <c r="D7184" s="139" t="s">
        <v>16741</v>
      </c>
    </row>
    <row r="7185" spans="1:4" x14ac:dyDescent="0.25">
      <c r="A7185" s="139" t="s">
        <v>16742</v>
      </c>
      <c r="B7185" s="139" t="s">
        <v>16740</v>
      </c>
      <c r="C7185" s="139" t="s">
        <v>112</v>
      </c>
      <c r="D7185" s="139" t="s">
        <v>16743</v>
      </c>
    </row>
    <row r="7186" spans="1:4" x14ac:dyDescent="0.25">
      <c r="A7186" s="139" t="s">
        <v>16744</v>
      </c>
      <c r="B7186" s="139" t="s">
        <v>16745</v>
      </c>
      <c r="C7186" s="139" t="s">
        <v>112</v>
      </c>
      <c r="D7186" s="139" t="s">
        <v>16746</v>
      </c>
    </row>
    <row r="7187" spans="1:4" x14ac:dyDescent="0.25">
      <c r="A7187" s="139" t="s">
        <v>16747</v>
      </c>
      <c r="B7187" s="139" t="s">
        <v>16745</v>
      </c>
      <c r="C7187" s="139" t="s">
        <v>112</v>
      </c>
      <c r="D7187" s="139" t="s">
        <v>16748</v>
      </c>
    </row>
    <row r="7188" spans="1:4" x14ac:dyDescent="0.25">
      <c r="A7188" s="139" t="s">
        <v>16749</v>
      </c>
      <c r="B7188" s="139" t="s">
        <v>16750</v>
      </c>
      <c r="C7188" s="139" t="s">
        <v>112</v>
      </c>
      <c r="D7188" s="139" t="s">
        <v>16751</v>
      </c>
    </row>
    <row r="7189" spans="1:4" x14ac:dyDescent="0.25">
      <c r="A7189" s="139" t="s">
        <v>16752</v>
      </c>
      <c r="B7189" s="139" t="s">
        <v>16750</v>
      </c>
      <c r="C7189" s="139" t="s">
        <v>112</v>
      </c>
      <c r="D7189" s="139" t="s">
        <v>16753</v>
      </c>
    </row>
    <row r="7190" spans="1:4" x14ac:dyDescent="0.25">
      <c r="A7190" s="139" t="s">
        <v>16754</v>
      </c>
      <c r="B7190" s="139" t="s">
        <v>15773</v>
      </c>
      <c r="C7190" s="139" t="s">
        <v>658</v>
      </c>
      <c r="D7190" s="139" t="s">
        <v>16755</v>
      </c>
    </row>
    <row r="7191" spans="1:4" x14ac:dyDescent="0.25">
      <c r="A7191" s="139" t="s">
        <v>16756</v>
      </c>
      <c r="B7191" s="139" t="s">
        <v>15773</v>
      </c>
      <c r="C7191" s="139" t="s">
        <v>658</v>
      </c>
      <c r="D7191" s="139" t="s">
        <v>16757</v>
      </c>
    </row>
    <row r="7192" spans="1:4" x14ac:dyDescent="0.25">
      <c r="A7192" s="139" t="s">
        <v>16758</v>
      </c>
      <c r="B7192" s="139" t="s">
        <v>15766</v>
      </c>
      <c r="C7192" s="139" t="s">
        <v>65</v>
      </c>
      <c r="D7192" s="139" t="s">
        <v>16759</v>
      </c>
    </row>
    <row r="7193" spans="1:4" x14ac:dyDescent="0.25">
      <c r="A7193" s="139" t="s">
        <v>16760</v>
      </c>
      <c r="B7193" s="139" t="s">
        <v>15766</v>
      </c>
      <c r="C7193" s="139" t="s">
        <v>65</v>
      </c>
      <c r="D7193" s="139" t="s">
        <v>16761</v>
      </c>
    </row>
    <row r="7194" spans="1:4" x14ac:dyDescent="0.25">
      <c r="A7194" s="139" t="s">
        <v>16762</v>
      </c>
      <c r="B7194" s="139" t="s">
        <v>5089</v>
      </c>
      <c r="C7194" s="139" t="s">
        <v>65</v>
      </c>
      <c r="D7194" s="139" t="s">
        <v>16763</v>
      </c>
    </row>
    <row r="7195" spans="1:4" x14ac:dyDescent="0.25">
      <c r="A7195" s="139" t="s">
        <v>16764</v>
      </c>
      <c r="B7195" s="139" t="s">
        <v>5089</v>
      </c>
      <c r="C7195" s="139" t="s">
        <v>65</v>
      </c>
      <c r="D7195" s="139" t="s">
        <v>16765</v>
      </c>
    </row>
    <row r="7196" spans="1:4" x14ac:dyDescent="0.25">
      <c r="A7196" s="139" t="s">
        <v>16766</v>
      </c>
      <c r="B7196" s="139" t="s">
        <v>8220</v>
      </c>
      <c r="C7196" s="139" t="s">
        <v>65</v>
      </c>
      <c r="D7196" s="139" t="s">
        <v>16767</v>
      </c>
    </row>
    <row r="7197" spans="1:4" x14ac:dyDescent="0.25">
      <c r="A7197" s="139" t="s">
        <v>16768</v>
      </c>
      <c r="B7197" s="139" t="s">
        <v>8220</v>
      </c>
      <c r="C7197" s="139" t="s">
        <v>65</v>
      </c>
      <c r="D7197" s="139" t="s">
        <v>16769</v>
      </c>
    </row>
    <row r="7198" spans="1:4" x14ac:dyDescent="0.25">
      <c r="A7198" s="139" t="s">
        <v>16770</v>
      </c>
      <c r="B7198" s="139" t="s">
        <v>5695</v>
      </c>
      <c r="C7198" s="139" t="s">
        <v>65</v>
      </c>
      <c r="D7198" s="139" t="s">
        <v>16771</v>
      </c>
    </row>
    <row r="7199" spans="1:4" x14ac:dyDescent="0.25">
      <c r="A7199" s="139" t="s">
        <v>16772</v>
      </c>
      <c r="B7199" s="139" t="s">
        <v>5695</v>
      </c>
      <c r="C7199" s="139" t="s">
        <v>65</v>
      </c>
      <c r="D7199" s="139" t="s">
        <v>16773</v>
      </c>
    </row>
    <row r="7200" spans="1:4" x14ac:dyDescent="0.25">
      <c r="A7200" s="139" t="s">
        <v>16774</v>
      </c>
      <c r="B7200" s="139" t="s">
        <v>5705</v>
      </c>
      <c r="C7200" s="139" t="s">
        <v>65</v>
      </c>
      <c r="D7200" s="139" t="s">
        <v>16775</v>
      </c>
    </row>
    <row r="7201" spans="1:4" x14ac:dyDescent="0.25">
      <c r="A7201" s="139" t="s">
        <v>16776</v>
      </c>
      <c r="B7201" s="139" t="s">
        <v>5705</v>
      </c>
      <c r="C7201" s="139" t="s">
        <v>65</v>
      </c>
      <c r="D7201" s="139" t="s">
        <v>16777</v>
      </c>
    </row>
    <row r="7202" spans="1:4" x14ac:dyDescent="0.25">
      <c r="A7202" s="139" t="s">
        <v>16778</v>
      </c>
      <c r="B7202" s="139" t="s">
        <v>3310</v>
      </c>
      <c r="C7202" s="139" t="s">
        <v>65</v>
      </c>
      <c r="D7202" s="139" t="s">
        <v>16779</v>
      </c>
    </row>
    <row r="7203" spans="1:4" x14ac:dyDescent="0.25">
      <c r="A7203" s="139" t="s">
        <v>16780</v>
      </c>
      <c r="B7203" s="139" t="s">
        <v>3310</v>
      </c>
      <c r="C7203" s="139" t="s">
        <v>65</v>
      </c>
      <c r="D7203" s="139" t="s">
        <v>16781</v>
      </c>
    </row>
    <row r="7204" spans="1:4" x14ac:dyDescent="0.25">
      <c r="A7204" s="139" t="s">
        <v>16782</v>
      </c>
      <c r="B7204" s="139" t="s">
        <v>16783</v>
      </c>
      <c r="C7204" s="139" t="s">
        <v>65</v>
      </c>
      <c r="D7204" s="139" t="s">
        <v>16784</v>
      </c>
    </row>
    <row r="7205" spans="1:4" x14ac:dyDescent="0.25">
      <c r="A7205" s="139" t="s">
        <v>16785</v>
      </c>
      <c r="B7205" s="139" t="s">
        <v>16783</v>
      </c>
      <c r="C7205" s="139" t="s">
        <v>65</v>
      </c>
      <c r="D7205" s="139" t="s">
        <v>16786</v>
      </c>
    </row>
    <row r="7206" spans="1:4" x14ac:dyDescent="0.25">
      <c r="A7206" s="139" t="s">
        <v>16787</v>
      </c>
      <c r="B7206" s="139" t="s">
        <v>5299</v>
      </c>
      <c r="C7206" s="139" t="s">
        <v>65</v>
      </c>
      <c r="D7206" s="139" t="s">
        <v>16788</v>
      </c>
    </row>
    <row r="7207" spans="1:4" x14ac:dyDescent="0.25">
      <c r="A7207" s="139" t="s">
        <v>16789</v>
      </c>
      <c r="B7207" s="139" t="s">
        <v>5299</v>
      </c>
      <c r="C7207" s="139" t="s">
        <v>65</v>
      </c>
      <c r="D7207" s="139" t="s">
        <v>16790</v>
      </c>
    </row>
    <row r="7208" spans="1:4" x14ac:dyDescent="0.25">
      <c r="A7208" s="139" t="s">
        <v>16791</v>
      </c>
      <c r="B7208" s="139" t="s">
        <v>1559</v>
      </c>
      <c r="C7208" s="139" t="s">
        <v>33</v>
      </c>
      <c r="D7208" s="139" t="s">
        <v>16792</v>
      </c>
    </row>
    <row r="7209" spans="1:4" x14ac:dyDescent="0.25">
      <c r="A7209" s="139" t="s">
        <v>16793</v>
      </c>
      <c r="B7209" s="139" t="s">
        <v>1559</v>
      </c>
      <c r="C7209" s="139" t="s">
        <v>33</v>
      </c>
      <c r="D7209" s="139" t="s">
        <v>16794</v>
      </c>
    </row>
    <row r="7210" spans="1:4" x14ac:dyDescent="0.25">
      <c r="A7210" s="139" t="s">
        <v>16795</v>
      </c>
      <c r="B7210" s="139" t="s">
        <v>16796</v>
      </c>
      <c r="C7210" s="139" t="s">
        <v>65</v>
      </c>
      <c r="D7210" s="139" t="s">
        <v>16797</v>
      </c>
    </row>
    <row r="7211" spans="1:4" x14ac:dyDescent="0.25">
      <c r="A7211" s="139" t="s">
        <v>16798</v>
      </c>
      <c r="B7211" s="139" t="s">
        <v>16796</v>
      </c>
      <c r="C7211" s="139" t="s">
        <v>65</v>
      </c>
      <c r="D7211" s="139" t="s">
        <v>16799</v>
      </c>
    </row>
    <row r="7212" spans="1:4" x14ac:dyDescent="0.25">
      <c r="A7212" s="139" t="s">
        <v>16800</v>
      </c>
      <c r="B7212" s="139" t="s">
        <v>16801</v>
      </c>
      <c r="C7212" s="139" t="s">
        <v>123</v>
      </c>
      <c r="D7212" s="139" t="s">
        <v>16802</v>
      </c>
    </row>
    <row r="7213" spans="1:4" x14ac:dyDescent="0.25">
      <c r="A7213" s="139" t="s">
        <v>16803</v>
      </c>
      <c r="B7213" s="139" t="s">
        <v>16801</v>
      </c>
      <c r="C7213" s="139" t="s">
        <v>123</v>
      </c>
      <c r="D7213" s="139" t="s">
        <v>16804</v>
      </c>
    </row>
    <row r="7214" spans="1:4" x14ac:dyDescent="0.25">
      <c r="A7214" s="139" t="s">
        <v>16805</v>
      </c>
      <c r="B7214" s="139" t="s">
        <v>16806</v>
      </c>
      <c r="C7214" s="139" t="s">
        <v>123</v>
      </c>
      <c r="D7214" s="139" t="s">
        <v>16807</v>
      </c>
    </row>
    <row r="7215" spans="1:4" x14ac:dyDescent="0.25">
      <c r="A7215" s="139" t="s">
        <v>16808</v>
      </c>
      <c r="B7215" s="139" t="s">
        <v>16806</v>
      </c>
      <c r="C7215" s="139" t="s">
        <v>123</v>
      </c>
      <c r="D7215" s="139" t="s">
        <v>16809</v>
      </c>
    </row>
    <row r="7216" spans="1:4" x14ac:dyDescent="0.25">
      <c r="A7216" s="139" t="s">
        <v>16810</v>
      </c>
      <c r="B7216" s="139" t="s">
        <v>428</v>
      </c>
      <c r="C7216" s="139" t="s">
        <v>127</v>
      </c>
      <c r="D7216" s="139" t="s">
        <v>16811</v>
      </c>
    </row>
    <row r="7217" spans="1:4" x14ac:dyDescent="0.25">
      <c r="A7217" s="139" t="s">
        <v>16812</v>
      </c>
      <c r="B7217" s="139" t="s">
        <v>428</v>
      </c>
      <c r="C7217" s="139" t="s">
        <v>127</v>
      </c>
      <c r="D7217" s="139" t="s">
        <v>16813</v>
      </c>
    </row>
    <row r="7218" spans="1:4" x14ac:dyDescent="0.25">
      <c r="A7218" s="139" t="s">
        <v>16814</v>
      </c>
      <c r="B7218" s="139" t="s">
        <v>1276</v>
      </c>
      <c r="C7218" s="139" t="s">
        <v>33</v>
      </c>
      <c r="D7218" s="139" t="s">
        <v>16815</v>
      </c>
    </row>
    <row r="7219" spans="1:4" x14ac:dyDescent="0.25">
      <c r="A7219" s="139" t="s">
        <v>16816</v>
      </c>
      <c r="B7219" s="139" t="s">
        <v>1276</v>
      </c>
      <c r="C7219" s="139" t="s">
        <v>33</v>
      </c>
      <c r="D7219" s="139" t="s">
        <v>16817</v>
      </c>
    </row>
    <row r="7220" spans="1:4" x14ac:dyDescent="0.25">
      <c r="A7220" s="139" t="s">
        <v>16818</v>
      </c>
      <c r="B7220" s="139" t="s">
        <v>16819</v>
      </c>
      <c r="C7220" s="139" t="s">
        <v>33</v>
      </c>
      <c r="D7220" s="139" t="s">
        <v>16820</v>
      </c>
    </row>
    <row r="7221" spans="1:4" x14ac:dyDescent="0.25">
      <c r="A7221" s="139" t="s">
        <v>16821</v>
      </c>
      <c r="B7221" s="139" t="s">
        <v>16819</v>
      </c>
      <c r="C7221" s="139" t="s">
        <v>33</v>
      </c>
      <c r="D7221" s="139" t="s">
        <v>16822</v>
      </c>
    </row>
    <row r="7222" spans="1:4" x14ac:dyDescent="0.25">
      <c r="A7222" s="139" t="s">
        <v>16823</v>
      </c>
      <c r="B7222" s="139" t="s">
        <v>16824</v>
      </c>
      <c r="C7222" s="139" t="s">
        <v>33</v>
      </c>
      <c r="D7222" s="139" t="s">
        <v>16825</v>
      </c>
    </row>
    <row r="7223" spans="1:4" x14ac:dyDescent="0.25">
      <c r="A7223" s="139" t="s">
        <v>16826</v>
      </c>
      <c r="B7223" s="139" t="s">
        <v>16824</v>
      </c>
      <c r="C7223" s="139" t="s">
        <v>33</v>
      </c>
      <c r="D7223" s="139" t="s">
        <v>16827</v>
      </c>
    </row>
    <row r="7224" spans="1:4" x14ac:dyDescent="0.25">
      <c r="A7224" s="139" t="s">
        <v>16828</v>
      </c>
      <c r="B7224" s="139" t="s">
        <v>5397</v>
      </c>
      <c r="C7224" s="139" t="s">
        <v>33</v>
      </c>
      <c r="D7224" s="139" t="s">
        <v>16829</v>
      </c>
    </row>
    <row r="7225" spans="1:4" x14ac:dyDescent="0.25">
      <c r="A7225" s="139" t="s">
        <v>16830</v>
      </c>
      <c r="B7225" s="139" t="s">
        <v>5397</v>
      </c>
      <c r="C7225" s="139" t="s">
        <v>33</v>
      </c>
      <c r="D7225" s="139" t="s">
        <v>16831</v>
      </c>
    </row>
    <row r="7226" spans="1:4" x14ac:dyDescent="0.25">
      <c r="A7226" s="139" t="s">
        <v>16832</v>
      </c>
      <c r="B7226" s="139" t="s">
        <v>16833</v>
      </c>
      <c r="C7226" s="139" t="s">
        <v>33</v>
      </c>
      <c r="D7226" s="139" t="s">
        <v>16834</v>
      </c>
    </row>
    <row r="7227" spans="1:4" x14ac:dyDescent="0.25">
      <c r="A7227" s="139" t="s">
        <v>16835</v>
      </c>
      <c r="B7227" s="139" t="s">
        <v>16833</v>
      </c>
      <c r="C7227" s="139" t="s">
        <v>33</v>
      </c>
      <c r="D7227" s="139" t="s">
        <v>16836</v>
      </c>
    </row>
    <row r="7228" spans="1:4" x14ac:dyDescent="0.25">
      <c r="A7228" s="139" t="s">
        <v>16837</v>
      </c>
      <c r="B7228" s="139" t="s">
        <v>248</v>
      </c>
      <c r="C7228" s="139" t="s">
        <v>33</v>
      </c>
      <c r="D7228" s="139" t="s">
        <v>16838</v>
      </c>
    </row>
    <row r="7229" spans="1:4" x14ac:dyDescent="0.25">
      <c r="A7229" s="139" t="s">
        <v>16839</v>
      </c>
      <c r="B7229" s="139" t="s">
        <v>248</v>
      </c>
      <c r="C7229" s="139" t="s">
        <v>33</v>
      </c>
      <c r="D7229" s="139" t="s">
        <v>16840</v>
      </c>
    </row>
    <row r="7230" spans="1:4" x14ac:dyDescent="0.25">
      <c r="A7230" s="139" t="s">
        <v>16841</v>
      </c>
      <c r="B7230" s="139" t="s">
        <v>4086</v>
      </c>
      <c r="C7230" s="139" t="s">
        <v>33</v>
      </c>
      <c r="D7230" s="139" t="s">
        <v>16842</v>
      </c>
    </row>
    <row r="7231" spans="1:4" x14ac:dyDescent="0.25">
      <c r="A7231" s="139" t="s">
        <v>16843</v>
      </c>
      <c r="B7231" s="139" t="s">
        <v>4086</v>
      </c>
      <c r="C7231" s="139" t="s">
        <v>33</v>
      </c>
      <c r="D7231" s="139" t="s">
        <v>16844</v>
      </c>
    </row>
    <row r="7232" spans="1:4" x14ac:dyDescent="0.25">
      <c r="A7232" s="139" t="s">
        <v>16845</v>
      </c>
      <c r="B7232" s="139" t="s">
        <v>16846</v>
      </c>
      <c r="C7232" s="139" t="s">
        <v>33</v>
      </c>
      <c r="D7232" s="139" t="s">
        <v>16847</v>
      </c>
    </row>
    <row r="7233" spans="1:4" x14ac:dyDescent="0.25">
      <c r="A7233" s="139" t="s">
        <v>16848</v>
      </c>
      <c r="B7233" s="139" t="s">
        <v>16846</v>
      </c>
      <c r="C7233" s="139" t="s">
        <v>33</v>
      </c>
      <c r="D7233" s="139" t="s">
        <v>16849</v>
      </c>
    </row>
    <row r="7234" spans="1:4" x14ac:dyDescent="0.25">
      <c r="A7234" s="139" t="s">
        <v>16850</v>
      </c>
      <c r="B7234" s="139" t="s">
        <v>16851</v>
      </c>
      <c r="C7234" s="139" t="s">
        <v>33</v>
      </c>
      <c r="D7234" s="139" t="s">
        <v>16852</v>
      </c>
    </row>
    <row r="7235" spans="1:4" x14ac:dyDescent="0.25">
      <c r="A7235" s="139" t="s">
        <v>16853</v>
      </c>
      <c r="B7235" s="139" t="s">
        <v>16851</v>
      </c>
      <c r="C7235" s="139" t="s">
        <v>33</v>
      </c>
      <c r="D7235" s="139" t="s">
        <v>16854</v>
      </c>
    </row>
    <row r="7236" spans="1:4" x14ac:dyDescent="0.25">
      <c r="A7236" s="139" t="s">
        <v>16855</v>
      </c>
      <c r="B7236" s="139" t="s">
        <v>16856</v>
      </c>
      <c r="C7236" s="139" t="s">
        <v>33</v>
      </c>
      <c r="D7236" s="139" t="s">
        <v>16857</v>
      </c>
    </row>
    <row r="7237" spans="1:4" x14ac:dyDescent="0.25">
      <c r="A7237" s="139" t="s">
        <v>16858</v>
      </c>
      <c r="B7237" s="139" t="s">
        <v>16856</v>
      </c>
      <c r="C7237" s="139" t="s">
        <v>33</v>
      </c>
      <c r="D7237" s="139" t="s">
        <v>16859</v>
      </c>
    </row>
    <row r="7238" spans="1:4" x14ac:dyDescent="0.25">
      <c r="A7238" s="139" t="s">
        <v>16860</v>
      </c>
      <c r="B7238" s="139" t="s">
        <v>122</v>
      </c>
      <c r="C7238" s="139" t="s">
        <v>33</v>
      </c>
      <c r="D7238" s="139" t="s">
        <v>16861</v>
      </c>
    </row>
    <row r="7239" spans="1:4" x14ac:dyDescent="0.25">
      <c r="A7239" s="139" t="s">
        <v>16862</v>
      </c>
      <c r="B7239" s="139" t="s">
        <v>122</v>
      </c>
      <c r="C7239" s="139" t="s">
        <v>33</v>
      </c>
      <c r="D7239" s="139" t="s">
        <v>16863</v>
      </c>
    </row>
    <row r="7240" spans="1:4" x14ac:dyDescent="0.25">
      <c r="A7240" s="139" t="s">
        <v>16864</v>
      </c>
      <c r="B7240" s="139" t="s">
        <v>12189</v>
      </c>
      <c r="C7240" s="139" t="s">
        <v>33</v>
      </c>
      <c r="D7240" s="139" t="s">
        <v>16865</v>
      </c>
    </row>
    <row r="7241" spans="1:4" x14ac:dyDescent="0.25">
      <c r="A7241" s="139" t="s">
        <v>16866</v>
      </c>
      <c r="B7241" s="139" t="s">
        <v>12189</v>
      </c>
      <c r="C7241" s="139" t="s">
        <v>33</v>
      </c>
      <c r="D7241" s="139" t="s">
        <v>16867</v>
      </c>
    </row>
    <row r="7242" spans="1:4" x14ac:dyDescent="0.25">
      <c r="A7242" s="139" t="s">
        <v>16868</v>
      </c>
      <c r="B7242" s="139" t="s">
        <v>8166</v>
      </c>
      <c r="C7242" s="139" t="s">
        <v>65</v>
      </c>
      <c r="D7242" s="139" t="s">
        <v>16869</v>
      </c>
    </row>
    <row r="7243" spans="1:4" x14ac:dyDescent="0.25">
      <c r="A7243" s="139" t="s">
        <v>16870</v>
      </c>
      <c r="B7243" s="139" t="s">
        <v>8166</v>
      </c>
      <c r="C7243" s="139" t="s">
        <v>65</v>
      </c>
      <c r="D7243" s="139" t="s">
        <v>16871</v>
      </c>
    </row>
    <row r="7244" spans="1:4" x14ac:dyDescent="0.25">
      <c r="A7244" s="139" t="s">
        <v>16872</v>
      </c>
      <c r="B7244" s="139" t="s">
        <v>5154</v>
      </c>
      <c r="C7244" s="139" t="s">
        <v>65</v>
      </c>
      <c r="D7244" s="139" t="s">
        <v>16873</v>
      </c>
    </row>
    <row r="7245" spans="1:4" x14ac:dyDescent="0.25">
      <c r="A7245" s="139" t="s">
        <v>16874</v>
      </c>
      <c r="B7245" s="139" t="s">
        <v>5154</v>
      </c>
      <c r="C7245" s="139" t="s">
        <v>65</v>
      </c>
      <c r="D7245" s="139" t="s">
        <v>16875</v>
      </c>
    </row>
    <row r="7246" spans="1:4" x14ac:dyDescent="0.25">
      <c r="A7246" s="139" t="s">
        <v>16876</v>
      </c>
      <c r="B7246" s="139" t="s">
        <v>3467</v>
      </c>
      <c r="C7246" s="139" t="s">
        <v>65</v>
      </c>
      <c r="D7246" s="139" t="s">
        <v>16877</v>
      </c>
    </row>
    <row r="7247" spans="1:4" x14ac:dyDescent="0.25">
      <c r="A7247" s="139" t="s">
        <v>16878</v>
      </c>
      <c r="B7247" s="139" t="s">
        <v>3467</v>
      </c>
      <c r="C7247" s="139" t="s">
        <v>65</v>
      </c>
      <c r="D7247" s="139" t="s">
        <v>16879</v>
      </c>
    </row>
    <row r="7248" spans="1:4" x14ac:dyDescent="0.25">
      <c r="A7248" s="139" t="s">
        <v>16880</v>
      </c>
      <c r="B7248" s="139" t="s">
        <v>3877</v>
      </c>
      <c r="C7248" s="139" t="s">
        <v>65</v>
      </c>
      <c r="D7248" s="139" t="s">
        <v>16881</v>
      </c>
    </row>
    <row r="7249" spans="1:4" x14ac:dyDescent="0.25">
      <c r="A7249" s="139" t="s">
        <v>16882</v>
      </c>
      <c r="B7249" s="139" t="s">
        <v>3877</v>
      </c>
      <c r="C7249" s="139" t="s">
        <v>65</v>
      </c>
      <c r="D7249" s="139" t="s">
        <v>16883</v>
      </c>
    </row>
    <row r="7250" spans="1:4" x14ac:dyDescent="0.25">
      <c r="A7250" s="139" t="s">
        <v>16884</v>
      </c>
      <c r="B7250" s="139" t="s">
        <v>14222</v>
      </c>
      <c r="C7250" s="139" t="s">
        <v>65</v>
      </c>
      <c r="D7250" s="139" t="s">
        <v>16885</v>
      </c>
    </row>
    <row r="7251" spans="1:4" x14ac:dyDescent="0.25">
      <c r="A7251" s="139" t="s">
        <v>16886</v>
      </c>
      <c r="B7251" s="139" t="s">
        <v>14222</v>
      </c>
      <c r="C7251" s="139" t="s">
        <v>65</v>
      </c>
      <c r="D7251" s="139" t="s">
        <v>16887</v>
      </c>
    </row>
    <row r="7252" spans="1:4" x14ac:dyDescent="0.25">
      <c r="A7252" s="139" t="s">
        <v>16888</v>
      </c>
      <c r="B7252" s="139" t="s">
        <v>4665</v>
      </c>
      <c r="C7252" s="139" t="s">
        <v>65</v>
      </c>
      <c r="D7252" s="139" t="s">
        <v>16889</v>
      </c>
    </row>
    <row r="7253" spans="1:4" x14ac:dyDescent="0.25">
      <c r="A7253" s="139" t="s">
        <v>16890</v>
      </c>
      <c r="B7253" s="139" t="s">
        <v>4665</v>
      </c>
      <c r="C7253" s="139" t="s">
        <v>65</v>
      </c>
      <c r="D7253" s="139" t="s">
        <v>16891</v>
      </c>
    </row>
    <row r="7254" spans="1:4" x14ac:dyDescent="0.25">
      <c r="A7254" s="139" t="s">
        <v>16892</v>
      </c>
      <c r="B7254" s="139" t="s">
        <v>608</v>
      </c>
      <c r="C7254" s="139" t="s">
        <v>65</v>
      </c>
      <c r="D7254" s="139" t="s">
        <v>16893</v>
      </c>
    </row>
    <row r="7255" spans="1:4" x14ac:dyDescent="0.25">
      <c r="A7255" s="139" t="s">
        <v>16894</v>
      </c>
      <c r="B7255" s="139" t="s">
        <v>608</v>
      </c>
      <c r="C7255" s="139" t="s">
        <v>65</v>
      </c>
      <c r="D7255" s="139" t="s">
        <v>16895</v>
      </c>
    </row>
    <row r="7256" spans="1:4" x14ac:dyDescent="0.25">
      <c r="A7256" s="139" t="s">
        <v>16896</v>
      </c>
      <c r="B7256" s="139" t="s">
        <v>16897</v>
      </c>
      <c r="C7256" s="139" t="s">
        <v>65</v>
      </c>
      <c r="D7256" s="139" t="s">
        <v>16898</v>
      </c>
    </row>
    <row r="7257" spans="1:4" x14ac:dyDescent="0.25">
      <c r="A7257" s="139" t="s">
        <v>16899</v>
      </c>
      <c r="B7257" s="139" t="s">
        <v>16897</v>
      </c>
      <c r="C7257" s="139" t="s">
        <v>65</v>
      </c>
      <c r="D7257" s="139" t="s">
        <v>16900</v>
      </c>
    </row>
    <row r="7258" spans="1:4" x14ac:dyDescent="0.25">
      <c r="A7258" s="139" t="s">
        <v>16901</v>
      </c>
      <c r="B7258" s="139" t="s">
        <v>648</v>
      </c>
      <c r="C7258" s="139" t="s">
        <v>65</v>
      </c>
      <c r="D7258" s="139" t="s">
        <v>16902</v>
      </c>
    </row>
    <row r="7259" spans="1:4" x14ac:dyDescent="0.25">
      <c r="A7259" s="139" t="s">
        <v>16903</v>
      </c>
      <c r="B7259" s="139" t="s">
        <v>648</v>
      </c>
      <c r="C7259" s="139" t="s">
        <v>65</v>
      </c>
      <c r="D7259" s="139" t="s">
        <v>16904</v>
      </c>
    </row>
    <row r="7260" spans="1:4" x14ac:dyDescent="0.25">
      <c r="A7260" s="139" t="s">
        <v>16905</v>
      </c>
      <c r="B7260" s="139" t="s">
        <v>9795</v>
      </c>
      <c r="C7260" s="139" t="s">
        <v>65</v>
      </c>
      <c r="D7260" s="139" t="s">
        <v>16906</v>
      </c>
    </row>
    <row r="7261" spans="1:4" x14ac:dyDescent="0.25">
      <c r="A7261" s="139" t="s">
        <v>16907</v>
      </c>
      <c r="B7261" s="139" t="s">
        <v>9795</v>
      </c>
      <c r="C7261" s="139" t="s">
        <v>65</v>
      </c>
      <c r="D7261" s="139" t="s">
        <v>16908</v>
      </c>
    </row>
    <row r="7262" spans="1:4" x14ac:dyDescent="0.25">
      <c r="A7262" s="139" t="s">
        <v>16909</v>
      </c>
      <c r="B7262" s="139" t="s">
        <v>1276</v>
      </c>
      <c r="C7262" s="139" t="s">
        <v>65</v>
      </c>
      <c r="D7262" s="139" t="s">
        <v>16910</v>
      </c>
    </row>
    <row r="7263" spans="1:4" x14ac:dyDescent="0.25">
      <c r="A7263" s="139" t="s">
        <v>16911</v>
      </c>
      <c r="B7263" s="139" t="s">
        <v>1276</v>
      </c>
      <c r="C7263" s="139" t="s">
        <v>65</v>
      </c>
      <c r="D7263" s="139" t="s">
        <v>16912</v>
      </c>
    </row>
    <row r="7264" spans="1:4" x14ac:dyDescent="0.25">
      <c r="A7264" s="139" t="s">
        <v>16913</v>
      </c>
      <c r="B7264" s="139" t="s">
        <v>623</v>
      </c>
      <c r="C7264" s="139" t="s">
        <v>65</v>
      </c>
      <c r="D7264" s="139" t="s">
        <v>16914</v>
      </c>
    </row>
    <row r="7265" spans="1:4" x14ac:dyDescent="0.25">
      <c r="A7265" s="139" t="s">
        <v>16915</v>
      </c>
      <c r="B7265" s="139" t="s">
        <v>623</v>
      </c>
      <c r="C7265" s="139" t="s">
        <v>65</v>
      </c>
      <c r="D7265" s="139" t="s">
        <v>16916</v>
      </c>
    </row>
    <row r="7266" spans="1:4" x14ac:dyDescent="0.25">
      <c r="A7266" s="139" t="s">
        <v>16917</v>
      </c>
      <c r="B7266" s="139" t="s">
        <v>16918</v>
      </c>
      <c r="C7266" s="139" t="s">
        <v>65</v>
      </c>
      <c r="D7266" s="139" t="s">
        <v>16919</v>
      </c>
    </row>
    <row r="7267" spans="1:4" x14ac:dyDescent="0.25">
      <c r="A7267" s="139" t="s">
        <v>16920</v>
      </c>
      <c r="B7267" s="139" t="s">
        <v>16918</v>
      </c>
      <c r="C7267" s="139" t="s">
        <v>65</v>
      </c>
      <c r="D7267" s="139" t="s">
        <v>16921</v>
      </c>
    </row>
    <row r="7268" spans="1:4" x14ac:dyDescent="0.25">
      <c r="A7268" s="139" t="s">
        <v>16922</v>
      </c>
      <c r="B7268" s="139" t="s">
        <v>16923</v>
      </c>
      <c r="C7268" s="139" t="s">
        <v>65</v>
      </c>
      <c r="D7268" s="139" t="s">
        <v>16924</v>
      </c>
    </row>
    <row r="7269" spans="1:4" x14ac:dyDescent="0.25">
      <c r="A7269" s="139" t="s">
        <v>16925</v>
      </c>
      <c r="B7269" s="139" t="s">
        <v>16923</v>
      </c>
      <c r="C7269" s="139" t="s">
        <v>65</v>
      </c>
      <c r="D7269" s="139" t="s">
        <v>16926</v>
      </c>
    </row>
    <row r="7270" spans="1:4" x14ac:dyDescent="0.25">
      <c r="A7270" s="139" t="s">
        <v>16927</v>
      </c>
      <c r="B7270" s="139" t="s">
        <v>16735</v>
      </c>
      <c r="C7270" s="139" t="s">
        <v>65</v>
      </c>
      <c r="D7270" s="139" t="s">
        <v>16928</v>
      </c>
    </row>
    <row r="7271" spans="1:4" x14ac:dyDescent="0.25">
      <c r="A7271" s="139" t="s">
        <v>16929</v>
      </c>
      <c r="B7271" s="139" t="s">
        <v>16735</v>
      </c>
      <c r="C7271" s="139" t="s">
        <v>65</v>
      </c>
      <c r="D7271" s="139" t="s">
        <v>16930</v>
      </c>
    </row>
    <row r="7272" spans="1:4" x14ac:dyDescent="0.25">
      <c r="A7272" s="139" t="s">
        <v>16931</v>
      </c>
      <c r="B7272" s="139" t="s">
        <v>16932</v>
      </c>
      <c r="C7272" s="139" t="s">
        <v>112</v>
      </c>
      <c r="D7272" s="139" t="s">
        <v>16933</v>
      </c>
    </row>
    <row r="7273" spans="1:4" x14ac:dyDescent="0.25">
      <c r="A7273" s="139" t="s">
        <v>16934</v>
      </c>
      <c r="B7273" s="139" t="s">
        <v>16932</v>
      </c>
      <c r="C7273" s="139" t="s">
        <v>112</v>
      </c>
      <c r="D7273" s="139" t="s">
        <v>16935</v>
      </c>
    </row>
    <row r="7274" spans="1:4" x14ac:dyDescent="0.25">
      <c r="A7274" s="139" t="s">
        <v>16936</v>
      </c>
      <c r="B7274" s="139" t="s">
        <v>16937</v>
      </c>
      <c r="C7274" s="139" t="s">
        <v>112</v>
      </c>
      <c r="D7274" s="139" t="s">
        <v>16938</v>
      </c>
    </row>
    <row r="7275" spans="1:4" x14ac:dyDescent="0.25">
      <c r="A7275" s="139" t="s">
        <v>16939</v>
      </c>
      <c r="B7275" s="139" t="s">
        <v>16937</v>
      </c>
      <c r="C7275" s="139" t="s">
        <v>112</v>
      </c>
      <c r="D7275" s="139" t="s">
        <v>16940</v>
      </c>
    </row>
    <row r="7276" spans="1:4" x14ac:dyDescent="0.25">
      <c r="A7276" s="139" t="s">
        <v>16941</v>
      </c>
      <c r="B7276" s="139" t="s">
        <v>16942</v>
      </c>
      <c r="C7276" s="139" t="s">
        <v>112</v>
      </c>
      <c r="D7276" s="139" t="s">
        <v>16943</v>
      </c>
    </row>
    <row r="7277" spans="1:4" x14ac:dyDescent="0.25">
      <c r="A7277" s="139" t="s">
        <v>16944</v>
      </c>
      <c r="B7277" s="139" t="s">
        <v>16942</v>
      </c>
      <c r="C7277" s="139" t="s">
        <v>112</v>
      </c>
      <c r="D7277" s="139" t="s">
        <v>16945</v>
      </c>
    </row>
    <row r="7278" spans="1:4" x14ac:dyDescent="0.25">
      <c r="A7278" s="139" t="s">
        <v>16946</v>
      </c>
      <c r="B7278" s="139" t="s">
        <v>16947</v>
      </c>
      <c r="C7278" s="139" t="s">
        <v>112</v>
      </c>
      <c r="D7278" s="139" t="s">
        <v>16948</v>
      </c>
    </row>
    <row r="7279" spans="1:4" x14ac:dyDescent="0.25">
      <c r="A7279" s="139" t="s">
        <v>16949</v>
      </c>
      <c r="B7279" s="139" t="s">
        <v>16947</v>
      </c>
      <c r="C7279" s="139" t="s">
        <v>112</v>
      </c>
      <c r="D7279" s="139" t="s">
        <v>16950</v>
      </c>
    </row>
    <row r="7280" spans="1:4" x14ac:dyDescent="0.25">
      <c r="A7280" s="139" t="s">
        <v>16951</v>
      </c>
      <c r="B7280" s="139" t="s">
        <v>16952</v>
      </c>
      <c r="C7280" s="139" t="s">
        <v>112</v>
      </c>
      <c r="D7280" s="139" t="s">
        <v>16953</v>
      </c>
    </row>
    <row r="7281" spans="1:4" x14ac:dyDescent="0.25">
      <c r="A7281" s="139" t="s">
        <v>16954</v>
      </c>
      <c r="B7281" s="139" t="s">
        <v>16952</v>
      </c>
      <c r="C7281" s="139" t="s">
        <v>112</v>
      </c>
      <c r="D7281" s="139" t="s">
        <v>16955</v>
      </c>
    </row>
    <row r="7282" spans="1:4" x14ac:dyDescent="0.25">
      <c r="A7282" s="139" t="s">
        <v>16956</v>
      </c>
      <c r="B7282" s="139" t="s">
        <v>16957</v>
      </c>
      <c r="C7282" s="139" t="s">
        <v>112</v>
      </c>
      <c r="D7282" s="139" t="s">
        <v>16958</v>
      </c>
    </row>
    <row r="7283" spans="1:4" x14ac:dyDescent="0.25">
      <c r="A7283" s="139" t="s">
        <v>16959</v>
      </c>
      <c r="B7283" s="139" t="s">
        <v>16957</v>
      </c>
      <c r="C7283" s="139" t="s">
        <v>112</v>
      </c>
      <c r="D7283" s="139" t="s">
        <v>16960</v>
      </c>
    </row>
    <row r="7284" spans="1:4" x14ac:dyDescent="0.25">
      <c r="A7284" s="139" t="s">
        <v>16961</v>
      </c>
      <c r="B7284" s="139" t="s">
        <v>10147</v>
      </c>
      <c r="C7284" s="139" t="s">
        <v>123</v>
      </c>
      <c r="D7284" s="139" t="s">
        <v>16962</v>
      </c>
    </row>
    <row r="7285" spans="1:4" x14ac:dyDescent="0.25">
      <c r="A7285" s="139" t="s">
        <v>16963</v>
      </c>
      <c r="B7285" s="139" t="s">
        <v>10147</v>
      </c>
      <c r="C7285" s="139" t="s">
        <v>123</v>
      </c>
      <c r="D7285" s="139" t="s">
        <v>16964</v>
      </c>
    </row>
    <row r="7286" spans="1:4" x14ac:dyDescent="0.25">
      <c r="A7286" s="139" t="s">
        <v>16965</v>
      </c>
      <c r="B7286" s="139" t="s">
        <v>8093</v>
      </c>
      <c r="C7286" s="139" t="s">
        <v>123</v>
      </c>
      <c r="D7286" s="139" t="s">
        <v>16966</v>
      </c>
    </row>
    <row r="7287" spans="1:4" x14ac:dyDescent="0.25">
      <c r="A7287" s="139" t="s">
        <v>16967</v>
      </c>
      <c r="B7287" s="139" t="s">
        <v>8093</v>
      </c>
      <c r="C7287" s="139" t="s">
        <v>123</v>
      </c>
      <c r="D7287" s="139" t="s">
        <v>16968</v>
      </c>
    </row>
    <row r="7288" spans="1:4" x14ac:dyDescent="0.25">
      <c r="A7288" s="139" t="s">
        <v>16969</v>
      </c>
      <c r="B7288" s="139" t="s">
        <v>16970</v>
      </c>
      <c r="C7288" s="139" t="s">
        <v>112</v>
      </c>
      <c r="D7288" s="139" t="s">
        <v>16971</v>
      </c>
    </row>
    <row r="7289" spans="1:4" x14ac:dyDescent="0.25">
      <c r="A7289" s="139" t="s">
        <v>16972</v>
      </c>
      <c r="B7289" s="139" t="s">
        <v>16970</v>
      </c>
      <c r="C7289" s="139" t="s">
        <v>112</v>
      </c>
      <c r="D7289" s="139" t="s">
        <v>16973</v>
      </c>
    </row>
    <row r="7290" spans="1:4" x14ac:dyDescent="0.25">
      <c r="A7290" s="139" t="s">
        <v>16974</v>
      </c>
      <c r="B7290" s="139" t="s">
        <v>16975</v>
      </c>
      <c r="C7290" s="139" t="s">
        <v>112</v>
      </c>
      <c r="D7290" s="139" t="s">
        <v>16976</v>
      </c>
    </row>
    <row r="7291" spans="1:4" x14ac:dyDescent="0.25">
      <c r="A7291" s="139" t="s">
        <v>16977</v>
      </c>
      <c r="B7291" s="139" t="s">
        <v>16978</v>
      </c>
      <c r="C7291" s="139" t="s">
        <v>65</v>
      </c>
      <c r="D7291" s="139" t="s">
        <v>16979</v>
      </c>
    </row>
    <row r="7292" spans="1:4" x14ac:dyDescent="0.25">
      <c r="A7292" s="139" t="s">
        <v>16980</v>
      </c>
      <c r="B7292" s="139" t="s">
        <v>16981</v>
      </c>
      <c r="C7292" s="139" t="s">
        <v>65</v>
      </c>
      <c r="D7292" s="139" t="s">
        <v>16982</v>
      </c>
    </row>
    <row r="7293" spans="1:4" x14ac:dyDescent="0.25">
      <c r="A7293" s="139" t="s">
        <v>16983</v>
      </c>
      <c r="B7293" s="139" t="s">
        <v>16981</v>
      </c>
      <c r="C7293" s="139" t="s">
        <v>65</v>
      </c>
      <c r="D7293" s="139" t="s">
        <v>16984</v>
      </c>
    </row>
    <row r="7294" spans="1:4" x14ac:dyDescent="0.25">
      <c r="A7294" s="139" t="s">
        <v>16985</v>
      </c>
      <c r="B7294" s="139" t="s">
        <v>16986</v>
      </c>
      <c r="C7294" s="139" t="s">
        <v>65</v>
      </c>
      <c r="D7294" s="139" t="s">
        <v>16987</v>
      </c>
    </row>
    <row r="7295" spans="1:4" x14ac:dyDescent="0.25">
      <c r="A7295" s="139" t="s">
        <v>16988</v>
      </c>
      <c r="B7295" s="139" t="s">
        <v>16989</v>
      </c>
      <c r="C7295" s="139" t="s">
        <v>65</v>
      </c>
      <c r="D7295" s="139" t="s">
        <v>16990</v>
      </c>
    </row>
    <row r="7296" spans="1:4" x14ac:dyDescent="0.25">
      <c r="A7296" s="139" t="s">
        <v>16991</v>
      </c>
      <c r="B7296" s="139" t="s">
        <v>16992</v>
      </c>
      <c r="C7296" s="139" t="s">
        <v>65</v>
      </c>
      <c r="D7296" s="139" t="s">
        <v>16993</v>
      </c>
    </row>
    <row r="7297" spans="1:4" x14ac:dyDescent="0.25">
      <c r="A7297" s="139" t="s">
        <v>16994</v>
      </c>
      <c r="B7297" s="139" t="s">
        <v>16992</v>
      </c>
      <c r="C7297" s="139" t="s">
        <v>65</v>
      </c>
      <c r="D7297" s="139" t="s">
        <v>16995</v>
      </c>
    </row>
    <row r="7298" spans="1:4" x14ac:dyDescent="0.25">
      <c r="A7298" s="139" t="s">
        <v>16996</v>
      </c>
      <c r="B7298" s="139" t="s">
        <v>16997</v>
      </c>
      <c r="C7298" s="139" t="s">
        <v>65</v>
      </c>
      <c r="D7298" s="139" t="s">
        <v>16998</v>
      </c>
    </row>
    <row r="7299" spans="1:4" x14ac:dyDescent="0.25">
      <c r="A7299" s="139" t="s">
        <v>16999</v>
      </c>
      <c r="B7299" s="139" t="s">
        <v>16997</v>
      </c>
      <c r="C7299" s="139" t="s">
        <v>65</v>
      </c>
      <c r="D7299" s="139" t="s">
        <v>17000</v>
      </c>
    </row>
    <row r="7300" spans="1:4" x14ac:dyDescent="0.25">
      <c r="A7300" s="139" t="s">
        <v>17001</v>
      </c>
      <c r="B7300" s="139" t="s">
        <v>17002</v>
      </c>
      <c r="C7300" s="139" t="s">
        <v>65</v>
      </c>
      <c r="D7300" s="139" t="s">
        <v>17003</v>
      </c>
    </row>
    <row r="7301" spans="1:4" x14ac:dyDescent="0.25">
      <c r="A7301" s="139" t="s">
        <v>17004</v>
      </c>
      <c r="B7301" s="139" t="s">
        <v>17002</v>
      </c>
      <c r="C7301" s="139" t="s">
        <v>65</v>
      </c>
      <c r="D7301" s="139" t="s">
        <v>17005</v>
      </c>
    </row>
    <row r="7302" spans="1:4" x14ac:dyDescent="0.25">
      <c r="A7302" s="139" t="s">
        <v>17006</v>
      </c>
      <c r="B7302" s="139" t="s">
        <v>2393</v>
      </c>
      <c r="C7302" s="139" t="s">
        <v>65</v>
      </c>
      <c r="D7302" s="139" t="s">
        <v>17007</v>
      </c>
    </row>
    <row r="7303" spans="1:4" x14ac:dyDescent="0.25">
      <c r="A7303" s="139" t="s">
        <v>17008</v>
      </c>
      <c r="B7303" s="139" t="s">
        <v>2393</v>
      </c>
      <c r="C7303" s="139" t="s">
        <v>65</v>
      </c>
      <c r="D7303" s="139" t="s">
        <v>17009</v>
      </c>
    </row>
    <row r="7304" spans="1:4" x14ac:dyDescent="0.25">
      <c r="A7304" s="139" t="s">
        <v>17010</v>
      </c>
      <c r="B7304" s="139" t="s">
        <v>11208</v>
      </c>
      <c r="C7304" s="139" t="s">
        <v>535</v>
      </c>
      <c r="D7304" s="139" t="s">
        <v>17011</v>
      </c>
    </row>
    <row r="7305" spans="1:4" x14ac:dyDescent="0.25">
      <c r="A7305" s="139" t="s">
        <v>17012</v>
      </c>
      <c r="B7305" s="139" t="s">
        <v>11208</v>
      </c>
      <c r="C7305" s="139" t="s">
        <v>535</v>
      </c>
      <c r="D7305" s="139" t="s">
        <v>17013</v>
      </c>
    </row>
    <row r="7306" spans="1:4" x14ac:dyDescent="0.25">
      <c r="A7306" s="139" t="s">
        <v>17014</v>
      </c>
      <c r="B7306" s="139" t="s">
        <v>17015</v>
      </c>
      <c r="C7306" s="139" t="s">
        <v>535</v>
      </c>
      <c r="D7306" s="139" t="s">
        <v>17016</v>
      </c>
    </row>
    <row r="7307" spans="1:4" x14ac:dyDescent="0.25">
      <c r="A7307" s="139" t="s">
        <v>17017</v>
      </c>
      <c r="B7307" s="139" t="s">
        <v>17015</v>
      </c>
      <c r="C7307" s="139" t="s">
        <v>535</v>
      </c>
      <c r="D7307" s="139" t="s">
        <v>17018</v>
      </c>
    </row>
    <row r="7308" spans="1:4" x14ac:dyDescent="0.25">
      <c r="A7308" s="139" t="s">
        <v>17019</v>
      </c>
      <c r="B7308" s="139" t="s">
        <v>2123</v>
      </c>
      <c r="C7308" s="139" t="s">
        <v>535</v>
      </c>
      <c r="D7308" s="139" t="s">
        <v>17020</v>
      </c>
    </row>
    <row r="7309" spans="1:4" x14ac:dyDescent="0.25">
      <c r="A7309" s="139" t="s">
        <v>17021</v>
      </c>
      <c r="B7309" s="139" t="s">
        <v>2123</v>
      </c>
      <c r="C7309" s="139" t="s">
        <v>535</v>
      </c>
      <c r="D7309" s="139" t="s">
        <v>17022</v>
      </c>
    </row>
    <row r="7310" spans="1:4" x14ac:dyDescent="0.25">
      <c r="A7310" s="139" t="s">
        <v>17023</v>
      </c>
      <c r="B7310" s="139" t="s">
        <v>11119</v>
      </c>
      <c r="C7310" s="139" t="s">
        <v>535</v>
      </c>
      <c r="D7310" s="139" t="s">
        <v>17024</v>
      </c>
    </row>
    <row r="7311" spans="1:4" x14ac:dyDescent="0.25">
      <c r="A7311" s="139" t="s">
        <v>17025</v>
      </c>
      <c r="B7311" s="139" t="s">
        <v>11119</v>
      </c>
      <c r="C7311" s="139" t="s">
        <v>535</v>
      </c>
      <c r="D7311" s="139" t="s">
        <v>17026</v>
      </c>
    </row>
    <row r="7312" spans="1:4" x14ac:dyDescent="0.25">
      <c r="A7312" s="139" t="s">
        <v>17027</v>
      </c>
      <c r="B7312" s="139" t="s">
        <v>17028</v>
      </c>
      <c r="C7312" s="139" t="s">
        <v>65</v>
      </c>
      <c r="D7312" s="139" t="s">
        <v>17029</v>
      </c>
    </row>
    <row r="7313" spans="1:4" x14ac:dyDescent="0.25">
      <c r="A7313" s="139" t="s">
        <v>17030</v>
      </c>
      <c r="B7313" s="139" t="s">
        <v>17028</v>
      </c>
      <c r="C7313" s="139" t="s">
        <v>65</v>
      </c>
      <c r="D7313" s="139" t="s">
        <v>17031</v>
      </c>
    </row>
    <row r="7314" spans="1:4" x14ac:dyDescent="0.25">
      <c r="A7314" s="139" t="s">
        <v>17032</v>
      </c>
      <c r="B7314" s="139" t="s">
        <v>17033</v>
      </c>
      <c r="C7314" s="139" t="s">
        <v>65</v>
      </c>
      <c r="D7314" s="139" t="s">
        <v>17034</v>
      </c>
    </row>
    <row r="7315" spans="1:4" x14ac:dyDescent="0.25">
      <c r="A7315" s="139" t="s">
        <v>17035</v>
      </c>
      <c r="B7315" s="139" t="s">
        <v>17033</v>
      </c>
      <c r="C7315" s="139" t="s">
        <v>65</v>
      </c>
      <c r="D7315" s="139" t="s">
        <v>17036</v>
      </c>
    </row>
    <row r="7316" spans="1:4" x14ac:dyDescent="0.25">
      <c r="A7316" s="139" t="s">
        <v>17037</v>
      </c>
      <c r="B7316" s="139" t="s">
        <v>17038</v>
      </c>
      <c r="C7316" s="139" t="s">
        <v>65</v>
      </c>
      <c r="D7316" s="139" t="s">
        <v>17039</v>
      </c>
    </row>
    <row r="7317" spans="1:4" x14ac:dyDescent="0.25">
      <c r="A7317" s="139" t="s">
        <v>17040</v>
      </c>
      <c r="B7317" s="139" t="s">
        <v>17038</v>
      </c>
      <c r="C7317" s="139" t="s">
        <v>65</v>
      </c>
      <c r="D7317" s="139" t="s">
        <v>17041</v>
      </c>
    </row>
    <row r="7318" spans="1:4" x14ac:dyDescent="0.25">
      <c r="A7318" s="139" t="s">
        <v>17042</v>
      </c>
      <c r="B7318" s="139" t="s">
        <v>17043</v>
      </c>
      <c r="C7318" s="139" t="s">
        <v>65</v>
      </c>
      <c r="D7318" s="139" t="s">
        <v>17044</v>
      </c>
    </row>
    <row r="7319" spans="1:4" x14ac:dyDescent="0.25">
      <c r="A7319" s="139" t="s">
        <v>17045</v>
      </c>
      <c r="B7319" s="139" t="s">
        <v>17043</v>
      </c>
      <c r="C7319" s="139" t="s">
        <v>65</v>
      </c>
      <c r="D7319" s="139" t="s">
        <v>17046</v>
      </c>
    </row>
    <row r="7320" spans="1:4" x14ac:dyDescent="0.25">
      <c r="A7320" s="139" t="s">
        <v>17047</v>
      </c>
      <c r="B7320" s="139" t="s">
        <v>17048</v>
      </c>
      <c r="C7320" s="139" t="s">
        <v>65</v>
      </c>
      <c r="D7320" s="139" t="s">
        <v>17049</v>
      </c>
    </row>
    <row r="7321" spans="1:4" x14ac:dyDescent="0.25">
      <c r="A7321" s="139" t="s">
        <v>17050</v>
      </c>
      <c r="B7321" s="139" t="s">
        <v>17048</v>
      </c>
      <c r="C7321" s="139" t="s">
        <v>65</v>
      </c>
      <c r="D7321" s="139" t="s">
        <v>17051</v>
      </c>
    </row>
    <row r="7322" spans="1:4" x14ac:dyDescent="0.25">
      <c r="A7322" s="139" t="s">
        <v>17052</v>
      </c>
      <c r="B7322" s="139" t="s">
        <v>17053</v>
      </c>
      <c r="C7322" s="139" t="s">
        <v>65</v>
      </c>
      <c r="D7322" s="139" t="s">
        <v>17054</v>
      </c>
    </row>
    <row r="7323" spans="1:4" x14ac:dyDescent="0.25">
      <c r="A7323" s="139" t="s">
        <v>17055</v>
      </c>
      <c r="B7323" s="139" t="s">
        <v>17053</v>
      </c>
      <c r="C7323" s="139" t="s">
        <v>65</v>
      </c>
      <c r="D7323" s="139" t="s">
        <v>17056</v>
      </c>
    </row>
    <row r="7324" spans="1:4" x14ac:dyDescent="0.25">
      <c r="A7324" s="139" t="s">
        <v>17057</v>
      </c>
      <c r="B7324" s="139" t="s">
        <v>17058</v>
      </c>
      <c r="C7324" s="139" t="s">
        <v>65</v>
      </c>
      <c r="D7324" s="139" t="s">
        <v>17059</v>
      </c>
    </row>
    <row r="7325" spans="1:4" x14ac:dyDescent="0.25">
      <c r="A7325" s="139" t="s">
        <v>17060</v>
      </c>
      <c r="B7325" s="139" t="s">
        <v>17058</v>
      </c>
      <c r="C7325" s="139" t="s">
        <v>65</v>
      </c>
      <c r="D7325" s="139" t="s">
        <v>17061</v>
      </c>
    </row>
    <row r="7326" spans="1:4" x14ac:dyDescent="0.25">
      <c r="A7326" s="139" t="s">
        <v>17062</v>
      </c>
      <c r="B7326" s="139" t="s">
        <v>17063</v>
      </c>
      <c r="C7326" s="139" t="s">
        <v>535</v>
      </c>
      <c r="D7326" s="139" t="s">
        <v>17064</v>
      </c>
    </row>
    <row r="7327" spans="1:4" x14ac:dyDescent="0.25">
      <c r="A7327" s="139" t="s">
        <v>17065</v>
      </c>
      <c r="B7327" s="139" t="s">
        <v>17063</v>
      </c>
      <c r="C7327" s="139" t="s">
        <v>535</v>
      </c>
      <c r="D7327" s="139" t="s">
        <v>17066</v>
      </c>
    </row>
    <row r="7328" spans="1:4" x14ac:dyDescent="0.25">
      <c r="A7328" s="139" t="s">
        <v>17067</v>
      </c>
      <c r="B7328" s="139" t="s">
        <v>17068</v>
      </c>
      <c r="C7328" s="139" t="s">
        <v>123</v>
      </c>
      <c r="D7328" s="139" t="s">
        <v>17069</v>
      </c>
    </row>
    <row r="7329" spans="1:4" x14ac:dyDescent="0.25">
      <c r="A7329" s="139" t="s">
        <v>17070</v>
      </c>
      <c r="B7329" s="139" t="s">
        <v>17068</v>
      </c>
      <c r="C7329" s="139" t="s">
        <v>123</v>
      </c>
      <c r="D7329" s="139" t="s">
        <v>17071</v>
      </c>
    </row>
    <row r="7330" spans="1:4" x14ac:dyDescent="0.25">
      <c r="A7330" s="139" t="s">
        <v>17072</v>
      </c>
      <c r="B7330" s="139" t="s">
        <v>17073</v>
      </c>
      <c r="C7330" s="139" t="s">
        <v>535</v>
      </c>
      <c r="D7330" s="139" t="s">
        <v>17074</v>
      </c>
    </row>
    <row r="7331" spans="1:4" x14ac:dyDescent="0.25">
      <c r="A7331" s="139" t="s">
        <v>17075</v>
      </c>
      <c r="B7331" s="139" t="s">
        <v>17073</v>
      </c>
      <c r="C7331" s="139" t="s">
        <v>535</v>
      </c>
      <c r="D7331" s="139" t="s">
        <v>17076</v>
      </c>
    </row>
    <row r="7332" spans="1:4" x14ac:dyDescent="0.25">
      <c r="A7332" s="139" t="s">
        <v>17077</v>
      </c>
      <c r="B7332" s="139" t="s">
        <v>17078</v>
      </c>
      <c r="C7332" s="139" t="s">
        <v>535</v>
      </c>
      <c r="D7332" s="139" t="s">
        <v>17079</v>
      </c>
    </row>
    <row r="7333" spans="1:4" x14ac:dyDescent="0.25">
      <c r="A7333" s="139" t="s">
        <v>17080</v>
      </c>
      <c r="B7333" s="139" t="s">
        <v>17078</v>
      </c>
      <c r="C7333" s="139" t="s">
        <v>535</v>
      </c>
      <c r="D7333" s="139" t="s">
        <v>17081</v>
      </c>
    </row>
    <row r="7334" spans="1:4" x14ac:dyDescent="0.25">
      <c r="A7334" s="139" t="s">
        <v>17082</v>
      </c>
      <c r="B7334" s="139" t="s">
        <v>17083</v>
      </c>
      <c r="C7334" s="139" t="s">
        <v>535</v>
      </c>
      <c r="D7334" s="139" t="s">
        <v>17084</v>
      </c>
    </row>
    <row r="7335" spans="1:4" x14ac:dyDescent="0.25">
      <c r="A7335" s="139" t="s">
        <v>17085</v>
      </c>
      <c r="B7335" s="139" t="s">
        <v>17083</v>
      </c>
      <c r="C7335" s="139" t="s">
        <v>535</v>
      </c>
      <c r="D7335" s="139" t="s">
        <v>17086</v>
      </c>
    </row>
    <row r="7336" spans="1:4" x14ac:dyDescent="0.25">
      <c r="A7336" s="139" t="s">
        <v>17087</v>
      </c>
      <c r="B7336" s="139" t="s">
        <v>17088</v>
      </c>
      <c r="C7336" s="139" t="s">
        <v>65</v>
      </c>
      <c r="D7336" s="139" t="s">
        <v>17089</v>
      </c>
    </row>
    <row r="7337" spans="1:4" x14ac:dyDescent="0.25">
      <c r="A7337" s="139" t="s">
        <v>17090</v>
      </c>
      <c r="B7337" s="139" t="s">
        <v>17088</v>
      </c>
      <c r="C7337" s="139" t="s">
        <v>65</v>
      </c>
      <c r="D7337" s="139" t="s">
        <v>17091</v>
      </c>
    </row>
    <row r="7338" spans="1:4" x14ac:dyDescent="0.25">
      <c r="A7338" s="139" t="s">
        <v>17092</v>
      </c>
      <c r="B7338" s="139" t="s">
        <v>17093</v>
      </c>
      <c r="C7338" s="139" t="s">
        <v>65</v>
      </c>
      <c r="D7338" s="139" t="s">
        <v>17094</v>
      </c>
    </row>
    <row r="7339" spans="1:4" x14ac:dyDescent="0.25">
      <c r="A7339" s="139" t="s">
        <v>17095</v>
      </c>
      <c r="B7339" s="139" t="s">
        <v>17093</v>
      </c>
      <c r="C7339" s="139" t="s">
        <v>65</v>
      </c>
      <c r="D7339" s="139" t="s">
        <v>17096</v>
      </c>
    </row>
    <row r="7340" spans="1:4" x14ac:dyDescent="0.25">
      <c r="A7340" s="139" t="s">
        <v>17097</v>
      </c>
      <c r="B7340" s="139" t="s">
        <v>17098</v>
      </c>
      <c r="C7340" s="139" t="s">
        <v>65</v>
      </c>
      <c r="D7340" s="139" t="s">
        <v>17099</v>
      </c>
    </row>
    <row r="7341" spans="1:4" x14ac:dyDescent="0.25">
      <c r="A7341" s="139" t="s">
        <v>17100</v>
      </c>
      <c r="B7341" s="139" t="s">
        <v>17098</v>
      </c>
      <c r="C7341" s="139" t="s">
        <v>65</v>
      </c>
      <c r="D7341" s="139" t="s">
        <v>17101</v>
      </c>
    </row>
    <row r="7342" spans="1:4" x14ac:dyDescent="0.25">
      <c r="A7342" s="139" t="s">
        <v>17102</v>
      </c>
      <c r="B7342" s="139" t="s">
        <v>17103</v>
      </c>
      <c r="C7342" s="139" t="s">
        <v>65</v>
      </c>
      <c r="D7342" s="139" t="s">
        <v>17104</v>
      </c>
    </row>
    <row r="7343" spans="1:4" x14ac:dyDescent="0.25">
      <c r="A7343" s="139" t="s">
        <v>17105</v>
      </c>
      <c r="B7343" s="139" t="s">
        <v>17103</v>
      </c>
      <c r="C7343" s="139" t="s">
        <v>65</v>
      </c>
      <c r="D7343" s="139" t="s">
        <v>17106</v>
      </c>
    </row>
    <row r="7344" spans="1:4" x14ac:dyDescent="0.25">
      <c r="A7344" s="139" t="s">
        <v>17107</v>
      </c>
      <c r="B7344" s="139" t="s">
        <v>11099</v>
      </c>
      <c r="C7344" s="139" t="s">
        <v>535</v>
      </c>
      <c r="D7344" s="139" t="s">
        <v>17108</v>
      </c>
    </row>
    <row r="7345" spans="1:4" x14ac:dyDescent="0.25">
      <c r="A7345" s="139" t="s">
        <v>17109</v>
      </c>
      <c r="B7345" s="139" t="s">
        <v>11099</v>
      </c>
      <c r="C7345" s="139" t="s">
        <v>535</v>
      </c>
      <c r="D7345" s="139" t="s">
        <v>17110</v>
      </c>
    </row>
    <row r="7346" spans="1:4" x14ac:dyDescent="0.25">
      <c r="A7346" s="139" t="s">
        <v>17111</v>
      </c>
      <c r="B7346" s="139" t="s">
        <v>13151</v>
      </c>
      <c r="C7346" s="139" t="s">
        <v>535</v>
      </c>
      <c r="D7346" s="139" t="s">
        <v>17112</v>
      </c>
    </row>
    <row r="7347" spans="1:4" x14ac:dyDescent="0.25">
      <c r="A7347" s="139" t="s">
        <v>17113</v>
      </c>
      <c r="B7347" s="139" t="s">
        <v>13151</v>
      </c>
      <c r="C7347" s="139" t="s">
        <v>535</v>
      </c>
      <c r="D7347" s="139" t="s">
        <v>17114</v>
      </c>
    </row>
    <row r="7348" spans="1:4" x14ac:dyDescent="0.25">
      <c r="A7348" s="139" t="s">
        <v>17115</v>
      </c>
      <c r="B7348" s="139" t="s">
        <v>11173</v>
      </c>
      <c r="C7348" s="139" t="s">
        <v>535</v>
      </c>
      <c r="D7348" s="139" t="s">
        <v>17116</v>
      </c>
    </row>
    <row r="7349" spans="1:4" x14ac:dyDescent="0.25">
      <c r="A7349" s="139" t="s">
        <v>17117</v>
      </c>
      <c r="B7349" s="139" t="s">
        <v>11173</v>
      </c>
      <c r="C7349" s="139" t="s">
        <v>535</v>
      </c>
      <c r="D7349" s="139" t="s">
        <v>17118</v>
      </c>
    </row>
    <row r="7350" spans="1:4" x14ac:dyDescent="0.25">
      <c r="A7350" s="139" t="s">
        <v>17119</v>
      </c>
      <c r="B7350" s="139" t="s">
        <v>17120</v>
      </c>
      <c r="C7350" s="139" t="s">
        <v>535</v>
      </c>
      <c r="D7350" s="139" t="s">
        <v>17121</v>
      </c>
    </row>
    <row r="7351" spans="1:4" x14ac:dyDescent="0.25">
      <c r="A7351" s="139" t="s">
        <v>17122</v>
      </c>
      <c r="B7351" s="139" t="s">
        <v>17120</v>
      </c>
      <c r="C7351" s="139" t="s">
        <v>535</v>
      </c>
      <c r="D7351" s="139" t="s">
        <v>17123</v>
      </c>
    </row>
    <row r="7352" spans="1:4" x14ac:dyDescent="0.25">
      <c r="A7352" s="139" t="s">
        <v>17124</v>
      </c>
      <c r="B7352" s="139" t="s">
        <v>13293</v>
      </c>
      <c r="C7352" s="139" t="s">
        <v>535</v>
      </c>
      <c r="D7352" s="139" t="s">
        <v>17125</v>
      </c>
    </row>
    <row r="7353" spans="1:4" x14ac:dyDescent="0.25">
      <c r="A7353" s="139" t="s">
        <v>17126</v>
      </c>
      <c r="B7353" s="139" t="s">
        <v>13293</v>
      </c>
      <c r="C7353" s="139" t="s">
        <v>535</v>
      </c>
      <c r="D7353" s="139" t="s">
        <v>17127</v>
      </c>
    </row>
    <row r="7354" spans="1:4" x14ac:dyDescent="0.25">
      <c r="A7354" s="139" t="s">
        <v>17128</v>
      </c>
      <c r="B7354" s="139" t="s">
        <v>17129</v>
      </c>
      <c r="C7354" s="139" t="s">
        <v>535</v>
      </c>
      <c r="D7354" s="139" t="s">
        <v>17130</v>
      </c>
    </row>
    <row r="7355" spans="1:4" x14ac:dyDescent="0.25">
      <c r="A7355" s="139" t="s">
        <v>17131</v>
      </c>
      <c r="B7355" s="139" t="s">
        <v>17129</v>
      </c>
      <c r="C7355" s="139" t="s">
        <v>535</v>
      </c>
      <c r="D7355" s="139" t="s">
        <v>17132</v>
      </c>
    </row>
    <row r="7356" spans="1:4" x14ac:dyDescent="0.25">
      <c r="A7356" s="139" t="s">
        <v>17133</v>
      </c>
      <c r="B7356" s="139" t="s">
        <v>13146</v>
      </c>
      <c r="C7356" s="139" t="s">
        <v>535</v>
      </c>
      <c r="D7356" s="139" t="s">
        <v>17134</v>
      </c>
    </row>
    <row r="7357" spans="1:4" x14ac:dyDescent="0.25">
      <c r="A7357" s="139" t="s">
        <v>17135</v>
      </c>
      <c r="B7357" s="139" t="s">
        <v>13146</v>
      </c>
      <c r="C7357" s="139" t="s">
        <v>535</v>
      </c>
      <c r="D7357" s="139" t="s">
        <v>17136</v>
      </c>
    </row>
    <row r="7358" spans="1:4" x14ac:dyDescent="0.25">
      <c r="A7358" s="139" t="s">
        <v>17137</v>
      </c>
      <c r="B7358" s="139" t="s">
        <v>10172</v>
      </c>
      <c r="C7358" s="139" t="s">
        <v>535</v>
      </c>
      <c r="D7358" s="139" t="s">
        <v>17138</v>
      </c>
    </row>
    <row r="7359" spans="1:4" x14ac:dyDescent="0.25">
      <c r="A7359" s="139" t="s">
        <v>17139</v>
      </c>
      <c r="B7359" s="139" t="s">
        <v>10172</v>
      </c>
      <c r="C7359" s="139" t="s">
        <v>535</v>
      </c>
      <c r="D7359" s="139" t="s">
        <v>17140</v>
      </c>
    </row>
    <row r="7360" spans="1:4" x14ac:dyDescent="0.25">
      <c r="A7360" s="139" t="s">
        <v>17141</v>
      </c>
      <c r="B7360" s="139" t="s">
        <v>17142</v>
      </c>
      <c r="C7360" s="139" t="s">
        <v>535</v>
      </c>
      <c r="D7360" s="139" t="s">
        <v>17143</v>
      </c>
    </row>
    <row r="7361" spans="1:4" x14ac:dyDescent="0.25">
      <c r="A7361" s="139" t="s">
        <v>17144</v>
      </c>
      <c r="B7361" s="139" t="s">
        <v>17142</v>
      </c>
      <c r="C7361" s="139" t="s">
        <v>535</v>
      </c>
      <c r="D7361" s="139" t="s">
        <v>17145</v>
      </c>
    </row>
    <row r="7362" spans="1:4" x14ac:dyDescent="0.25">
      <c r="A7362" s="139" t="s">
        <v>17146</v>
      </c>
      <c r="B7362" s="139" t="s">
        <v>17147</v>
      </c>
      <c r="C7362" s="139" t="s">
        <v>535</v>
      </c>
      <c r="D7362" s="139" t="s">
        <v>17148</v>
      </c>
    </row>
    <row r="7363" spans="1:4" x14ac:dyDescent="0.25">
      <c r="A7363" s="139" t="s">
        <v>17149</v>
      </c>
      <c r="B7363" s="139" t="s">
        <v>17147</v>
      </c>
      <c r="C7363" s="139" t="s">
        <v>535</v>
      </c>
      <c r="D7363" s="139" t="s">
        <v>17150</v>
      </c>
    </row>
    <row r="7364" spans="1:4" x14ac:dyDescent="0.25">
      <c r="A7364" s="139" t="s">
        <v>17151</v>
      </c>
      <c r="B7364" s="139" t="s">
        <v>17152</v>
      </c>
      <c r="C7364" s="139" t="s">
        <v>535</v>
      </c>
      <c r="D7364" s="139" t="s">
        <v>17153</v>
      </c>
    </row>
    <row r="7365" spans="1:4" x14ac:dyDescent="0.25">
      <c r="A7365" s="139" t="s">
        <v>17154</v>
      </c>
      <c r="B7365" s="139" t="s">
        <v>17152</v>
      </c>
      <c r="C7365" s="139" t="s">
        <v>535</v>
      </c>
      <c r="D7365" s="139" t="s">
        <v>17155</v>
      </c>
    </row>
    <row r="7366" spans="1:4" x14ac:dyDescent="0.25">
      <c r="A7366" s="139" t="s">
        <v>17156</v>
      </c>
      <c r="B7366" s="139" t="s">
        <v>17157</v>
      </c>
      <c r="C7366" s="139" t="s">
        <v>535</v>
      </c>
      <c r="D7366" s="139" t="s">
        <v>17158</v>
      </c>
    </row>
    <row r="7367" spans="1:4" x14ac:dyDescent="0.25">
      <c r="A7367" s="139" t="s">
        <v>17159</v>
      </c>
      <c r="B7367" s="139" t="s">
        <v>17157</v>
      </c>
      <c r="C7367" s="139" t="s">
        <v>535</v>
      </c>
      <c r="D7367" s="139" t="s">
        <v>17160</v>
      </c>
    </row>
    <row r="7368" spans="1:4" x14ac:dyDescent="0.25">
      <c r="A7368" s="139" t="s">
        <v>17161</v>
      </c>
      <c r="B7368" s="139" t="s">
        <v>17162</v>
      </c>
      <c r="C7368" s="139" t="s">
        <v>535</v>
      </c>
      <c r="D7368" s="139" t="s">
        <v>17163</v>
      </c>
    </row>
    <row r="7369" spans="1:4" x14ac:dyDescent="0.25">
      <c r="A7369" s="139" t="s">
        <v>17164</v>
      </c>
      <c r="B7369" s="139" t="s">
        <v>17162</v>
      </c>
      <c r="C7369" s="139" t="s">
        <v>535</v>
      </c>
      <c r="D7369" s="139" t="s">
        <v>17165</v>
      </c>
    </row>
    <row r="7370" spans="1:4" x14ac:dyDescent="0.25">
      <c r="A7370" s="139" t="s">
        <v>17166</v>
      </c>
      <c r="B7370" s="139" t="s">
        <v>17063</v>
      </c>
      <c r="C7370" s="139" t="s">
        <v>535</v>
      </c>
      <c r="D7370" s="139" t="s">
        <v>17167</v>
      </c>
    </row>
    <row r="7371" spans="1:4" x14ac:dyDescent="0.25">
      <c r="A7371" s="139" t="s">
        <v>17168</v>
      </c>
      <c r="B7371" s="139" t="s">
        <v>17063</v>
      </c>
      <c r="C7371" s="139" t="s">
        <v>535</v>
      </c>
      <c r="D7371" s="139" t="s">
        <v>17169</v>
      </c>
    </row>
    <row r="7372" spans="1:4" x14ac:dyDescent="0.25">
      <c r="A7372" s="139" t="s">
        <v>17170</v>
      </c>
      <c r="B7372" s="139" t="s">
        <v>13448</v>
      </c>
      <c r="C7372" s="139" t="s">
        <v>535</v>
      </c>
      <c r="D7372" s="139" t="s">
        <v>17171</v>
      </c>
    </row>
    <row r="7373" spans="1:4" x14ac:dyDescent="0.25">
      <c r="A7373" s="139" t="s">
        <v>17172</v>
      </c>
      <c r="B7373" s="139" t="s">
        <v>13448</v>
      </c>
      <c r="C7373" s="139" t="s">
        <v>535</v>
      </c>
      <c r="D7373" s="139" t="s">
        <v>17173</v>
      </c>
    </row>
    <row r="7374" spans="1:4" x14ac:dyDescent="0.25">
      <c r="A7374" s="139" t="s">
        <v>17174</v>
      </c>
      <c r="B7374" s="139" t="s">
        <v>17175</v>
      </c>
      <c r="C7374" s="139" t="s">
        <v>535</v>
      </c>
      <c r="D7374" s="139" t="s">
        <v>17176</v>
      </c>
    </row>
    <row r="7375" spans="1:4" x14ac:dyDescent="0.25">
      <c r="A7375" s="139" t="s">
        <v>17177</v>
      </c>
      <c r="B7375" s="139" t="s">
        <v>17175</v>
      </c>
      <c r="C7375" s="139" t="s">
        <v>535</v>
      </c>
      <c r="D7375" s="139" t="s">
        <v>17178</v>
      </c>
    </row>
    <row r="7376" spans="1:4" x14ac:dyDescent="0.25">
      <c r="A7376" s="139" t="s">
        <v>17179</v>
      </c>
      <c r="B7376" s="139" t="s">
        <v>17180</v>
      </c>
      <c r="C7376" s="139" t="s">
        <v>535</v>
      </c>
      <c r="D7376" s="139" t="s">
        <v>17181</v>
      </c>
    </row>
    <row r="7377" spans="1:4" x14ac:dyDescent="0.25">
      <c r="A7377" s="139" t="s">
        <v>17182</v>
      </c>
      <c r="B7377" s="139" t="s">
        <v>17180</v>
      </c>
      <c r="C7377" s="139" t="s">
        <v>535</v>
      </c>
      <c r="D7377" s="139" t="s">
        <v>17183</v>
      </c>
    </row>
    <row r="7378" spans="1:4" x14ac:dyDescent="0.25">
      <c r="A7378" s="139" t="s">
        <v>17184</v>
      </c>
      <c r="B7378" s="139" t="s">
        <v>17185</v>
      </c>
      <c r="C7378" s="139" t="s">
        <v>535</v>
      </c>
      <c r="D7378" s="139" t="s">
        <v>17186</v>
      </c>
    </row>
    <row r="7379" spans="1:4" x14ac:dyDescent="0.25">
      <c r="A7379" s="139" t="s">
        <v>17187</v>
      </c>
      <c r="B7379" s="139" t="s">
        <v>17185</v>
      </c>
      <c r="C7379" s="139" t="s">
        <v>535</v>
      </c>
      <c r="D7379" s="139" t="s">
        <v>17188</v>
      </c>
    </row>
    <row r="7380" spans="1:4" x14ac:dyDescent="0.25">
      <c r="A7380" s="139" t="s">
        <v>17189</v>
      </c>
      <c r="B7380" s="139" t="s">
        <v>17147</v>
      </c>
      <c r="C7380" s="139" t="s">
        <v>535</v>
      </c>
      <c r="D7380" s="139" t="s">
        <v>17190</v>
      </c>
    </row>
    <row r="7381" spans="1:4" x14ac:dyDescent="0.25">
      <c r="A7381" s="139" t="s">
        <v>17191</v>
      </c>
      <c r="B7381" s="139" t="s">
        <v>17147</v>
      </c>
      <c r="C7381" s="139" t="s">
        <v>535</v>
      </c>
      <c r="D7381" s="139" t="s">
        <v>17192</v>
      </c>
    </row>
    <row r="7382" spans="1:4" x14ac:dyDescent="0.25">
      <c r="A7382" s="139" t="s">
        <v>17193</v>
      </c>
      <c r="B7382" s="139" t="s">
        <v>17142</v>
      </c>
      <c r="C7382" s="139" t="s">
        <v>535</v>
      </c>
      <c r="D7382" s="139" t="s">
        <v>17194</v>
      </c>
    </row>
    <row r="7383" spans="1:4" x14ac:dyDescent="0.25">
      <c r="A7383" s="139" t="s">
        <v>17195</v>
      </c>
      <c r="B7383" s="139" t="s">
        <v>17142</v>
      </c>
      <c r="C7383" s="139" t="s">
        <v>535</v>
      </c>
      <c r="D7383" s="139" t="s">
        <v>17196</v>
      </c>
    </row>
    <row r="7384" spans="1:4" x14ac:dyDescent="0.25">
      <c r="A7384" s="139" t="s">
        <v>17197</v>
      </c>
      <c r="B7384" s="139" t="s">
        <v>6278</v>
      </c>
      <c r="C7384" s="139" t="s">
        <v>535</v>
      </c>
      <c r="D7384" s="139" t="s">
        <v>17198</v>
      </c>
    </row>
    <row r="7385" spans="1:4" x14ac:dyDescent="0.25">
      <c r="A7385" s="139" t="s">
        <v>17199</v>
      </c>
      <c r="B7385" s="139" t="s">
        <v>6278</v>
      </c>
      <c r="C7385" s="139" t="s">
        <v>535</v>
      </c>
      <c r="D7385" s="139" t="s">
        <v>17200</v>
      </c>
    </row>
    <row r="7386" spans="1:4" x14ac:dyDescent="0.25">
      <c r="A7386" s="139" t="s">
        <v>17201</v>
      </c>
      <c r="B7386" s="139" t="s">
        <v>17202</v>
      </c>
      <c r="C7386" s="139" t="s">
        <v>535</v>
      </c>
      <c r="D7386" s="139" t="s">
        <v>17203</v>
      </c>
    </row>
    <row r="7387" spans="1:4" x14ac:dyDescent="0.25">
      <c r="A7387" s="139" t="s">
        <v>17204</v>
      </c>
      <c r="B7387" s="139" t="s">
        <v>17202</v>
      </c>
      <c r="C7387" s="139" t="s">
        <v>535</v>
      </c>
      <c r="D7387" s="139" t="s">
        <v>17205</v>
      </c>
    </row>
    <row r="7388" spans="1:4" x14ac:dyDescent="0.25">
      <c r="A7388" s="139" t="s">
        <v>17206</v>
      </c>
      <c r="B7388" s="139" t="s">
        <v>13351</v>
      </c>
      <c r="C7388" s="139" t="s">
        <v>658</v>
      </c>
      <c r="D7388" s="139" t="s">
        <v>17207</v>
      </c>
    </row>
    <row r="7389" spans="1:4" x14ac:dyDescent="0.25">
      <c r="A7389" s="139" t="s">
        <v>17208</v>
      </c>
      <c r="B7389" s="139" t="s">
        <v>13351</v>
      </c>
      <c r="C7389" s="139" t="s">
        <v>658</v>
      </c>
      <c r="D7389" s="139" t="s">
        <v>17209</v>
      </c>
    </row>
    <row r="7390" spans="1:4" x14ac:dyDescent="0.25">
      <c r="A7390" s="139" t="s">
        <v>17210</v>
      </c>
      <c r="B7390" s="139" t="s">
        <v>7991</v>
      </c>
      <c r="C7390" s="139" t="s">
        <v>658</v>
      </c>
      <c r="D7390" s="139" t="s">
        <v>17211</v>
      </c>
    </row>
    <row r="7391" spans="1:4" x14ac:dyDescent="0.25">
      <c r="A7391" s="139" t="s">
        <v>17212</v>
      </c>
      <c r="B7391" s="139" t="s">
        <v>7991</v>
      </c>
      <c r="C7391" s="139" t="s">
        <v>658</v>
      </c>
      <c r="D7391" s="139" t="s">
        <v>17213</v>
      </c>
    </row>
    <row r="7392" spans="1:4" x14ac:dyDescent="0.25">
      <c r="A7392" s="139" t="s">
        <v>17214</v>
      </c>
      <c r="B7392" s="139" t="s">
        <v>14538</v>
      </c>
      <c r="C7392" s="139" t="s">
        <v>658</v>
      </c>
      <c r="D7392" s="139" t="s">
        <v>17215</v>
      </c>
    </row>
    <row r="7393" spans="1:4" x14ac:dyDescent="0.25">
      <c r="A7393" s="139" t="s">
        <v>17216</v>
      </c>
      <c r="B7393" s="139" t="s">
        <v>14538</v>
      </c>
      <c r="C7393" s="139" t="s">
        <v>658</v>
      </c>
      <c r="D7393" s="139" t="s">
        <v>17217</v>
      </c>
    </row>
    <row r="7394" spans="1:4" x14ac:dyDescent="0.25">
      <c r="A7394" s="139" t="s">
        <v>17218</v>
      </c>
      <c r="B7394" s="139" t="s">
        <v>14543</v>
      </c>
      <c r="C7394" s="139" t="s">
        <v>658</v>
      </c>
      <c r="D7394" s="139" t="s">
        <v>17219</v>
      </c>
    </row>
    <row r="7395" spans="1:4" x14ac:dyDescent="0.25">
      <c r="A7395" s="139" t="s">
        <v>17220</v>
      </c>
      <c r="B7395" s="139" t="s">
        <v>14543</v>
      </c>
      <c r="C7395" s="139" t="s">
        <v>658</v>
      </c>
      <c r="D7395" s="139" t="s">
        <v>17221</v>
      </c>
    </row>
    <row r="7396" spans="1:4" x14ac:dyDescent="0.25">
      <c r="A7396" s="139" t="s">
        <v>17222</v>
      </c>
      <c r="B7396" s="139" t="s">
        <v>17083</v>
      </c>
      <c r="C7396" s="139" t="s">
        <v>5475</v>
      </c>
      <c r="D7396" s="139" t="s">
        <v>17223</v>
      </c>
    </row>
    <row r="7397" spans="1:4" x14ac:dyDescent="0.25">
      <c r="A7397" s="139" t="s">
        <v>17224</v>
      </c>
      <c r="B7397" s="139" t="s">
        <v>17083</v>
      </c>
      <c r="C7397" s="139" t="s">
        <v>5475</v>
      </c>
      <c r="D7397" s="139" t="s">
        <v>17225</v>
      </c>
    </row>
    <row r="7398" spans="1:4" x14ac:dyDescent="0.25">
      <c r="A7398" s="139" t="s">
        <v>17226</v>
      </c>
      <c r="B7398" s="139" t="s">
        <v>17227</v>
      </c>
      <c r="C7398" s="139" t="s">
        <v>123</v>
      </c>
      <c r="D7398" s="139" t="s">
        <v>17228</v>
      </c>
    </row>
    <row r="7399" spans="1:4" x14ac:dyDescent="0.25">
      <c r="A7399" s="139" t="s">
        <v>17229</v>
      </c>
      <c r="B7399" s="139" t="s">
        <v>17227</v>
      </c>
      <c r="C7399" s="139" t="s">
        <v>123</v>
      </c>
      <c r="D7399" s="139" t="s">
        <v>17230</v>
      </c>
    </row>
    <row r="7400" spans="1:4" x14ac:dyDescent="0.25">
      <c r="A7400" s="139" t="s">
        <v>17231</v>
      </c>
      <c r="B7400" s="139" t="s">
        <v>17232</v>
      </c>
      <c r="C7400" s="139" t="s">
        <v>112</v>
      </c>
      <c r="D7400" s="139" t="s">
        <v>17233</v>
      </c>
    </row>
    <row r="7401" spans="1:4" x14ac:dyDescent="0.25">
      <c r="A7401" s="139" t="s">
        <v>17234</v>
      </c>
      <c r="B7401" s="139" t="s">
        <v>17232</v>
      </c>
      <c r="C7401" s="139" t="s">
        <v>112</v>
      </c>
      <c r="D7401" s="139" t="s">
        <v>17235</v>
      </c>
    </row>
    <row r="7402" spans="1:4" x14ac:dyDescent="0.25">
      <c r="A7402" s="139" t="s">
        <v>17236</v>
      </c>
      <c r="B7402" s="139" t="s">
        <v>17237</v>
      </c>
      <c r="C7402" s="139" t="s">
        <v>112</v>
      </c>
      <c r="D7402" s="139" t="s">
        <v>17238</v>
      </c>
    </row>
    <row r="7403" spans="1:4" x14ac:dyDescent="0.25">
      <c r="A7403" s="139" t="s">
        <v>17239</v>
      </c>
      <c r="B7403" s="139" t="s">
        <v>17237</v>
      </c>
      <c r="C7403" s="139" t="s">
        <v>112</v>
      </c>
      <c r="D7403" s="139" t="s">
        <v>17240</v>
      </c>
    </row>
    <row r="7404" spans="1:4" x14ac:dyDescent="0.25">
      <c r="A7404" s="139" t="s">
        <v>17241</v>
      </c>
      <c r="B7404" s="139" t="s">
        <v>15063</v>
      </c>
      <c r="C7404" s="139" t="s">
        <v>112</v>
      </c>
      <c r="D7404" s="139" t="s">
        <v>17242</v>
      </c>
    </row>
    <row r="7405" spans="1:4" x14ac:dyDescent="0.25">
      <c r="A7405" s="139" t="s">
        <v>17243</v>
      </c>
      <c r="B7405" s="139" t="s">
        <v>15063</v>
      </c>
      <c r="C7405" s="139" t="s">
        <v>112</v>
      </c>
      <c r="D7405" s="139" t="s">
        <v>17244</v>
      </c>
    </row>
    <row r="7406" spans="1:4" x14ac:dyDescent="0.25">
      <c r="A7406" s="139" t="s">
        <v>17245</v>
      </c>
      <c r="B7406" s="139" t="s">
        <v>1857</v>
      </c>
      <c r="C7406" s="139" t="s">
        <v>112</v>
      </c>
      <c r="D7406" s="139" t="s">
        <v>17246</v>
      </c>
    </row>
    <row r="7407" spans="1:4" x14ac:dyDescent="0.25">
      <c r="A7407" s="139" t="s">
        <v>17247</v>
      </c>
      <c r="B7407" s="139" t="s">
        <v>1857</v>
      </c>
      <c r="C7407" s="139" t="s">
        <v>112</v>
      </c>
      <c r="D7407" s="139" t="s">
        <v>17248</v>
      </c>
    </row>
    <row r="7408" spans="1:4" x14ac:dyDescent="0.25">
      <c r="A7408" s="139" t="s">
        <v>17249</v>
      </c>
      <c r="B7408" s="139" t="s">
        <v>17250</v>
      </c>
      <c r="C7408" s="139" t="s">
        <v>112</v>
      </c>
      <c r="D7408" s="139" t="s">
        <v>17251</v>
      </c>
    </row>
    <row r="7409" spans="1:4" x14ac:dyDescent="0.25">
      <c r="A7409" s="139" t="s">
        <v>17252</v>
      </c>
      <c r="B7409" s="139" t="s">
        <v>17250</v>
      </c>
      <c r="C7409" s="139" t="s">
        <v>112</v>
      </c>
      <c r="D7409" s="139" t="s">
        <v>17253</v>
      </c>
    </row>
    <row r="7410" spans="1:4" x14ac:dyDescent="0.25">
      <c r="A7410" s="139" t="s">
        <v>17254</v>
      </c>
      <c r="B7410" s="139" t="s">
        <v>17255</v>
      </c>
      <c r="C7410" s="139" t="s">
        <v>112</v>
      </c>
      <c r="D7410" s="139" t="s">
        <v>17256</v>
      </c>
    </row>
    <row r="7411" spans="1:4" x14ac:dyDescent="0.25">
      <c r="A7411" s="139" t="s">
        <v>17257</v>
      </c>
      <c r="B7411" s="139" t="s">
        <v>17255</v>
      </c>
      <c r="C7411" s="139" t="s">
        <v>112</v>
      </c>
      <c r="D7411" s="139" t="s">
        <v>17258</v>
      </c>
    </row>
    <row r="7412" spans="1:4" x14ac:dyDescent="0.25">
      <c r="A7412" s="139" t="s">
        <v>17259</v>
      </c>
      <c r="B7412" s="139" t="s">
        <v>17260</v>
      </c>
      <c r="C7412" s="139" t="s">
        <v>112</v>
      </c>
      <c r="D7412" s="139" t="s">
        <v>17261</v>
      </c>
    </row>
    <row r="7413" spans="1:4" x14ac:dyDescent="0.25">
      <c r="A7413" s="139" t="s">
        <v>17262</v>
      </c>
      <c r="B7413" s="139" t="s">
        <v>17260</v>
      </c>
      <c r="C7413" s="139" t="s">
        <v>112</v>
      </c>
      <c r="D7413" s="139" t="s">
        <v>17263</v>
      </c>
    </row>
    <row r="7414" spans="1:4" x14ac:dyDescent="0.25">
      <c r="A7414" s="139" t="s">
        <v>17264</v>
      </c>
      <c r="B7414" s="139" t="s">
        <v>17265</v>
      </c>
      <c r="C7414" s="139" t="s">
        <v>112</v>
      </c>
      <c r="D7414" s="139" t="s">
        <v>17266</v>
      </c>
    </row>
    <row r="7415" spans="1:4" x14ac:dyDescent="0.25">
      <c r="A7415" s="139" t="s">
        <v>17267</v>
      </c>
      <c r="B7415" s="139" t="s">
        <v>17265</v>
      </c>
      <c r="C7415" s="139" t="s">
        <v>112</v>
      </c>
      <c r="D7415" s="139" t="s">
        <v>17268</v>
      </c>
    </row>
    <row r="7416" spans="1:4" x14ac:dyDescent="0.25">
      <c r="A7416" s="139" t="s">
        <v>17269</v>
      </c>
      <c r="B7416" s="139" t="s">
        <v>17270</v>
      </c>
      <c r="C7416" s="139" t="s">
        <v>112</v>
      </c>
      <c r="D7416" s="139" t="s">
        <v>17271</v>
      </c>
    </row>
    <row r="7417" spans="1:4" x14ac:dyDescent="0.25">
      <c r="A7417" s="139" t="s">
        <v>17272</v>
      </c>
      <c r="B7417" s="139" t="s">
        <v>17270</v>
      </c>
      <c r="C7417" s="139" t="s">
        <v>112</v>
      </c>
      <c r="D7417" s="139" t="s">
        <v>17273</v>
      </c>
    </row>
    <row r="7418" spans="1:4" x14ac:dyDescent="0.25">
      <c r="A7418" s="139" t="s">
        <v>17274</v>
      </c>
      <c r="B7418" s="139" t="s">
        <v>13403</v>
      </c>
      <c r="C7418" s="139" t="s">
        <v>112</v>
      </c>
      <c r="D7418" s="139" t="s">
        <v>17275</v>
      </c>
    </row>
    <row r="7419" spans="1:4" x14ac:dyDescent="0.25">
      <c r="A7419" s="139" t="s">
        <v>17276</v>
      </c>
      <c r="B7419" s="139" t="s">
        <v>13403</v>
      </c>
      <c r="C7419" s="139" t="s">
        <v>112</v>
      </c>
      <c r="D7419" s="139" t="s">
        <v>17277</v>
      </c>
    </row>
    <row r="7420" spans="1:4" x14ac:dyDescent="0.25">
      <c r="A7420" s="139" t="s">
        <v>17278</v>
      </c>
      <c r="B7420" s="139" t="s">
        <v>6162</v>
      </c>
      <c r="C7420" s="139" t="s">
        <v>112</v>
      </c>
      <c r="D7420" s="139" t="s">
        <v>17279</v>
      </c>
    </row>
    <row r="7421" spans="1:4" x14ac:dyDescent="0.25">
      <c r="A7421" s="139" t="s">
        <v>17280</v>
      </c>
      <c r="B7421" s="139" t="s">
        <v>6162</v>
      </c>
      <c r="C7421" s="139" t="s">
        <v>112</v>
      </c>
      <c r="D7421" s="139" t="s">
        <v>17281</v>
      </c>
    </row>
    <row r="7422" spans="1:4" x14ac:dyDescent="0.25">
      <c r="A7422" s="139" t="s">
        <v>17282</v>
      </c>
      <c r="B7422" s="139" t="s">
        <v>17283</v>
      </c>
      <c r="C7422" s="139" t="s">
        <v>112</v>
      </c>
      <c r="D7422" s="139" t="s">
        <v>17284</v>
      </c>
    </row>
    <row r="7423" spans="1:4" x14ac:dyDescent="0.25">
      <c r="A7423" s="139" t="s">
        <v>17285</v>
      </c>
      <c r="B7423" s="139" t="s">
        <v>17283</v>
      </c>
      <c r="C7423" s="139" t="s">
        <v>112</v>
      </c>
      <c r="D7423" s="139" t="s">
        <v>17286</v>
      </c>
    </row>
    <row r="7424" spans="1:4" x14ac:dyDescent="0.25">
      <c r="A7424" s="139" t="s">
        <v>17287</v>
      </c>
      <c r="B7424" s="139" t="s">
        <v>17288</v>
      </c>
      <c r="C7424" s="139" t="s">
        <v>112</v>
      </c>
      <c r="D7424" s="139" t="s">
        <v>17289</v>
      </c>
    </row>
    <row r="7425" spans="1:4" x14ac:dyDescent="0.25">
      <c r="A7425" s="139" t="s">
        <v>17290</v>
      </c>
      <c r="B7425" s="139" t="s">
        <v>17288</v>
      </c>
      <c r="C7425" s="139" t="s">
        <v>112</v>
      </c>
      <c r="D7425" s="139" t="s">
        <v>17291</v>
      </c>
    </row>
    <row r="7426" spans="1:4" x14ac:dyDescent="0.25">
      <c r="A7426" s="139" t="s">
        <v>17292</v>
      </c>
      <c r="B7426" s="139" t="s">
        <v>17293</v>
      </c>
      <c r="C7426" s="139" t="s">
        <v>112</v>
      </c>
      <c r="D7426" s="139" t="s">
        <v>17294</v>
      </c>
    </row>
    <row r="7427" spans="1:4" x14ac:dyDescent="0.25">
      <c r="A7427" s="139" t="s">
        <v>17295</v>
      </c>
      <c r="B7427" s="139" t="s">
        <v>17293</v>
      </c>
      <c r="C7427" s="139" t="s">
        <v>112</v>
      </c>
      <c r="D7427" s="139" t="s">
        <v>17296</v>
      </c>
    </row>
    <row r="7428" spans="1:4" x14ac:dyDescent="0.25">
      <c r="A7428" s="139" t="s">
        <v>17297</v>
      </c>
      <c r="B7428" s="139" t="s">
        <v>17298</v>
      </c>
      <c r="C7428" s="139" t="s">
        <v>123</v>
      </c>
      <c r="D7428" s="139" t="s">
        <v>17299</v>
      </c>
    </row>
    <row r="7429" spans="1:4" x14ac:dyDescent="0.25">
      <c r="A7429" s="139" t="s">
        <v>17300</v>
      </c>
      <c r="B7429" s="139" t="s">
        <v>17298</v>
      </c>
      <c r="C7429" s="139" t="s">
        <v>123</v>
      </c>
      <c r="D7429" s="139" t="s">
        <v>17301</v>
      </c>
    </row>
    <row r="7430" spans="1:4" x14ac:dyDescent="0.25">
      <c r="A7430" s="139" t="s">
        <v>17302</v>
      </c>
      <c r="B7430" s="139" t="s">
        <v>17303</v>
      </c>
      <c r="C7430" s="139" t="s">
        <v>123</v>
      </c>
      <c r="D7430" s="139" t="s">
        <v>17304</v>
      </c>
    </row>
    <row r="7431" spans="1:4" x14ac:dyDescent="0.25">
      <c r="A7431" s="139" t="s">
        <v>17305</v>
      </c>
      <c r="B7431" s="139" t="s">
        <v>17303</v>
      </c>
      <c r="C7431" s="139" t="s">
        <v>123</v>
      </c>
      <c r="D7431" s="139" t="s">
        <v>17306</v>
      </c>
    </row>
    <row r="7432" spans="1:4" x14ac:dyDescent="0.25">
      <c r="A7432" s="139" t="s">
        <v>17307</v>
      </c>
      <c r="B7432" s="139" t="s">
        <v>13088</v>
      </c>
      <c r="C7432" s="139" t="s">
        <v>123</v>
      </c>
      <c r="D7432" s="139" t="s">
        <v>17308</v>
      </c>
    </row>
    <row r="7433" spans="1:4" x14ac:dyDescent="0.25">
      <c r="A7433" s="139" t="s">
        <v>17309</v>
      </c>
      <c r="B7433" s="139" t="s">
        <v>13088</v>
      </c>
      <c r="C7433" s="139" t="s">
        <v>123</v>
      </c>
      <c r="D7433" s="139" t="s">
        <v>17310</v>
      </c>
    </row>
    <row r="7434" spans="1:4" x14ac:dyDescent="0.25">
      <c r="A7434" s="139" t="s">
        <v>17311</v>
      </c>
      <c r="B7434" s="139" t="s">
        <v>15245</v>
      </c>
      <c r="C7434" s="139" t="s">
        <v>123</v>
      </c>
      <c r="D7434" s="139" t="s">
        <v>17312</v>
      </c>
    </row>
    <row r="7435" spans="1:4" x14ac:dyDescent="0.25">
      <c r="A7435" s="139" t="s">
        <v>17313</v>
      </c>
      <c r="B7435" s="139" t="s">
        <v>15245</v>
      </c>
      <c r="C7435" s="139" t="s">
        <v>123</v>
      </c>
      <c r="D7435" s="139" t="s">
        <v>17314</v>
      </c>
    </row>
    <row r="7436" spans="1:4" x14ac:dyDescent="0.25">
      <c r="A7436" s="139" t="s">
        <v>17315</v>
      </c>
      <c r="B7436" s="139" t="s">
        <v>15250</v>
      </c>
      <c r="C7436" s="139" t="s">
        <v>123</v>
      </c>
      <c r="D7436" s="139" t="s">
        <v>17316</v>
      </c>
    </row>
    <row r="7437" spans="1:4" x14ac:dyDescent="0.25">
      <c r="A7437" s="139" t="s">
        <v>17317</v>
      </c>
      <c r="B7437" s="139" t="s">
        <v>15250</v>
      </c>
      <c r="C7437" s="139" t="s">
        <v>123</v>
      </c>
      <c r="D7437" s="139" t="s">
        <v>17318</v>
      </c>
    </row>
    <row r="7438" spans="1:4" x14ac:dyDescent="0.25">
      <c r="A7438" s="139" t="s">
        <v>17319</v>
      </c>
      <c r="B7438" s="139" t="s">
        <v>11198</v>
      </c>
      <c r="C7438" s="139" t="s">
        <v>123</v>
      </c>
      <c r="D7438" s="139" t="s">
        <v>17320</v>
      </c>
    </row>
    <row r="7439" spans="1:4" x14ac:dyDescent="0.25">
      <c r="A7439" s="139" t="s">
        <v>17321</v>
      </c>
      <c r="B7439" s="139" t="s">
        <v>11198</v>
      </c>
      <c r="C7439" s="139" t="s">
        <v>123</v>
      </c>
      <c r="D7439" s="139" t="s">
        <v>17322</v>
      </c>
    </row>
    <row r="7440" spans="1:4" x14ac:dyDescent="0.25">
      <c r="A7440" s="139" t="s">
        <v>17323</v>
      </c>
      <c r="B7440" s="139" t="s">
        <v>17324</v>
      </c>
      <c r="C7440" s="139" t="s">
        <v>375</v>
      </c>
      <c r="D7440" s="139" t="s">
        <v>17325</v>
      </c>
    </row>
    <row r="7441" spans="1:4" x14ac:dyDescent="0.25">
      <c r="A7441" s="139" t="s">
        <v>17326</v>
      </c>
      <c r="B7441" s="139" t="s">
        <v>17324</v>
      </c>
      <c r="C7441" s="139" t="s">
        <v>375</v>
      </c>
      <c r="D7441" s="139" t="s">
        <v>17327</v>
      </c>
    </row>
    <row r="7442" spans="1:4" x14ac:dyDescent="0.25">
      <c r="A7442" s="139" t="s">
        <v>17328</v>
      </c>
      <c r="B7442" s="139" t="s">
        <v>17329</v>
      </c>
      <c r="C7442" s="139" t="s">
        <v>375</v>
      </c>
      <c r="D7442" s="139" t="s">
        <v>17330</v>
      </c>
    </row>
    <row r="7443" spans="1:4" x14ac:dyDescent="0.25">
      <c r="A7443" s="139" t="s">
        <v>17331</v>
      </c>
      <c r="B7443" s="139" t="s">
        <v>17329</v>
      </c>
      <c r="C7443" s="139" t="s">
        <v>375</v>
      </c>
      <c r="D7443" s="139" t="s">
        <v>17332</v>
      </c>
    </row>
    <row r="7444" spans="1:4" x14ac:dyDescent="0.25">
      <c r="A7444" s="139" t="s">
        <v>17333</v>
      </c>
      <c r="B7444" s="139" t="s">
        <v>17334</v>
      </c>
      <c r="C7444" s="139" t="s">
        <v>375</v>
      </c>
      <c r="D7444" s="139" t="s">
        <v>17335</v>
      </c>
    </row>
    <row r="7445" spans="1:4" x14ac:dyDescent="0.25">
      <c r="A7445" s="139" t="s">
        <v>17336</v>
      </c>
      <c r="B7445" s="139" t="s">
        <v>17334</v>
      </c>
      <c r="C7445" s="139" t="s">
        <v>375</v>
      </c>
      <c r="D7445" s="139" t="s">
        <v>17337</v>
      </c>
    </row>
    <row r="7446" spans="1:4" x14ac:dyDescent="0.25">
      <c r="A7446" s="139" t="s">
        <v>17338</v>
      </c>
      <c r="B7446" s="139" t="s">
        <v>17339</v>
      </c>
      <c r="C7446" s="139" t="s">
        <v>375</v>
      </c>
      <c r="D7446" s="139" t="s">
        <v>17340</v>
      </c>
    </row>
    <row r="7447" spans="1:4" x14ac:dyDescent="0.25">
      <c r="A7447" s="139" t="s">
        <v>17341</v>
      </c>
      <c r="B7447" s="139" t="s">
        <v>17339</v>
      </c>
      <c r="C7447" s="139" t="s">
        <v>375</v>
      </c>
      <c r="D7447" s="139" t="s">
        <v>17342</v>
      </c>
    </row>
    <row r="7448" spans="1:4" x14ac:dyDescent="0.25">
      <c r="A7448" s="139" t="s">
        <v>17343</v>
      </c>
      <c r="B7448" s="139" t="s">
        <v>13302</v>
      </c>
      <c r="C7448" s="139" t="s">
        <v>123</v>
      </c>
      <c r="D7448" s="139" t="s">
        <v>17344</v>
      </c>
    </row>
    <row r="7449" spans="1:4" x14ac:dyDescent="0.25">
      <c r="A7449" s="139" t="s">
        <v>17345</v>
      </c>
      <c r="B7449" s="139" t="s">
        <v>13302</v>
      </c>
      <c r="C7449" s="139" t="s">
        <v>123</v>
      </c>
      <c r="D7449" s="139" t="s">
        <v>17346</v>
      </c>
    </row>
    <row r="7450" spans="1:4" x14ac:dyDescent="0.25">
      <c r="A7450" s="139" t="s">
        <v>17347</v>
      </c>
      <c r="B7450" s="139" t="s">
        <v>17348</v>
      </c>
      <c r="C7450" s="139" t="s">
        <v>375</v>
      </c>
      <c r="D7450" s="139" t="s">
        <v>17349</v>
      </c>
    </row>
    <row r="7451" spans="1:4" x14ac:dyDescent="0.25">
      <c r="A7451" s="139" t="s">
        <v>17350</v>
      </c>
      <c r="B7451" s="139" t="s">
        <v>17348</v>
      </c>
      <c r="C7451" s="139" t="s">
        <v>375</v>
      </c>
      <c r="D7451" s="139" t="s">
        <v>17351</v>
      </c>
    </row>
    <row r="7452" spans="1:4" x14ac:dyDescent="0.25">
      <c r="A7452" s="139" t="s">
        <v>17352</v>
      </c>
      <c r="B7452" s="139" t="s">
        <v>11421</v>
      </c>
      <c r="C7452" s="139" t="s">
        <v>15564</v>
      </c>
      <c r="D7452" s="139" t="s">
        <v>17353</v>
      </c>
    </row>
    <row r="7453" spans="1:4" x14ac:dyDescent="0.25">
      <c r="A7453" s="139" t="s">
        <v>17354</v>
      </c>
      <c r="B7453" s="139" t="s">
        <v>11421</v>
      </c>
      <c r="C7453" s="139" t="s">
        <v>15564</v>
      </c>
      <c r="D7453" s="139" t="s">
        <v>17355</v>
      </c>
    </row>
    <row r="7454" spans="1:4" x14ac:dyDescent="0.25">
      <c r="A7454" s="139" t="s">
        <v>17356</v>
      </c>
      <c r="B7454" s="139" t="s">
        <v>11203</v>
      </c>
      <c r="C7454" s="139" t="s">
        <v>123</v>
      </c>
      <c r="D7454" s="139" t="s">
        <v>17357</v>
      </c>
    </row>
    <row r="7455" spans="1:4" x14ac:dyDescent="0.25">
      <c r="A7455" s="139" t="s">
        <v>17358</v>
      </c>
      <c r="B7455" s="139" t="s">
        <v>11203</v>
      </c>
      <c r="C7455" s="139" t="s">
        <v>123</v>
      </c>
      <c r="D7455" s="139" t="s">
        <v>17359</v>
      </c>
    </row>
    <row r="7456" spans="1:4" x14ac:dyDescent="0.25">
      <c r="A7456" s="139" t="s">
        <v>17360</v>
      </c>
      <c r="B7456" s="139" t="s">
        <v>17073</v>
      </c>
      <c r="C7456" s="139" t="s">
        <v>123</v>
      </c>
      <c r="D7456" s="139" t="s">
        <v>17361</v>
      </c>
    </row>
    <row r="7457" spans="1:4" x14ac:dyDescent="0.25">
      <c r="A7457" s="139" t="s">
        <v>17362</v>
      </c>
      <c r="B7457" s="139" t="s">
        <v>17073</v>
      </c>
      <c r="C7457" s="139" t="s">
        <v>123</v>
      </c>
      <c r="D7457" s="139" t="s">
        <v>17363</v>
      </c>
    </row>
    <row r="7458" spans="1:4" x14ac:dyDescent="0.25">
      <c r="A7458" s="139" t="s">
        <v>17364</v>
      </c>
      <c r="B7458" s="139" t="s">
        <v>17078</v>
      </c>
      <c r="C7458" s="139" t="s">
        <v>123</v>
      </c>
      <c r="D7458" s="139" t="s">
        <v>17365</v>
      </c>
    </row>
    <row r="7459" spans="1:4" x14ac:dyDescent="0.25">
      <c r="A7459" s="139" t="s">
        <v>17366</v>
      </c>
      <c r="B7459" s="139" t="s">
        <v>17078</v>
      </c>
      <c r="C7459" s="139" t="s">
        <v>123</v>
      </c>
      <c r="D7459" s="139" t="s">
        <v>17367</v>
      </c>
    </row>
    <row r="7460" spans="1:4" x14ac:dyDescent="0.25">
      <c r="A7460" s="139" t="s">
        <v>17368</v>
      </c>
      <c r="B7460" s="139" t="s">
        <v>17083</v>
      </c>
      <c r="C7460" s="139" t="s">
        <v>123</v>
      </c>
      <c r="D7460" s="139" t="s">
        <v>17369</v>
      </c>
    </row>
    <row r="7461" spans="1:4" x14ac:dyDescent="0.25">
      <c r="A7461" s="139" t="s">
        <v>17370</v>
      </c>
      <c r="B7461" s="139" t="s">
        <v>17083</v>
      </c>
      <c r="C7461" s="139" t="s">
        <v>123</v>
      </c>
      <c r="D7461" s="139" t="s">
        <v>17371</v>
      </c>
    </row>
    <row r="7462" spans="1:4" x14ac:dyDescent="0.25">
      <c r="A7462" s="139" t="s">
        <v>17372</v>
      </c>
      <c r="B7462" s="139" t="s">
        <v>17373</v>
      </c>
      <c r="C7462" s="139" t="s">
        <v>44</v>
      </c>
      <c r="D7462" s="139" t="s">
        <v>17374</v>
      </c>
    </row>
    <row r="7463" spans="1:4" x14ac:dyDescent="0.25">
      <c r="A7463" s="139" t="s">
        <v>17375</v>
      </c>
      <c r="B7463" s="139" t="s">
        <v>17373</v>
      </c>
      <c r="C7463" s="139" t="s">
        <v>44</v>
      </c>
      <c r="D7463" s="139" t="s">
        <v>17376</v>
      </c>
    </row>
    <row r="7464" spans="1:4" x14ac:dyDescent="0.25">
      <c r="A7464" s="139" t="s">
        <v>17377</v>
      </c>
      <c r="B7464" s="139" t="s">
        <v>17378</v>
      </c>
      <c r="C7464" s="139" t="s">
        <v>44</v>
      </c>
      <c r="D7464" s="139" t="s">
        <v>17379</v>
      </c>
    </row>
    <row r="7465" spans="1:4" x14ac:dyDescent="0.25">
      <c r="A7465" s="139" t="s">
        <v>17380</v>
      </c>
      <c r="B7465" s="139" t="s">
        <v>17378</v>
      </c>
      <c r="C7465" s="139" t="s">
        <v>44</v>
      </c>
      <c r="D7465" s="139" t="s">
        <v>17381</v>
      </c>
    </row>
    <row r="7466" spans="1:4" x14ac:dyDescent="0.25">
      <c r="A7466" s="139" t="s">
        <v>17382</v>
      </c>
      <c r="B7466" s="139" t="s">
        <v>17383</v>
      </c>
      <c r="C7466" s="139" t="s">
        <v>44</v>
      </c>
      <c r="D7466" s="139" t="s">
        <v>17384</v>
      </c>
    </row>
    <row r="7467" spans="1:4" x14ac:dyDescent="0.25">
      <c r="A7467" s="139" t="s">
        <v>17385</v>
      </c>
      <c r="B7467" s="139" t="s">
        <v>17383</v>
      </c>
      <c r="C7467" s="139" t="s">
        <v>44</v>
      </c>
      <c r="D7467" s="139" t="s">
        <v>17386</v>
      </c>
    </row>
    <row r="7468" spans="1:4" x14ac:dyDescent="0.25">
      <c r="A7468" s="139" t="s">
        <v>17387</v>
      </c>
      <c r="B7468" s="139" t="s">
        <v>17388</v>
      </c>
      <c r="C7468" s="139" t="s">
        <v>44</v>
      </c>
      <c r="D7468" s="139" t="s">
        <v>17389</v>
      </c>
    </row>
    <row r="7469" spans="1:4" x14ac:dyDescent="0.25">
      <c r="A7469" s="139" t="s">
        <v>17390</v>
      </c>
      <c r="B7469" s="139" t="s">
        <v>17388</v>
      </c>
      <c r="C7469" s="139" t="s">
        <v>44</v>
      </c>
      <c r="D7469" s="139" t="s">
        <v>17391</v>
      </c>
    </row>
    <row r="7470" spans="1:4" x14ac:dyDescent="0.25">
      <c r="A7470" s="139" t="s">
        <v>17392</v>
      </c>
      <c r="B7470" s="139" t="s">
        <v>17393</v>
      </c>
      <c r="C7470" s="139" t="s">
        <v>44</v>
      </c>
      <c r="D7470" s="139" t="s">
        <v>17394</v>
      </c>
    </row>
    <row r="7471" spans="1:4" x14ac:dyDescent="0.25">
      <c r="A7471" s="139" t="s">
        <v>17395</v>
      </c>
      <c r="B7471" s="139" t="s">
        <v>17393</v>
      </c>
      <c r="C7471" s="139" t="s">
        <v>44</v>
      </c>
      <c r="D7471" s="139" t="s">
        <v>17396</v>
      </c>
    </row>
    <row r="7472" spans="1:4" x14ac:dyDescent="0.25">
      <c r="A7472" s="139" t="s">
        <v>17397</v>
      </c>
      <c r="B7472" s="139" t="s">
        <v>17398</v>
      </c>
      <c r="C7472" s="139" t="s">
        <v>44</v>
      </c>
      <c r="D7472" s="139" t="s">
        <v>17399</v>
      </c>
    </row>
    <row r="7473" spans="1:4" x14ac:dyDescent="0.25">
      <c r="A7473" s="139" t="s">
        <v>17400</v>
      </c>
      <c r="B7473" s="139" t="s">
        <v>17398</v>
      </c>
      <c r="C7473" s="139" t="s">
        <v>44</v>
      </c>
      <c r="D7473" s="139" t="s">
        <v>17401</v>
      </c>
    </row>
    <row r="7474" spans="1:4" x14ac:dyDescent="0.25">
      <c r="A7474" s="139" t="s">
        <v>17402</v>
      </c>
      <c r="B7474" s="139" t="s">
        <v>17403</v>
      </c>
      <c r="C7474" s="139" t="s">
        <v>44</v>
      </c>
      <c r="D7474" s="139" t="s">
        <v>17404</v>
      </c>
    </row>
    <row r="7475" spans="1:4" x14ac:dyDescent="0.25">
      <c r="A7475" s="139" t="s">
        <v>17405</v>
      </c>
      <c r="B7475" s="139" t="s">
        <v>17403</v>
      </c>
      <c r="C7475" s="139" t="s">
        <v>44</v>
      </c>
      <c r="D7475" s="139" t="s">
        <v>17406</v>
      </c>
    </row>
    <row r="7476" spans="1:4" x14ac:dyDescent="0.25">
      <c r="A7476" s="139" t="s">
        <v>17407</v>
      </c>
      <c r="B7476" s="139" t="s">
        <v>17408</v>
      </c>
      <c r="C7476" s="139" t="s">
        <v>44</v>
      </c>
      <c r="D7476" s="139" t="s">
        <v>17409</v>
      </c>
    </row>
    <row r="7477" spans="1:4" x14ac:dyDescent="0.25">
      <c r="A7477" s="139" t="s">
        <v>17410</v>
      </c>
      <c r="B7477" s="139" t="s">
        <v>17408</v>
      </c>
      <c r="C7477" s="139" t="s">
        <v>44</v>
      </c>
      <c r="D7477" s="139" t="s">
        <v>17411</v>
      </c>
    </row>
    <row r="7478" spans="1:4" x14ac:dyDescent="0.25">
      <c r="A7478" s="139" t="s">
        <v>17412</v>
      </c>
      <c r="B7478" s="139" t="s">
        <v>17413</v>
      </c>
      <c r="C7478" s="139" t="s">
        <v>44</v>
      </c>
      <c r="D7478" s="139" t="s">
        <v>17414</v>
      </c>
    </row>
    <row r="7479" spans="1:4" x14ac:dyDescent="0.25">
      <c r="A7479" s="139" t="s">
        <v>17415</v>
      </c>
      <c r="B7479" s="139" t="s">
        <v>17413</v>
      </c>
      <c r="C7479" s="139" t="s">
        <v>44</v>
      </c>
      <c r="D7479" s="139" t="s">
        <v>17416</v>
      </c>
    </row>
    <row r="7480" spans="1:4" x14ac:dyDescent="0.25">
      <c r="A7480" s="139" t="s">
        <v>17417</v>
      </c>
      <c r="B7480" s="139" t="s">
        <v>6249</v>
      </c>
      <c r="C7480" s="139" t="s">
        <v>44</v>
      </c>
      <c r="D7480" s="139" t="s">
        <v>17418</v>
      </c>
    </row>
    <row r="7481" spans="1:4" x14ac:dyDescent="0.25">
      <c r="A7481" s="139" t="s">
        <v>17419</v>
      </c>
      <c r="B7481" s="139" t="s">
        <v>6249</v>
      </c>
      <c r="C7481" s="139" t="s">
        <v>44</v>
      </c>
      <c r="D7481" s="139" t="s">
        <v>17420</v>
      </c>
    </row>
    <row r="7482" spans="1:4" x14ac:dyDescent="0.25">
      <c r="A7482" s="139" t="s">
        <v>17421</v>
      </c>
      <c r="B7482" s="139" t="s">
        <v>17422</v>
      </c>
      <c r="C7482" s="139" t="s">
        <v>44</v>
      </c>
      <c r="D7482" s="139" t="s">
        <v>17423</v>
      </c>
    </row>
    <row r="7483" spans="1:4" x14ac:dyDescent="0.25">
      <c r="A7483" s="139" t="s">
        <v>17424</v>
      </c>
      <c r="B7483" s="139" t="s">
        <v>17422</v>
      </c>
      <c r="C7483" s="139" t="s">
        <v>44</v>
      </c>
      <c r="D7483" s="139" t="s">
        <v>17425</v>
      </c>
    </row>
    <row r="7484" spans="1:4" x14ac:dyDescent="0.25">
      <c r="A7484" s="139" t="s">
        <v>17426</v>
      </c>
      <c r="B7484" s="139" t="s">
        <v>17427</v>
      </c>
      <c r="C7484" s="139" t="s">
        <v>44</v>
      </c>
      <c r="D7484" s="139" t="s">
        <v>17428</v>
      </c>
    </row>
    <row r="7485" spans="1:4" x14ac:dyDescent="0.25">
      <c r="A7485" s="139" t="s">
        <v>17429</v>
      </c>
      <c r="B7485" s="139" t="s">
        <v>17427</v>
      </c>
      <c r="C7485" s="139" t="s">
        <v>44</v>
      </c>
      <c r="D7485" s="139" t="s">
        <v>17430</v>
      </c>
    </row>
    <row r="7486" spans="1:4" x14ac:dyDescent="0.25">
      <c r="A7486" s="139" t="s">
        <v>17431</v>
      </c>
      <c r="B7486" s="139" t="s">
        <v>17432</v>
      </c>
      <c r="C7486" s="139" t="s">
        <v>65</v>
      </c>
      <c r="D7486" s="139" t="s">
        <v>17433</v>
      </c>
    </row>
    <row r="7487" spans="1:4" x14ac:dyDescent="0.25">
      <c r="A7487" s="139" t="s">
        <v>17434</v>
      </c>
      <c r="B7487" s="139" t="s">
        <v>17432</v>
      </c>
      <c r="C7487" s="139" t="s">
        <v>65</v>
      </c>
      <c r="D7487" s="139" t="s">
        <v>17435</v>
      </c>
    </row>
    <row r="7488" spans="1:4" x14ac:dyDescent="0.25">
      <c r="A7488" s="139" t="s">
        <v>17436</v>
      </c>
      <c r="B7488" s="139" t="s">
        <v>17437</v>
      </c>
      <c r="C7488" s="139" t="s">
        <v>65</v>
      </c>
      <c r="D7488" s="139" t="s">
        <v>17438</v>
      </c>
    </row>
    <row r="7489" spans="1:4" x14ac:dyDescent="0.25">
      <c r="A7489" s="139" t="s">
        <v>17439</v>
      </c>
      <c r="B7489" s="139" t="s">
        <v>17437</v>
      </c>
      <c r="C7489" s="139" t="s">
        <v>65</v>
      </c>
      <c r="D7489" s="139" t="s">
        <v>17440</v>
      </c>
    </row>
    <row r="7490" spans="1:4" x14ac:dyDescent="0.25">
      <c r="A7490" s="139" t="s">
        <v>17441</v>
      </c>
      <c r="B7490" s="139" t="s">
        <v>15489</v>
      </c>
      <c r="C7490" s="139" t="s">
        <v>65</v>
      </c>
      <c r="D7490" s="139" t="s">
        <v>17442</v>
      </c>
    </row>
    <row r="7491" spans="1:4" x14ac:dyDescent="0.25">
      <c r="A7491" s="139" t="s">
        <v>17443</v>
      </c>
      <c r="B7491" s="139" t="s">
        <v>15489</v>
      </c>
      <c r="C7491" s="139" t="s">
        <v>65</v>
      </c>
      <c r="D7491" s="139" t="s">
        <v>17444</v>
      </c>
    </row>
    <row r="7492" spans="1:4" x14ac:dyDescent="0.25">
      <c r="A7492" s="139" t="s">
        <v>17445</v>
      </c>
      <c r="B7492" s="139" t="s">
        <v>3064</v>
      </c>
      <c r="C7492" s="139" t="s">
        <v>65</v>
      </c>
      <c r="D7492" s="139" t="s">
        <v>17446</v>
      </c>
    </row>
    <row r="7493" spans="1:4" x14ac:dyDescent="0.25">
      <c r="A7493" s="139" t="s">
        <v>17447</v>
      </c>
      <c r="B7493" s="139" t="s">
        <v>3064</v>
      </c>
      <c r="C7493" s="139" t="s">
        <v>65</v>
      </c>
      <c r="D7493" s="139" t="s">
        <v>17448</v>
      </c>
    </row>
    <row r="7494" spans="1:4" x14ac:dyDescent="0.25">
      <c r="A7494" s="139" t="s">
        <v>17449</v>
      </c>
      <c r="B7494" s="139" t="s">
        <v>3049</v>
      </c>
      <c r="C7494" s="139" t="s">
        <v>65</v>
      </c>
      <c r="D7494" s="139" t="s">
        <v>17450</v>
      </c>
    </row>
    <row r="7495" spans="1:4" x14ac:dyDescent="0.25">
      <c r="A7495" s="139" t="s">
        <v>17451</v>
      </c>
      <c r="B7495" s="139" t="s">
        <v>3049</v>
      </c>
      <c r="C7495" s="139" t="s">
        <v>65</v>
      </c>
      <c r="D7495" s="139" t="s">
        <v>17452</v>
      </c>
    </row>
    <row r="7496" spans="1:4" x14ac:dyDescent="0.25">
      <c r="A7496" s="139" t="s">
        <v>17453</v>
      </c>
      <c r="B7496" s="139" t="s">
        <v>10952</v>
      </c>
      <c r="C7496" s="139" t="s">
        <v>65</v>
      </c>
      <c r="D7496" s="139" t="s">
        <v>17454</v>
      </c>
    </row>
    <row r="7497" spans="1:4" x14ac:dyDescent="0.25">
      <c r="A7497" s="139" t="s">
        <v>17455</v>
      </c>
      <c r="B7497" s="139" t="s">
        <v>10952</v>
      </c>
      <c r="C7497" s="139" t="s">
        <v>65</v>
      </c>
      <c r="D7497" s="139" t="s">
        <v>17456</v>
      </c>
    </row>
    <row r="7498" spans="1:4" x14ac:dyDescent="0.25">
      <c r="A7498" s="139" t="s">
        <v>17457</v>
      </c>
      <c r="B7498" s="139" t="s">
        <v>17458</v>
      </c>
      <c r="C7498" s="139" t="s">
        <v>65</v>
      </c>
      <c r="D7498" s="139" t="s">
        <v>17459</v>
      </c>
    </row>
    <row r="7499" spans="1:4" x14ac:dyDescent="0.25">
      <c r="A7499" s="139" t="s">
        <v>17460</v>
      </c>
      <c r="B7499" s="139" t="s">
        <v>17458</v>
      </c>
      <c r="C7499" s="139" t="s">
        <v>65</v>
      </c>
      <c r="D7499" s="139" t="s">
        <v>17461</v>
      </c>
    </row>
    <row r="7500" spans="1:4" x14ac:dyDescent="0.25">
      <c r="A7500" s="139" t="s">
        <v>17462</v>
      </c>
      <c r="B7500" s="139" t="s">
        <v>17463</v>
      </c>
      <c r="C7500" s="139" t="s">
        <v>65</v>
      </c>
      <c r="D7500" s="139" t="s">
        <v>17464</v>
      </c>
    </row>
    <row r="7501" spans="1:4" x14ac:dyDescent="0.25">
      <c r="A7501" s="139" t="s">
        <v>17465</v>
      </c>
      <c r="B7501" s="139" t="s">
        <v>17463</v>
      </c>
      <c r="C7501" s="139" t="s">
        <v>65</v>
      </c>
      <c r="D7501" s="139" t="s">
        <v>17466</v>
      </c>
    </row>
    <row r="7502" spans="1:4" x14ac:dyDescent="0.25">
      <c r="A7502" s="139" t="s">
        <v>17467</v>
      </c>
      <c r="B7502" s="139" t="s">
        <v>17468</v>
      </c>
      <c r="C7502" s="139" t="s">
        <v>65</v>
      </c>
      <c r="D7502" s="139" t="s">
        <v>17469</v>
      </c>
    </row>
    <row r="7503" spans="1:4" x14ac:dyDescent="0.25">
      <c r="A7503" s="139" t="s">
        <v>17470</v>
      </c>
      <c r="B7503" s="139" t="s">
        <v>17468</v>
      </c>
      <c r="C7503" s="139" t="s">
        <v>65</v>
      </c>
      <c r="D7503" s="139" t="s">
        <v>17471</v>
      </c>
    </row>
    <row r="7504" spans="1:4" x14ac:dyDescent="0.25">
      <c r="A7504" s="139" t="s">
        <v>17472</v>
      </c>
      <c r="B7504" s="139" t="s">
        <v>17473</v>
      </c>
      <c r="C7504" s="139" t="s">
        <v>65</v>
      </c>
      <c r="D7504" s="139" t="s">
        <v>17474</v>
      </c>
    </row>
    <row r="7505" spans="1:4" x14ac:dyDescent="0.25">
      <c r="A7505" s="139" t="s">
        <v>17475</v>
      </c>
      <c r="B7505" s="139" t="s">
        <v>17473</v>
      </c>
      <c r="C7505" s="139" t="s">
        <v>65</v>
      </c>
      <c r="D7505" s="139" t="s">
        <v>17476</v>
      </c>
    </row>
    <row r="7506" spans="1:4" x14ac:dyDescent="0.25">
      <c r="A7506" s="139" t="s">
        <v>17477</v>
      </c>
      <c r="B7506" s="139" t="s">
        <v>3074</v>
      </c>
      <c r="C7506" s="139" t="s">
        <v>65</v>
      </c>
      <c r="D7506" s="139" t="s">
        <v>17478</v>
      </c>
    </row>
    <row r="7507" spans="1:4" x14ac:dyDescent="0.25">
      <c r="A7507" s="139" t="s">
        <v>17479</v>
      </c>
      <c r="B7507" s="139" t="s">
        <v>3074</v>
      </c>
      <c r="C7507" s="139" t="s">
        <v>65</v>
      </c>
      <c r="D7507" s="139" t="s">
        <v>17480</v>
      </c>
    </row>
    <row r="7508" spans="1:4" x14ac:dyDescent="0.25">
      <c r="A7508" s="139" t="s">
        <v>17481</v>
      </c>
      <c r="B7508" s="139" t="s">
        <v>2008</v>
      </c>
      <c r="C7508" s="139" t="s">
        <v>535</v>
      </c>
      <c r="D7508" s="139" t="s">
        <v>17482</v>
      </c>
    </row>
    <row r="7509" spans="1:4" x14ac:dyDescent="0.25">
      <c r="A7509" s="139" t="s">
        <v>17483</v>
      </c>
      <c r="B7509" s="139" t="s">
        <v>2008</v>
      </c>
      <c r="C7509" s="139" t="s">
        <v>535</v>
      </c>
      <c r="D7509" s="139" t="s">
        <v>17484</v>
      </c>
    </row>
    <row r="7510" spans="1:4" x14ac:dyDescent="0.25">
      <c r="A7510" s="139" t="s">
        <v>17485</v>
      </c>
      <c r="B7510" s="139" t="s">
        <v>6240</v>
      </c>
      <c r="C7510" s="139" t="s">
        <v>535</v>
      </c>
      <c r="D7510" s="139" t="s">
        <v>17486</v>
      </c>
    </row>
    <row r="7511" spans="1:4" x14ac:dyDescent="0.25">
      <c r="A7511" s="139" t="s">
        <v>17487</v>
      </c>
      <c r="B7511" s="139" t="s">
        <v>6240</v>
      </c>
      <c r="C7511" s="139" t="s">
        <v>535</v>
      </c>
      <c r="D7511" s="139" t="s">
        <v>17488</v>
      </c>
    </row>
    <row r="7512" spans="1:4" x14ac:dyDescent="0.25">
      <c r="A7512" s="139" t="s">
        <v>17489</v>
      </c>
      <c r="B7512" s="139" t="s">
        <v>17490</v>
      </c>
      <c r="C7512" s="139" t="s">
        <v>123</v>
      </c>
      <c r="D7512" s="139" t="s">
        <v>17491</v>
      </c>
    </row>
    <row r="7513" spans="1:4" x14ac:dyDescent="0.25">
      <c r="A7513" s="139" t="s">
        <v>17492</v>
      </c>
      <c r="B7513" s="139" t="s">
        <v>17490</v>
      </c>
      <c r="C7513" s="139" t="s">
        <v>123</v>
      </c>
      <c r="D7513" s="139" t="s">
        <v>17493</v>
      </c>
    </row>
    <row r="7514" spans="1:4" x14ac:dyDescent="0.25">
      <c r="A7514" s="139" t="s">
        <v>17494</v>
      </c>
      <c r="B7514" s="139" t="s">
        <v>17495</v>
      </c>
      <c r="C7514" s="139" t="s">
        <v>65</v>
      </c>
      <c r="D7514" s="139" t="s">
        <v>17496</v>
      </c>
    </row>
    <row r="7515" spans="1:4" x14ac:dyDescent="0.25">
      <c r="A7515" s="139" t="s">
        <v>17497</v>
      </c>
      <c r="B7515" s="139" t="s">
        <v>17495</v>
      </c>
      <c r="C7515" s="139" t="s">
        <v>65</v>
      </c>
      <c r="D7515" s="139" t="s">
        <v>17498</v>
      </c>
    </row>
    <row r="7516" spans="1:4" x14ac:dyDescent="0.25">
      <c r="A7516" s="139" t="s">
        <v>17499</v>
      </c>
      <c r="B7516" s="139" t="s">
        <v>17500</v>
      </c>
      <c r="C7516" s="139" t="s">
        <v>65</v>
      </c>
      <c r="D7516" s="139" t="s">
        <v>17501</v>
      </c>
    </row>
    <row r="7517" spans="1:4" x14ac:dyDescent="0.25">
      <c r="A7517" s="139" t="s">
        <v>17502</v>
      </c>
      <c r="B7517" s="139" t="s">
        <v>17500</v>
      </c>
      <c r="C7517" s="139" t="s">
        <v>65</v>
      </c>
      <c r="D7517" s="139" t="s">
        <v>17503</v>
      </c>
    </row>
    <row r="7518" spans="1:4" x14ac:dyDescent="0.25">
      <c r="A7518" s="139" t="s">
        <v>17504</v>
      </c>
      <c r="B7518" s="139" t="s">
        <v>10152</v>
      </c>
      <c r="C7518" s="139" t="s">
        <v>123</v>
      </c>
      <c r="D7518" s="139" t="s">
        <v>17505</v>
      </c>
    </row>
    <row r="7519" spans="1:4" x14ac:dyDescent="0.25">
      <c r="A7519" s="139" t="s">
        <v>17506</v>
      </c>
      <c r="B7519" s="139" t="s">
        <v>10152</v>
      </c>
      <c r="C7519" s="139" t="s">
        <v>123</v>
      </c>
      <c r="D7519" s="139" t="s">
        <v>17507</v>
      </c>
    </row>
    <row r="7520" spans="1:4" x14ac:dyDescent="0.25">
      <c r="A7520" s="139" t="s">
        <v>17508</v>
      </c>
      <c r="B7520" s="139" t="s">
        <v>17509</v>
      </c>
      <c r="C7520" s="139" t="s">
        <v>33</v>
      </c>
      <c r="D7520" s="139" t="s">
        <v>17510</v>
      </c>
    </row>
    <row r="7521" spans="1:4" x14ac:dyDescent="0.25">
      <c r="A7521" s="139" t="s">
        <v>17511</v>
      </c>
      <c r="B7521" s="139" t="s">
        <v>17509</v>
      </c>
      <c r="C7521" s="139" t="s">
        <v>33</v>
      </c>
      <c r="D7521" s="139" t="s">
        <v>17512</v>
      </c>
    </row>
    <row r="7522" spans="1:4" x14ac:dyDescent="0.25">
      <c r="A7522" s="139" t="s">
        <v>17513</v>
      </c>
      <c r="B7522" s="139" t="s">
        <v>17514</v>
      </c>
      <c r="C7522" s="139" t="s">
        <v>33</v>
      </c>
      <c r="D7522" s="139" t="s">
        <v>17515</v>
      </c>
    </row>
    <row r="7523" spans="1:4" x14ac:dyDescent="0.25">
      <c r="A7523" s="139" t="s">
        <v>17516</v>
      </c>
      <c r="B7523" s="139" t="s">
        <v>17514</v>
      </c>
      <c r="C7523" s="139" t="s">
        <v>33</v>
      </c>
      <c r="D7523" s="139" t="s">
        <v>17517</v>
      </c>
    </row>
    <row r="7524" spans="1:4" x14ac:dyDescent="0.25">
      <c r="A7524" s="139" t="s">
        <v>17518</v>
      </c>
      <c r="B7524" s="139" t="s">
        <v>17519</v>
      </c>
      <c r="C7524" s="139" t="s">
        <v>33</v>
      </c>
      <c r="D7524" s="139" t="s">
        <v>17520</v>
      </c>
    </row>
    <row r="7525" spans="1:4" x14ac:dyDescent="0.25">
      <c r="A7525" s="139" t="s">
        <v>17521</v>
      </c>
      <c r="B7525" s="139" t="s">
        <v>17519</v>
      </c>
      <c r="C7525" s="139" t="s">
        <v>33</v>
      </c>
      <c r="D7525" s="139" t="s">
        <v>17522</v>
      </c>
    </row>
    <row r="7526" spans="1:4" x14ac:dyDescent="0.25">
      <c r="A7526" s="139" t="s">
        <v>17523</v>
      </c>
      <c r="B7526" s="139" t="s">
        <v>17524</v>
      </c>
      <c r="C7526" s="139" t="s">
        <v>33</v>
      </c>
      <c r="D7526" s="139" t="s">
        <v>17525</v>
      </c>
    </row>
    <row r="7527" spans="1:4" x14ac:dyDescent="0.25">
      <c r="A7527" s="139" t="s">
        <v>17526</v>
      </c>
      <c r="B7527" s="139" t="s">
        <v>17524</v>
      </c>
      <c r="C7527" s="139" t="s">
        <v>33</v>
      </c>
      <c r="D7527" s="139" t="s">
        <v>17527</v>
      </c>
    </row>
    <row r="7528" spans="1:4" x14ac:dyDescent="0.25">
      <c r="A7528" s="139" t="s">
        <v>17528</v>
      </c>
      <c r="B7528" s="139" t="s">
        <v>17529</v>
      </c>
      <c r="C7528" s="139" t="s">
        <v>33</v>
      </c>
      <c r="D7528" s="139" t="s">
        <v>17530</v>
      </c>
    </row>
    <row r="7529" spans="1:4" x14ac:dyDescent="0.25">
      <c r="A7529" s="139" t="s">
        <v>17531</v>
      </c>
      <c r="B7529" s="139" t="s">
        <v>17529</v>
      </c>
      <c r="C7529" s="139" t="s">
        <v>33</v>
      </c>
      <c r="D7529" s="139" t="s">
        <v>17532</v>
      </c>
    </row>
    <row r="7530" spans="1:4" x14ac:dyDescent="0.25">
      <c r="A7530" s="139" t="s">
        <v>17533</v>
      </c>
      <c r="B7530" s="139" t="s">
        <v>17534</v>
      </c>
      <c r="C7530" s="139" t="s">
        <v>65</v>
      </c>
      <c r="D7530" s="139" t="s">
        <v>17535</v>
      </c>
    </row>
    <row r="7531" spans="1:4" x14ac:dyDescent="0.25">
      <c r="A7531" s="139" t="s">
        <v>17536</v>
      </c>
      <c r="B7531" s="139" t="s">
        <v>17534</v>
      </c>
      <c r="C7531" s="139" t="s">
        <v>65</v>
      </c>
      <c r="D7531" s="139" t="s">
        <v>17537</v>
      </c>
    </row>
    <row r="7532" spans="1:4" x14ac:dyDescent="0.25">
      <c r="A7532" s="139" t="s">
        <v>17538</v>
      </c>
      <c r="B7532" s="139" t="s">
        <v>17539</v>
      </c>
      <c r="C7532" s="139" t="s">
        <v>65</v>
      </c>
      <c r="D7532" s="139" t="s">
        <v>17540</v>
      </c>
    </row>
    <row r="7533" spans="1:4" x14ac:dyDescent="0.25">
      <c r="A7533" s="139" t="s">
        <v>17541</v>
      </c>
      <c r="B7533" s="139" t="s">
        <v>17539</v>
      </c>
      <c r="C7533" s="139" t="s">
        <v>65</v>
      </c>
      <c r="D7533" s="139" t="s">
        <v>17542</v>
      </c>
    </row>
    <row r="7534" spans="1:4" x14ac:dyDescent="0.25">
      <c r="A7534" s="139" t="s">
        <v>17543</v>
      </c>
      <c r="B7534" s="139" t="s">
        <v>17544</v>
      </c>
      <c r="C7534" s="139" t="s">
        <v>65</v>
      </c>
      <c r="D7534" s="139" t="s">
        <v>17545</v>
      </c>
    </row>
    <row r="7535" spans="1:4" x14ac:dyDescent="0.25">
      <c r="A7535" s="139" t="s">
        <v>17546</v>
      </c>
      <c r="B7535" s="139" t="s">
        <v>17544</v>
      </c>
      <c r="C7535" s="139" t="s">
        <v>65</v>
      </c>
      <c r="D7535" s="139" t="s">
        <v>17547</v>
      </c>
    </row>
    <row r="7536" spans="1:4" x14ac:dyDescent="0.25">
      <c r="A7536" s="139" t="s">
        <v>17548</v>
      </c>
      <c r="B7536" s="139" t="s">
        <v>17549</v>
      </c>
      <c r="C7536" s="139" t="s">
        <v>65</v>
      </c>
      <c r="D7536" s="139" t="s">
        <v>17550</v>
      </c>
    </row>
    <row r="7537" spans="1:4" x14ac:dyDescent="0.25">
      <c r="A7537" s="139" t="s">
        <v>17551</v>
      </c>
      <c r="B7537" s="139" t="s">
        <v>17549</v>
      </c>
      <c r="C7537" s="139" t="s">
        <v>65</v>
      </c>
      <c r="D7537" s="139" t="s">
        <v>17552</v>
      </c>
    </row>
    <row r="7538" spans="1:4" x14ac:dyDescent="0.25">
      <c r="A7538" s="139" t="s">
        <v>17553</v>
      </c>
      <c r="B7538" s="139" t="s">
        <v>17554</v>
      </c>
      <c r="C7538" s="139" t="s">
        <v>65</v>
      </c>
      <c r="D7538" s="139" t="s">
        <v>17555</v>
      </c>
    </row>
    <row r="7539" spans="1:4" x14ac:dyDescent="0.25">
      <c r="A7539" s="139" t="s">
        <v>17556</v>
      </c>
      <c r="B7539" s="139" t="s">
        <v>17554</v>
      </c>
      <c r="C7539" s="139" t="s">
        <v>65</v>
      </c>
      <c r="D7539" s="139" t="s">
        <v>17557</v>
      </c>
    </row>
    <row r="7540" spans="1:4" x14ac:dyDescent="0.25">
      <c r="A7540" s="139" t="s">
        <v>17558</v>
      </c>
      <c r="B7540" s="139" t="s">
        <v>17559</v>
      </c>
      <c r="C7540" s="139" t="s">
        <v>65</v>
      </c>
      <c r="D7540" s="139" t="s">
        <v>17560</v>
      </c>
    </row>
    <row r="7541" spans="1:4" x14ac:dyDescent="0.25">
      <c r="A7541" s="139" t="s">
        <v>17561</v>
      </c>
      <c r="B7541" s="139" t="s">
        <v>17559</v>
      </c>
      <c r="C7541" s="139" t="s">
        <v>65</v>
      </c>
      <c r="D7541" s="139" t="s">
        <v>17562</v>
      </c>
    </row>
    <row r="7542" spans="1:4" x14ac:dyDescent="0.25">
      <c r="A7542" s="139" t="s">
        <v>17563</v>
      </c>
      <c r="B7542" s="139" t="s">
        <v>17564</v>
      </c>
      <c r="C7542" s="139" t="s">
        <v>65</v>
      </c>
      <c r="D7542" s="139" t="s">
        <v>17565</v>
      </c>
    </row>
    <row r="7543" spans="1:4" x14ac:dyDescent="0.25">
      <c r="A7543" s="139" t="s">
        <v>17566</v>
      </c>
      <c r="B7543" s="139" t="s">
        <v>17567</v>
      </c>
      <c r="C7543" s="139" t="s">
        <v>535</v>
      </c>
      <c r="D7543" s="139" t="s">
        <v>17568</v>
      </c>
    </row>
    <row r="7544" spans="1:4" x14ac:dyDescent="0.25">
      <c r="A7544" s="139" t="s">
        <v>17569</v>
      </c>
      <c r="B7544" s="139" t="s">
        <v>17567</v>
      </c>
      <c r="C7544" s="139" t="s">
        <v>535</v>
      </c>
      <c r="D7544" s="139" t="s">
        <v>17570</v>
      </c>
    </row>
    <row r="7545" spans="1:4" x14ac:dyDescent="0.25">
      <c r="A7545" s="139" t="s">
        <v>17571</v>
      </c>
      <c r="B7545" s="139" t="s">
        <v>17152</v>
      </c>
      <c r="C7545" s="139" t="s">
        <v>123</v>
      </c>
      <c r="D7545" s="139" t="s">
        <v>17572</v>
      </c>
    </row>
    <row r="7546" spans="1:4" x14ac:dyDescent="0.25">
      <c r="A7546" s="139" t="s">
        <v>17573</v>
      </c>
      <c r="B7546" s="139" t="s">
        <v>17152</v>
      </c>
      <c r="C7546" s="139" t="s">
        <v>123</v>
      </c>
      <c r="D7546" s="139" t="s">
        <v>17574</v>
      </c>
    </row>
    <row r="7547" spans="1:4" x14ac:dyDescent="0.25">
      <c r="A7547" s="139" t="s">
        <v>17575</v>
      </c>
      <c r="B7547" s="139" t="s">
        <v>17576</v>
      </c>
      <c r="C7547" s="139" t="s">
        <v>123</v>
      </c>
      <c r="D7547" s="139" t="s">
        <v>17577</v>
      </c>
    </row>
    <row r="7548" spans="1:4" x14ac:dyDescent="0.25">
      <c r="A7548" s="139" t="s">
        <v>17578</v>
      </c>
      <c r="B7548" s="139" t="s">
        <v>17576</v>
      </c>
      <c r="C7548" s="139" t="s">
        <v>123</v>
      </c>
      <c r="D7548" s="139" t="s">
        <v>17579</v>
      </c>
    </row>
    <row r="7549" spans="1:4" x14ac:dyDescent="0.25">
      <c r="A7549" s="139" t="s">
        <v>17580</v>
      </c>
      <c r="B7549" s="139" t="s">
        <v>17581</v>
      </c>
      <c r="C7549" s="139" t="s">
        <v>123</v>
      </c>
      <c r="D7549" s="139" t="s">
        <v>17582</v>
      </c>
    </row>
    <row r="7550" spans="1:4" x14ac:dyDescent="0.25">
      <c r="A7550" s="139" t="s">
        <v>17583</v>
      </c>
      <c r="B7550" s="139" t="s">
        <v>17581</v>
      </c>
      <c r="C7550" s="139" t="s">
        <v>123</v>
      </c>
      <c r="D7550" s="139" t="s">
        <v>17584</v>
      </c>
    </row>
    <row r="7551" spans="1:4" x14ac:dyDescent="0.25">
      <c r="A7551" s="139" t="s">
        <v>17585</v>
      </c>
      <c r="B7551" s="139" t="s">
        <v>17567</v>
      </c>
      <c r="C7551" s="139" t="s">
        <v>123</v>
      </c>
      <c r="D7551" s="139" t="s">
        <v>17586</v>
      </c>
    </row>
    <row r="7552" spans="1:4" x14ac:dyDescent="0.25">
      <c r="A7552" s="139" t="s">
        <v>17587</v>
      </c>
      <c r="B7552" s="139" t="s">
        <v>17567</v>
      </c>
      <c r="C7552" s="139" t="s">
        <v>123</v>
      </c>
      <c r="D7552" s="139" t="s">
        <v>17588</v>
      </c>
    </row>
    <row r="7553" spans="1:4" x14ac:dyDescent="0.25">
      <c r="A7553" s="139" t="s">
        <v>17589</v>
      </c>
      <c r="B7553" s="139" t="s">
        <v>1922</v>
      </c>
      <c r="C7553" s="139" t="s">
        <v>535</v>
      </c>
      <c r="D7553" s="139" t="s">
        <v>17590</v>
      </c>
    </row>
    <row r="7554" spans="1:4" x14ac:dyDescent="0.25">
      <c r="A7554" s="139" t="s">
        <v>17591</v>
      </c>
      <c r="B7554" s="139" t="s">
        <v>1922</v>
      </c>
      <c r="C7554" s="139" t="s">
        <v>535</v>
      </c>
      <c r="D7554" s="139" t="s">
        <v>17592</v>
      </c>
    </row>
    <row r="7555" spans="1:4" x14ac:dyDescent="0.25">
      <c r="A7555" s="139" t="s">
        <v>17593</v>
      </c>
      <c r="B7555" s="139" t="s">
        <v>17594</v>
      </c>
      <c r="C7555" s="139" t="s">
        <v>535</v>
      </c>
      <c r="D7555" s="139" t="s">
        <v>17595</v>
      </c>
    </row>
    <row r="7556" spans="1:4" x14ac:dyDescent="0.25">
      <c r="A7556" s="139" t="s">
        <v>17596</v>
      </c>
      <c r="B7556" s="139" t="s">
        <v>17594</v>
      </c>
      <c r="C7556" s="139" t="s">
        <v>535</v>
      </c>
      <c r="D7556" s="139" t="s">
        <v>17597</v>
      </c>
    </row>
    <row r="7557" spans="1:4" x14ac:dyDescent="0.25">
      <c r="A7557" s="139" t="s">
        <v>17598</v>
      </c>
      <c r="B7557" s="139" t="s">
        <v>17599</v>
      </c>
      <c r="C7557" s="139" t="s">
        <v>535</v>
      </c>
      <c r="D7557" s="139" t="s">
        <v>17600</v>
      </c>
    </row>
    <row r="7558" spans="1:4" x14ac:dyDescent="0.25">
      <c r="A7558" s="139" t="s">
        <v>17601</v>
      </c>
      <c r="B7558" s="139" t="s">
        <v>17599</v>
      </c>
      <c r="C7558" s="139" t="s">
        <v>535</v>
      </c>
      <c r="D7558" s="139" t="s">
        <v>17602</v>
      </c>
    </row>
    <row r="7559" spans="1:4" x14ac:dyDescent="0.25">
      <c r="A7559" s="139" t="s">
        <v>17603</v>
      </c>
      <c r="B7559" s="139" t="s">
        <v>17564</v>
      </c>
      <c r="C7559" s="139" t="s">
        <v>535</v>
      </c>
      <c r="D7559" s="139" t="s">
        <v>17604</v>
      </c>
    </row>
    <row r="7560" spans="1:4" x14ac:dyDescent="0.25">
      <c r="A7560" s="139" t="s">
        <v>17605</v>
      </c>
      <c r="B7560" s="139" t="s">
        <v>17564</v>
      </c>
      <c r="C7560" s="139" t="s">
        <v>535</v>
      </c>
      <c r="D7560" s="139" t="s">
        <v>17606</v>
      </c>
    </row>
    <row r="7561" spans="1:4" x14ac:dyDescent="0.25">
      <c r="A7561" s="139" t="s">
        <v>17607</v>
      </c>
      <c r="B7561" s="139" t="s">
        <v>17608</v>
      </c>
      <c r="C7561" s="139" t="s">
        <v>535</v>
      </c>
      <c r="D7561" s="139" t="s">
        <v>17609</v>
      </c>
    </row>
    <row r="7562" spans="1:4" x14ac:dyDescent="0.25">
      <c r="A7562" s="139" t="s">
        <v>17610</v>
      </c>
      <c r="B7562" s="139" t="s">
        <v>17608</v>
      </c>
      <c r="C7562" s="139" t="s">
        <v>535</v>
      </c>
      <c r="D7562" s="139" t="s">
        <v>17611</v>
      </c>
    </row>
    <row r="7563" spans="1:4" x14ac:dyDescent="0.25">
      <c r="A7563" s="139" t="s">
        <v>17612</v>
      </c>
      <c r="B7563" s="139" t="s">
        <v>15401</v>
      </c>
      <c r="C7563" s="139" t="s">
        <v>535</v>
      </c>
      <c r="D7563" s="139" t="s">
        <v>17613</v>
      </c>
    </row>
    <row r="7564" spans="1:4" x14ac:dyDescent="0.25">
      <c r="A7564" s="139" t="s">
        <v>17614</v>
      </c>
      <c r="B7564" s="139" t="s">
        <v>15401</v>
      </c>
      <c r="C7564" s="139" t="s">
        <v>535</v>
      </c>
      <c r="D7564" s="139" t="s">
        <v>17615</v>
      </c>
    </row>
    <row r="7565" spans="1:4" x14ac:dyDescent="0.25">
      <c r="A7565" s="139" t="s">
        <v>17616</v>
      </c>
      <c r="B7565" s="139" t="s">
        <v>17617</v>
      </c>
      <c r="C7565" s="139" t="s">
        <v>127</v>
      </c>
      <c r="D7565" s="139" t="s">
        <v>17618</v>
      </c>
    </row>
    <row r="7566" spans="1:4" x14ac:dyDescent="0.25">
      <c r="A7566" s="139" t="s">
        <v>17619</v>
      </c>
      <c r="B7566" s="139" t="s">
        <v>17617</v>
      </c>
      <c r="C7566" s="139" t="s">
        <v>127</v>
      </c>
      <c r="D7566" s="139" t="s">
        <v>17620</v>
      </c>
    </row>
    <row r="7567" spans="1:4" x14ac:dyDescent="0.25">
      <c r="A7567" s="139" t="s">
        <v>17621</v>
      </c>
      <c r="B7567" s="139" t="s">
        <v>10083</v>
      </c>
      <c r="C7567" s="139" t="s">
        <v>127</v>
      </c>
      <c r="D7567" s="139" t="s">
        <v>17622</v>
      </c>
    </row>
    <row r="7568" spans="1:4" x14ac:dyDescent="0.25">
      <c r="A7568" s="139" t="s">
        <v>17623</v>
      </c>
      <c r="B7568" s="139" t="s">
        <v>10083</v>
      </c>
      <c r="C7568" s="139" t="s">
        <v>127</v>
      </c>
      <c r="D7568" s="139" t="s">
        <v>17624</v>
      </c>
    </row>
    <row r="7569" spans="1:4" x14ac:dyDescent="0.25">
      <c r="A7569" s="139" t="s">
        <v>17625</v>
      </c>
      <c r="B7569" s="139" t="s">
        <v>17626</v>
      </c>
      <c r="C7569" s="139" t="s">
        <v>127</v>
      </c>
      <c r="D7569" s="139" t="s">
        <v>17627</v>
      </c>
    </row>
    <row r="7570" spans="1:4" x14ac:dyDescent="0.25">
      <c r="A7570" s="139" t="s">
        <v>17628</v>
      </c>
      <c r="B7570" s="139" t="s">
        <v>17626</v>
      </c>
      <c r="C7570" s="139" t="s">
        <v>127</v>
      </c>
      <c r="D7570" s="139" t="s">
        <v>17629</v>
      </c>
    </row>
    <row r="7571" spans="1:4" x14ac:dyDescent="0.25">
      <c r="A7571" s="139" t="s">
        <v>17630</v>
      </c>
      <c r="B7571" s="139" t="s">
        <v>17617</v>
      </c>
      <c r="C7571" s="139" t="s">
        <v>65</v>
      </c>
      <c r="D7571" s="139" t="s">
        <v>17631</v>
      </c>
    </row>
    <row r="7572" spans="1:4" x14ac:dyDescent="0.25">
      <c r="A7572" s="139" t="s">
        <v>17632</v>
      </c>
      <c r="B7572" s="139" t="s">
        <v>17617</v>
      </c>
      <c r="C7572" s="139" t="s">
        <v>65</v>
      </c>
      <c r="D7572" s="139" t="s">
        <v>17633</v>
      </c>
    </row>
    <row r="7573" spans="1:4" x14ac:dyDescent="0.25">
      <c r="A7573" s="139" t="s">
        <v>17634</v>
      </c>
      <c r="B7573" s="139" t="s">
        <v>10083</v>
      </c>
      <c r="C7573" s="139" t="s">
        <v>65</v>
      </c>
      <c r="D7573" s="139" t="s">
        <v>17635</v>
      </c>
    </row>
    <row r="7574" spans="1:4" x14ac:dyDescent="0.25">
      <c r="A7574" s="139" t="s">
        <v>17636</v>
      </c>
      <c r="B7574" s="139" t="s">
        <v>10083</v>
      </c>
      <c r="C7574" s="139" t="s">
        <v>65</v>
      </c>
      <c r="D7574" s="139" t="s">
        <v>17637</v>
      </c>
    </row>
    <row r="7575" spans="1:4" x14ac:dyDescent="0.25">
      <c r="A7575" s="139" t="s">
        <v>17638</v>
      </c>
      <c r="B7575" s="139" t="s">
        <v>17626</v>
      </c>
      <c r="C7575" s="139" t="s">
        <v>65</v>
      </c>
      <c r="D7575" s="139" t="s">
        <v>17639</v>
      </c>
    </row>
    <row r="7576" spans="1:4" x14ac:dyDescent="0.25">
      <c r="A7576" s="139" t="s">
        <v>17640</v>
      </c>
      <c r="B7576" s="139" t="s">
        <v>17626</v>
      </c>
      <c r="C7576" s="139" t="s">
        <v>65</v>
      </c>
      <c r="D7576" s="139" t="s">
        <v>17641</v>
      </c>
    </row>
    <row r="7577" spans="1:4" x14ac:dyDescent="0.25">
      <c r="A7577" s="139" t="s">
        <v>17642</v>
      </c>
      <c r="B7577" s="139" t="s">
        <v>17643</v>
      </c>
      <c r="C7577" s="139" t="s">
        <v>33</v>
      </c>
      <c r="D7577" s="139" t="s">
        <v>17644</v>
      </c>
    </row>
    <row r="7578" spans="1:4" x14ac:dyDescent="0.25">
      <c r="A7578" s="139" t="s">
        <v>17645</v>
      </c>
      <c r="B7578" s="139" t="s">
        <v>17643</v>
      </c>
      <c r="C7578" s="139" t="s">
        <v>33</v>
      </c>
      <c r="D7578" s="139" t="s">
        <v>17646</v>
      </c>
    </row>
    <row r="7579" spans="1:4" x14ac:dyDescent="0.25">
      <c r="A7579" s="139" t="s">
        <v>17647</v>
      </c>
      <c r="B7579" s="139" t="s">
        <v>17648</v>
      </c>
      <c r="C7579" s="139" t="s">
        <v>33</v>
      </c>
      <c r="D7579" s="139" t="s">
        <v>17649</v>
      </c>
    </row>
    <row r="7580" spans="1:4" x14ac:dyDescent="0.25">
      <c r="A7580" s="139" t="s">
        <v>17650</v>
      </c>
      <c r="B7580" s="139" t="s">
        <v>17648</v>
      </c>
      <c r="C7580" s="139" t="s">
        <v>33</v>
      </c>
      <c r="D7580" s="139" t="s">
        <v>17651</v>
      </c>
    </row>
    <row r="7581" spans="1:4" x14ac:dyDescent="0.25">
      <c r="A7581" s="139" t="s">
        <v>17652</v>
      </c>
      <c r="B7581" s="139" t="s">
        <v>8078</v>
      </c>
      <c r="C7581" s="139" t="s">
        <v>33</v>
      </c>
      <c r="D7581" s="139" t="s">
        <v>17653</v>
      </c>
    </row>
    <row r="7582" spans="1:4" x14ac:dyDescent="0.25">
      <c r="A7582" s="139" t="s">
        <v>17654</v>
      </c>
      <c r="B7582" s="139" t="s">
        <v>8078</v>
      </c>
      <c r="C7582" s="139" t="s">
        <v>33</v>
      </c>
      <c r="D7582" s="139" t="s">
        <v>17655</v>
      </c>
    </row>
    <row r="7583" spans="1:4" x14ac:dyDescent="0.25">
      <c r="A7583" s="139" t="s">
        <v>17656</v>
      </c>
      <c r="B7583" s="139" t="s">
        <v>17657</v>
      </c>
      <c r="C7583" s="139" t="s">
        <v>33</v>
      </c>
      <c r="D7583" s="139" t="s">
        <v>17658</v>
      </c>
    </row>
    <row r="7584" spans="1:4" x14ac:dyDescent="0.25">
      <c r="A7584" s="139" t="s">
        <v>17659</v>
      </c>
      <c r="B7584" s="139" t="s">
        <v>17657</v>
      </c>
      <c r="C7584" s="139" t="s">
        <v>33</v>
      </c>
      <c r="D7584" s="139" t="s">
        <v>17660</v>
      </c>
    </row>
    <row r="7585" spans="1:4" x14ac:dyDescent="0.25">
      <c r="A7585" s="139" t="s">
        <v>17661</v>
      </c>
      <c r="B7585" s="139" t="s">
        <v>17662</v>
      </c>
      <c r="C7585" s="139" t="s">
        <v>33</v>
      </c>
      <c r="D7585" s="139" t="s">
        <v>17663</v>
      </c>
    </row>
    <row r="7586" spans="1:4" x14ac:dyDescent="0.25">
      <c r="A7586" s="139" t="s">
        <v>17664</v>
      </c>
      <c r="B7586" s="139" t="s">
        <v>17662</v>
      </c>
      <c r="C7586" s="139" t="s">
        <v>33</v>
      </c>
      <c r="D7586" s="139" t="s">
        <v>17665</v>
      </c>
    </row>
    <row r="7587" spans="1:4" x14ac:dyDescent="0.25">
      <c r="A7587" s="139" t="s">
        <v>17666</v>
      </c>
      <c r="B7587" s="139" t="s">
        <v>17667</v>
      </c>
      <c r="C7587" s="139" t="s">
        <v>2895</v>
      </c>
      <c r="D7587" s="139" t="s">
        <v>17668</v>
      </c>
    </row>
    <row r="7588" spans="1:4" x14ac:dyDescent="0.25">
      <c r="A7588" s="139" t="s">
        <v>17669</v>
      </c>
      <c r="B7588" s="139" t="s">
        <v>17667</v>
      </c>
      <c r="C7588" s="139" t="s">
        <v>2895</v>
      </c>
      <c r="D7588" s="139" t="s">
        <v>17670</v>
      </c>
    </row>
    <row r="7589" spans="1:4" x14ac:dyDescent="0.25">
      <c r="A7589" s="139" t="s">
        <v>17671</v>
      </c>
      <c r="B7589" s="139" t="s">
        <v>17672</v>
      </c>
      <c r="C7589" s="139" t="s">
        <v>65</v>
      </c>
      <c r="D7589" s="139" t="s">
        <v>17673</v>
      </c>
    </row>
    <row r="7590" spans="1:4" x14ac:dyDescent="0.25">
      <c r="A7590" s="139" t="s">
        <v>17674</v>
      </c>
      <c r="B7590" s="139" t="s">
        <v>17672</v>
      </c>
      <c r="C7590" s="139" t="s">
        <v>65</v>
      </c>
      <c r="D7590" s="139" t="s">
        <v>17675</v>
      </c>
    </row>
    <row r="7591" spans="1:4" x14ac:dyDescent="0.25">
      <c r="A7591" s="139" t="s">
        <v>17676</v>
      </c>
      <c r="B7591" s="139" t="s">
        <v>17677</v>
      </c>
      <c r="C7591" s="139" t="s">
        <v>65</v>
      </c>
      <c r="D7591" s="139" t="s">
        <v>17678</v>
      </c>
    </row>
    <row r="7592" spans="1:4" x14ac:dyDescent="0.25">
      <c r="A7592" s="139" t="s">
        <v>17679</v>
      </c>
      <c r="B7592" s="139" t="s">
        <v>17677</v>
      </c>
      <c r="C7592" s="139" t="s">
        <v>65</v>
      </c>
      <c r="D7592" s="139" t="s">
        <v>17680</v>
      </c>
    </row>
    <row r="7593" spans="1:4" x14ac:dyDescent="0.25">
      <c r="A7593" s="139" t="s">
        <v>17681</v>
      </c>
      <c r="B7593" s="139" t="s">
        <v>17682</v>
      </c>
      <c r="C7593" s="139" t="s">
        <v>65</v>
      </c>
      <c r="D7593" s="139" t="s">
        <v>17683</v>
      </c>
    </row>
    <row r="7594" spans="1:4" x14ac:dyDescent="0.25">
      <c r="A7594" s="139" t="s">
        <v>17684</v>
      </c>
      <c r="B7594" s="139" t="s">
        <v>17682</v>
      </c>
      <c r="C7594" s="139" t="s">
        <v>65</v>
      </c>
      <c r="D7594" s="139" t="s">
        <v>17685</v>
      </c>
    </row>
    <row r="7595" spans="1:4" x14ac:dyDescent="0.25">
      <c r="A7595" s="139" t="s">
        <v>17686</v>
      </c>
      <c r="B7595" s="139" t="s">
        <v>14523</v>
      </c>
      <c r="C7595" s="139" t="s">
        <v>112</v>
      </c>
      <c r="D7595" s="139" t="s">
        <v>17687</v>
      </c>
    </row>
    <row r="7596" spans="1:4" x14ac:dyDescent="0.25">
      <c r="A7596" s="139" t="s">
        <v>17688</v>
      </c>
      <c r="B7596" s="139" t="s">
        <v>14523</v>
      </c>
      <c r="C7596" s="139" t="s">
        <v>112</v>
      </c>
      <c r="D7596" s="139" t="s">
        <v>17689</v>
      </c>
    </row>
    <row r="7597" spans="1:4" x14ac:dyDescent="0.25">
      <c r="A7597" s="139" t="s">
        <v>17690</v>
      </c>
      <c r="B7597" s="139" t="s">
        <v>14533</v>
      </c>
      <c r="C7597" s="139" t="s">
        <v>112</v>
      </c>
      <c r="D7597" s="139" t="s">
        <v>17691</v>
      </c>
    </row>
    <row r="7598" spans="1:4" x14ac:dyDescent="0.25">
      <c r="A7598" s="139" t="s">
        <v>17692</v>
      </c>
      <c r="B7598" s="139" t="s">
        <v>14533</v>
      </c>
      <c r="C7598" s="139" t="s">
        <v>112</v>
      </c>
      <c r="D7598" s="139" t="s">
        <v>17693</v>
      </c>
    </row>
    <row r="7599" spans="1:4" x14ac:dyDescent="0.25">
      <c r="A7599" s="139" t="s">
        <v>17694</v>
      </c>
      <c r="B7599" s="139" t="s">
        <v>14543</v>
      </c>
      <c r="C7599" s="139" t="s">
        <v>112</v>
      </c>
      <c r="D7599" s="139" t="s">
        <v>17695</v>
      </c>
    </row>
    <row r="7600" spans="1:4" x14ac:dyDescent="0.25">
      <c r="A7600" s="139" t="s">
        <v>17696</v>
      </c>
      <c r="B7600" s="139" t="s">
        <v>14543</v>
      </c>
      <c r="C7600" s="139" t="s">
        <v>112</v>
      </c>
      <c r="D7600" s="139" t="s">
        <v>17697</v>
      </c>
    </row>
    <row r="7601" spans="1:4" x14ac:dyDescent="0.25">
      <c r="A7601" s="139" t="s">
        <v>17698</v>
      </c>
      <c r="B7601" s="139" t="s">
        <v>17699</v>
      </c>
      <c r="C7601" s="139" t="s">
        <v>2895</v>
      </c>
      <c r="D7601" s="139" t="s">
        <v>17700</v>
      </c>
    </row>
    <row r="7602" spans="1:4" x14ac:dyDescent="0.25">
      <c r="A7602" s="139" t="s">
        <v>17701</v>
      </c>
      <c r="B7602" s="139" t="s">
        <v>17699</v>
      </c>
      <c r="C7602" s="139" t="s">
        <v>2895</v>
      </c>
      <c r="D7602" s="139" t="s">
        <v>17702</v>
      </c>
    </row>
    <row r="7603" spans="1:4" x14ac:dyDescent="0.25">
      <c r="A7603" s="139" t="s">
        <v>17703</v>
      </c>
      <c r="B7603" s="139" t="s">
        <v>11069</v>
      </c>
      <c r="C7603" s="139" t="s">
        <v>123</v>
      </c>
      <c r="D7603" s="139" t="s">
        <v>17704</v>
      </c>
    </row>
    <row r="7604" spans="1:4" x14ac:dyDescent="0.25">
      <c r="A7604" s="139" t="s">
        <v>17705</v>
      </c>
      <c r="B7604" s="139" t="s">
        <v>11069</v>
      </c>
      <c r="C7604" s="139" t="s">
        <v>123</v>
      </c>
      <c r="D7604" s="139" t="s">
        <v>17706</v>
      </c>
    </row>
    <row r="7605" spans="1:4" x14ac:dyDescent="0.25">
      <c r="A7605" s="139" t="s">
        <v>17707</v>
      </c>
      <c r="B7605" s="139" t="s">
        <v>11074</v>
      </c>
      <c r="C7605" s="139" t="s">
        <v>535</v>
      </c>
      <c r="D7605" s="139" t="s">
        <v>17708</v>
      </c>
    </row>
    <row r="7606" spans="1:4" x14ac:dyDescent="0.25">
      <c r="A7606" s="139" t="s">
        <v>17709</v>
      </c>
      <c r="B7606" s="139" t="s">
        <v>11074</v>
      </c>
      <c r="C7606" s="139" t="s">
        <v>535</v>
      </c>
      <c r="D7606" s="139" t="s">
        <v>17710</v>
      </c>
    </row>
    <row r="7607" spans="1:4" x14ac:dyDescent="0.25">
      <c r="A7607" s="139" t="s">
        <v>17711</v>
      </c>
      <c r="B7607" s="139" t="s">
        <v>11222</v>
      </c>
      <c r="C7607" s="139" t="s">
        <v>535</v>
      </c>
      <c r="D7607" s="139" t="s">
        <v>17712</v>
      </c>
    </row>
    <row r="7608" spans="1:4" x14ac:dyDescent="0.25">
      <c r="A7608" s="139" t="s">
        <v>17713</v>
      </c>
      <c r="B7608" s="139" t="s">
        <v>11222</v>
      </c>
      <c r="C7608" s="139" t="s">
        <v>535</v>
      </c>
      <c r="D7608" s="139" t="s">
        <v>17714</v>
      </c>
    </row>
    <row r="7609" spans="1:4" x14ac:dyDescent="0.25">
      <c r="A7609" s="139" t="s">
        <v>17715</v>
      </c>
      <c r="B7609" s="139" t="s">
        <v>14871</v>
      </c>
      <c r="C7609" s="139" t="s">
        <v>123</v>
      </c>
      <c r="D7609" s="139" t="s">
        <v>17716</v>
      </c>
    </row>
    <row r="7610" spans="1:4" x14ac:dyDescent="0.25">
      <c r="A7610" s="139" t="s">
        <v>17717</v>
      </c>
      <c r="B7610" s="139" t="s">
        <v>17718</v>
      </c>
      <c r="C7610" s="139" t="s">
        <v>123</v>
      </c>
      <c r="D7610" s="139" t="s">
        <v>17719</v>
      </c>
    </row>
    <row r="7611" spans="1:4" x14ac:dyDescent="0.25">
      <c r="A7611" s="139" t="s">
        <v>17720</v>
      </c>
      <c r="B7611" s="139" t="s">
        <v>17718</v>
      </c>
      <c r="C7611" s="139" t="s">
        <v>123</v>
      </c>
      <c r="D7611" s="139" t="s">
        <v>17721</v>
      </c>
    </row>
    <row r="7612" spans="1:4" x14ac:dyDescent="0.25">
      <c r="A7612" s="139" t="s">
        <v>17722</v>
      </c>
      <c r="B7612" s="139" t="s">
        <v>11173</v>
      </c>
      <c r="C7612" s="139" t="s">
        <v>123</v>
      </c>
      <c r="D7612" s="139" t="s">
        <v>17723</v>
      </c>
    </row>
    <row r="7613" spans="1:4" x14ac:dyDescent="0.25">
      <c r="A7613" s="139" t="s">
        <v>17724</v>
      </c>
      <c r="B7613" s="139" t="s">
        <v>11173</v>
      </c>
      <c r="C7613" s="139" t="s">
        <v>123</v>
      </c>
      <c r="D7613" s="139" t="s">
        <v>17725</v>
      </c>
    </row>
    <row r="7614" spans="1:4" x14ac:dyDescent="0.25">
      <c r="A7614" s="139" t="s">
        <v>17726</v>
      </c>
      <c r="B7614" s="139" t="s">
        <v>17727</v>
      </c>
      <c r="C7614" s="139" t="s">
        <v>123</v>
      </c>
      <c r="D7614" s="139" t="s">
        <v>17728</v>
      </c>
    </row>
    <row r="7615" spans="1:4" x14ac:dyDescent="0.25">
      <c r="A7615" s="139" t="s">
        <v>17729</v>
      </c>
      <c r="B7615" s="139" t="s">
        <v>17727</v>
      </c>
      <c r="C7615" s="139" t="s">
        <v>123</v>
      </c>
      <c r="D7615" s="139" t="s">
        <v>17730</v>
      </c>
    </row>
    <row r="7616" spans="1:4" x14ac:dyDescent="0.25">
      <c r="A7616" s="139" t="s">
        <v>17731</v>
      </c>
      <c r="B7616" s="139" t="s">
        <v>2128</v>
      </c>
      <c r="C7616" s="139" t="s">
        <v>123</v>
      </c>
      <c r="D7616" s="139" t="s">
        <v>17732</v>
      </c>
    </row>
    <row r="7617" spans="1:4" x14ac:dyDescent="0.25">
      <c r="A7617" s="139" t="s">
        <v>17733</v>
      </c>
      <c r="B7617" s="139" t="s">
        <v>2128</v>
      </c>
      <c r="C7617" s="139" t="s">
        <v>123</v>
      </c>
      <c r="D7617" s="139" t="s">
        <v>17734</v>
      </c>
    </row>
    <row r="7618" spans="1:4" x14ac:dyDescent="0.25">
      <c r="A7618" s="139" t="s">
        <v>17735</v>
      </c>
      <c r="B7618" s="139" t="s">
        <v>11178</v>
      </c>
      <c r="C7618" s="139" t="s">
        <v>535</v>
      </c>
      <c r="D7618" s="139" t="s">
        <v>17736</v>
      </c>
    </row>
    <row r="7619" spans="1:4" x14ac:dyDescent="0.25">
      <c r="A7619" s="139" t="s">
        <v>17737</v>
      </c>
      <c r="B7619" s="139" t="s">
        <v>11178</v>
      </c>
      <c r="C7619" s="139" t="s">
        <v>535</v>
      </c>
      <c r="D7619" s="139" t="s">
        <v>17738</v>
      </c>
    </row>
    <row r="7620" spans="1:4" x14ac:dyDescent="0.25">
      <c r="A7620" s="139" t="s">
        <v>17739</v>
      </c>
      <c r="B7620" s="139" t="s">
        <v>11188</v>
      </c>
      <c r="C7620" s="139" t="s">
        <v>535</v>
      </c>
      <c r="D7620" s="139" t="s">
        <v>17740</v>
      </c>
    </row>
    <row r="7621" spans="1:4" x14ac:dyDescent="0.25">
      <c r="A7621" s="139" t="s">
        <v>17741</v>
      </c>
      <c r="B7621" s="139" t="s">
        <v>11188</v>
      </c>
      <c r="C7621" s="139" t="s">
        <v>375</v>
      </c>
      <c r="D7621" s="139" t="s">
        <v>17742</v>
      </c>
    </row>
    <row r="7622" spans="1:4" x14ac:dyDescent="0.25">
      <c r="A7622" s="139" t="s">
        <v>17743</v>
      </c>
      <c r="B7622" s="139" t="s">
        <v>11144</v>
      </c>
      <c r="C7622" s="139" t="s">
        <v>123</v>
      </c>
      <c r="D7622" s="139" t="s">
        <v>17744</v>
      </c>
    </row>
    <row r="7623" spans="1:4" x14ac:dyDescent="0.25">
      <c r="A7623" s="139" t="s">
        <v>17745</v>
      </c>
      <c r="B7623" s="139" t="s">
        <v>11144</v>
      </c>
      <c r="C7623" s="139" t="s">
        <v>123</v>
      </c>
      <c r="D7623" s="139" t="s">
        <v>17746</v>
      </c>
    </row>
    <row r="7624" spans="1:4" x14ac:dyDescent="0.25">
      <c r="A7624" s="139" t="s">
        <v>17747</v>
      </c>
      <c r="B7624" s="139" t="s">
        <v>11148</v>
      </c>
      <c r="C7624" s="139" t="s">
        <v>123</v>
      </c>
      <c r="D7624" s="139" t="s">
        <v>17748</v>
      </c>
    </row>
    <row r="7625" spans="1:4" x14ac:dyDescent="0.25">
      <c r="A7625" s="139" t="s">
        <v>17749</v>
      </c>
      <c r="B7625" s="139" t="s">
        <v>11148</v>
      </c>
      <c r="C7625" s="139" t="s">
        <v>123</v>
      </c>
      <c r="D7625" s="139" t="s">
        <v>17750</v>
      </c>
    </row>
    <row r="7626" spans="1:4" x14ac:dyDescent="0.25">
      <c r="A7626" s="139" t="s">
        <v>17751</v>
      </c>
      <c r="B7626" s="139" t="s">
        <v>17752</v>
      </c>
      <c r="C7626" s="139" t="s">
        <v>375</v>
      </c>
      <c r="D7626" s="139" t="s">
        <v>17753</v>
      </c>
    </row>
    <row r="7627" spans="1:4" x14ac:dyDescent="0.25">
      <c r="A7627" s="139" t="s">
        <v>17754</v>
      </c>
      <c r="B7627" s="139" t="s">
        <v>17752</v>
      </c>
      <c r="C7627" s="139" t="s">
        <v>375</v>
      </c>
      <c r="D7627" s="139" t="s">
        <v>17755</v>
      </c>
    </row>
    <row r="7628" spans="1:4" x14ac:dyDescent="0.25">
      <c r="A7628" s="139" t="s">
        <v>17756</v>
      </c>
      <c r="B7628" s="139" t="s">
        <v>17757</v>
      </c>
      <c r="C7628" s="139" t="s">
        <v>375</v>
      </c>
      <c r="D7628" s="139" t="s">
        <v>17758</v>
      </c>
    </row>
    <row r="7629" spans="1:4" x14ac:dyDescent="0.25">
      <c r="A7629" s="139" t="s">
        <v>17759</v>
      </c>
      <c r="B7629" s="139" t="s">
        <v>17757</v>
      </c>
      <c r="C7629" s="139" t="s">
        <v>375</v>
      </c>
      <c r="D7629" s="139" t="s">
        <v>17760</v>
      </c>
    </row>
    <row r="7630" spans="1:4" x14ac:dyDescent="0.25">
      <c r="A7630" s="139" t="s">
        <v>17761</v>
      </c>
      <c r="B7630" s="139" t="s">
        <v>17762</v>
      </c>
      <c r="C7630" s="139" t="s">
        <v>535</v>
      </c>
      <c r="D7630" s="139" t="s">
        <v>17763</v>
      </c>
    </row>
    <row r="7631" spans="1:4" x14ac:dyDescent="0.25">
      <c r="A7631" s="139" t="s">
        <v>17764</v>
      </c>
      <c r="B7631" s="139" t="s">
        <v>17762</v>
      </c>
      <c r="C7631" s="139" t="s">
        <v>535</v>
      </c>
      <c r="D7631" s="139" t="s">
        <v>17765</v>
      </c>
    </row>
    <row r="7632" spans="1:4" x14ac:dyDescent="0.25">
      <c r="A7632" s="139" t="s">
        <v>17766</v>
      </c>
      <c r="B7632" s="139" t="s">
        <v>15638</v>
      </c>
      <c r="C7632" s="139" t="s">
        <v>535</v>
      </c>
      <c r="D7632" s="139" t="s">
        <v>17767</v>
      </c>
    </row>
    <row r="7633" spans="1:4" x14ac:dyDescent="0.25">
      <c r="A7633" s="139" t="s">
        <v>17768</v>
      </c>
      <c r="B7633" s="139" t="s">
        <v>15638</v>
      </c>
      <c r="C7633" s="139" t="s">
        <v>535</v>
      </c>
      <c r="D7633" s="139" t="s">
        <v>17769</v>
      </c>
    </row>
    <row r="7634" spans="1:4" x14ac:dyDescent="0.25">
      <c r="A7634" s="139" t="s">
        <v>17770</v>
      </c>
      <c r="B7634" s="139" t="s">
        <v>14404</v>
      </c>
      <c r="C7634" s="139" t="s">
        <v>535</v>
      </c>
      <c r="D7634" s="139" t="s">
        <v>17771</v>
      </c>
    </row>
    <row r="7635" spans="1:4" x14ac:dyDescent="0.25">
      <c r="A7635" s="139" t="s">
        <v>17772</v>
      </c>
      <c r="B7635" s="139" t="s">
        <v>14404</v>
      </c>
      <c r="C7635" s="139" t="s">
        <v>535</v>
      </c>
      <c r="D7635" s="139" t="s">
        <v>17773</v>
      </c>
    </row>
    <row r="7636" spans="1:4" x14ac:dyDescent="0.25">
      <c r="A7636" s="139" t="s">
        <v>17774</v>
      </c>
      <c r="B7636" s="139" t="s">
        <v>17775</v>
      </c>
      <c r="C7636" s="139" t="s">
        <v>535</v>
      </c>
      <c r="D7636" s="139" t="s">
        <v>17776</v>
      </c>
    </row>
    <row r="7637" spans="1:4" x14ac:dyDescent="0.25">
      <c r="A7637" s="139" t="s">
        <v>17777</v>
      </c>
      <c r="B7637" s="139" t="s">
        <v>17775</v>
      </c>
      <c r="C7637" s="139" t="s">
        <v>535</v>
      </c>
      <c r="D7637" s="139" t="s">
        <v>17778</v>
      </c>
    </row>
    <row r="7638" spans="1:4" x14ac:dyDescent="0.25">
      <c r="A7638" s="139" t="s">
        <v>17779</v>
      </c>
      <c r="B7638" s="139" t="s">
        <v>17780</v>
      </c>
      <c r="C7638" s="139" t="s">
        <v>535</v>
      </c>
      <c r="D7638" s="139" t="s">
        <v>17781</v>
      </c>
    </row>
    <row r="7639" spans="1:4" x14ac:dyDescent="0.25">
      <c r="A7639" s="139" t="s">
        <v>17782</v>
      </c>
      <c r="B7639" s="139" t="s">
        <v>17780</v>
      </c>
      <c r="C7639" s="139" t="s">
        <v>535</v>
      </c>
      <c r="D7639" s="139" t="s">
        <v>17783</v>
      </c>
    </row>
    <row r="7640" spans="1:4" x14ac:dyDescent="0.25">
      <c r="A7640" s="139" t="s">
        <v>17784</v>
      </c>
      <c r="B7640" s="139" t="s">
        <v>3024</v>
      </c>
      <c r="C7640" s="139" t="s">
        <v>535</v>
      </c>
      <c r="D7640" s="139" t="s">
        <v>17785</v>
      </c>
    </row>
    <row r="7641" spans="1:4" x14ac:dyDescent="0.25">
      <c r="A7641" s="139" t="s">
        <v>17786</v>
      </c>
      <c r="B7641" s="139" t="s">
        <v>3024</v>
      </c>
      <c r="C7641" s="139" t="s">
        <v>535</v>
      </c>
      <c r="D7641" s="139" t="s">
        <v>17787</v>
      </c>
    </row>
    <row r="7642" spans="1:4" x14ac:dyDescent="0.25">
      <c r="A7642" s="139" t="s">
        <v>17788</v>
      </c>
      <c r="B7642" s="139" t="s">
        <v>17554</v>
      </c>
      <c r="C7642" s="139" t="s">
        <v>535</v>
      </c>
      <c r="D7642" s="139" t="s">
        <v>17789</v>
      </c>
    </row>
    <row r="7643" spans="1:4" x14ac:dyDescent="0.25">
      <c r="A7643" s="139" t="s">
        <v>17790</v>
      </c>
      <c r="B7643" s="139" t="s">
        <v>17554</v>
      </c>
      <c r="C7643" s="139" t="s">
        <v>535</v>
      </c>
      <c r="D7643" s="139" t="s">
        <v>17791</v>
      </c>
    </row>
    <row r="7644" spans="1:4" x14ac:dyDescent="0.25">
      <c r="A7644" s="139" t="s">
        <v>17792</v>
      </c>
      <c r="B7644" s="139" t="s">
        <v>1847</v>
      </c>
      <c r="C7644" s="139" t="s">
        <v>535</v>
      </c>
      <c r="D7644" s="139" t="s">
        <v>17793</v>
      </c>
    </row>
    <row r="7645" spans="1:4" x14ac:dyDescent="0.25">
      <c r="A7645" s="139" t="s">
        <v>17794</v>
      </c>
      <c r="B7645" s="139" t="s">
        <v>1847</v>
      </c>
      <c r="C7645" s="139" t="s">
        <v>535</v>
      </c>
      <c r="D7645" s="139" t="s">
        <v>17795</v>
      </c>
    </row>
    <row r="7646" spans="1:4" x14ac:dyDescent="0.25">
      <c r="A7646" s="139" t="s">
        <v>17796</v>
      </c>
      <c r="B7646" s="139" t="s">
        <v>2238</v>
      </c>
      <c r="C7646" s="139" t="s">
        <v>535</v>
      </c>
      <c r="D7646" s="139" t="s">
        <v>17797</v>
      </c>
    </row>
    <row r="7647" spans="1:4" x14ac:dyDescent="0.25">
      <c r="A7647" s="139" t="s">
        <v>17798</v>
      </c>
      <c r="B7647" s="139" t="s">
        <v>2238</v>
      </c>
      <c r="C7647" s="139" t="s">
        <v>535</v>
      </c>
      <c r="D7647" s="139" t="s">
        <v>17799</v>
      </c>
    </row>
    <row r="7648" spans="1:4" x14ac:dyDescent="0.25">
      <c r="A7648" s="139" t="s">
        <v>17800</v>
      </c>
      <c r="B7648" s="139" t="s">
        <v>17559</v>
      </c>
      <c r="C7648" s="139" t="s">
        <v>535</v>
      </c>
      <c r="D7648" s="139" t="s">
        <v>17801</v>
      </c>
    </row>
    <row r="7649" spans="1:4" x14ac:dyDescent="0.25">
      <c r="A7649" s="139" t="s">
        <v>17802</v>
      </c>
      <c r="B7649" s="139" t="s">
        <v>17559</v>
      </c>
      <c r="C7649" s="139" t="s">
        <v>535</v>
      </c>
      <c r="D7649" s="139" t="s">
        <v>17803</v>
      </c>
    </row>
    <row r="7650" spans="1:4" x14ac:dyDescent="0.25">
      <c r="A7650" s="139" t="s">
        <v>17804</v>
      </c>
      <c r="B7650" s="139" t="s">
        <v>17549</v>
      </c>
      <c r="C7650" s="139" t="s">
        <v>535</v>
      </c>
      <c r="D7650" s="139" t="s">
        <v>17805</v>
      </c>
    </row>
    <row r="7651" spans="1:4" x14ac:dyDescent="0.25">
      <c r="A7651" s="139" t="s">
        <v>17806</v>
      </c>
      <c r="B7651" s="139" t="s">
        <v>17549</v>
      </c>
      <c r="C7651" s="139" t="s">
        <v>535</v>
      </c>
      <c r="D7651" s="139" t="s">
        <v>17807</v>
      </c>
    </row>
    <row r="7652" spans="1:4" x14ac:dyDescent="0.25">
      <c r="A7652" s="139" t="s">
        <v>17808</v>
      </c>
      <c r="B7652" s="139" t="s">
        <v>17809</v>
      </c>
      <c r="C7652" s="139" t="s">
        <v>535</v>
      </c>
      <c r="D7652" s="139" t="s">
        <v>17810</v>
      </c>
    </row>
    <row r="7653" spans="1:4" x14ac:dyDescent="0.25">
      <c r="A7653" s="139" t="s">
        <v>17811</v>
      </c>
      <c r="B7653" s="139" t="s">
        <v>17809</v>
      </c>
      <c r="C7653" s="139" t="s">
        <v>535</v>
      </c>
      <c r="D7653" s="139" t="s">
        <v>17812</v>
      </c>
    </row>
    <row r="7654" spans="1:4" x14ac:dyDescent="0.25">
      <c r="A7654" s="139" t="s">
        <v>17813</v>
      </c>
      <c r="B7654" s="139" t="s">
        <v>17814</v>
      </c>
      <c r="C7654" s="139" t="s">
        <v>535</v>
      </c>
      <c r="D7654" s="139" t="s">
        <v>17815</v>
      </c>
    </row>
    <row r="7655" spans="1:4" x14ac:dyDescent="0.25">
      <c r="A7655" s="139" t="s">
        <v>17816</v>
      </c>
      <c r="B7655" s="139" t="s">
        <v>17814</v>
      </c>
      <c r="C7655" s="139" t="s">
        <v>535</v>
      </c>
      <c r="D7655" s="139" t="s">
        <v>17817</v>
      </c>
    </row>
    <row r="7656" spans="1:4" x14ac:dyDescent="0.25">
      <c r="A7656" s="139" t="s">
        <v>17818</v>
      </c>
      <c r="B7656" s="139" t="s">
        <v>17819</v>
      </c>
      <c r="C7656" s="139" t="s">
        <v>535</v>
      </c>
      <c r="D7656" s="139" t="s">
        <v>17820</v>
      </c>
    </row>
    <row r="7657" spans="1:4" x14ac:dyDescent="0.25">
      <c r="A7657" s="139" t="s">
        <v>17821</v>
      </c>
      <c r="B7657" s="139" t="s">
        <v>17819</v>
      </c>
      <c r="C7657" s="139" t="s">
        <v>535</v>
      </c>
      <c r="D7657" s="139" t="s">
        <v>17822</v>
      </c>
    </row>
    <row r="7658" spans="1:4" x14ac:dyDescent="0.25">
      <c r="A7658" s="139" t="s">
        <v>17823</v>
      </c>
      <c r="B7658" s="139" t="s">
        <v>17824</v>
      </c>
      <c r="C7658" s="139" t="s">
        <v>535</v>
      </c>
      <c r="D7658" s="139" t="s">
        <v>17825</v>
      </c>
    </row>
    <row r="7659" spans="1:4" x14ac:dyDescent="0.25">
      <c r="A7659" s="139" t="s">
        <v>17826</v>
      </c>
      <c r="B7659" s="139" t="s">
        <v>17824</v>
      </c>
      <c r="C7659" s="139" t="s">
        <v>535</v>
      </c>
      <c r="D7659" s="139" t="s">
        <v>17827</v>
      </c>
    </row>
    <row r="7660" spans="1:4" x14ac:dyDescent="0.25">
      <c r="A7660" s="139" t="s">
        <v>17828</v>
      </c>
      <c r="B7660" s="139" t="s">
        <v>17829</v>
      </c>
      <c r="C7660" s="139" t="s">
        <v>535</v>
      </c>
      <c r="D7660" s="139" t="s">
        <v>17830</v>
      </c>
    </row>
    <row r="7661" spans="1:4" x14ac:dyDescent="0.25">
      <c r="A7661" s="139" t="s">
        <v>17831</v>
      </c>
      <c r="B7661" s="139" t="s">
        <v>17829</v>
      </c>
      <c r="C7661" s="139" t="s">
        <v>535</v>
      </c>
      <c r="D7661" s="139" t="s">
        <v>17832</v>
      </c>
    </row>
    <row r="7662" spans="1:4" x14ac:dyDescent="0.25">
      <c r="A7662" s="139" t="s">
        <v>17833</v>
      </c>
      <c r="B7662" s="139" t="s">
        <v>17834</v>
      </c>
      <c r="C7662" s="139" t="s">
        <v>535</v>
      </c>
      <c r="D7662" s="139" t="s">
        <v>17835</v>
      </c>
    </row>
    <row r="7663" spans="1:4" x14ac:dyDescent="0.25">
      <c r="A7663" s="139" t="s">
        <v>17836</v>
      </c>
      <c r="B7663" s="139" t="s">
        <v>17834</v>
      </c>
      <c r="C7663" s="139" t="s">
        <v>535</v>
      </c>
      <c r="D7663" s="139" t="s">
        <v>17837</v>
      </c>
    </row>
    <row r="7664" spans="1:4" x14ac:dyDescent="0.25">
      <c r="A7664" s="139" t="s">
        <v>17838</v>
      </c>
      <c r="B7664" s="139" t="s">
        <v>17839</v>
      </c>
      <c r="C7664" s="139" t="s">
        <v>535</v>
      </c>
      <c r="D7664" s="139" t="s">
        <v>17840</v>
      </c>
    </row>
    <row r="7665" spans="1:4" x14ac:dyDescent="0.25">
      <c r="A7665" s="139" t="s">
        <v>17841</v>
      </c>
      <c r="B7665" s="139" t="s">
        <v>17839</v>
      </c>
      <c r="C7665" s="139" t="s">
        <v>535</v>
      </c>
      <c r="D7665" s="139" t="s">
        <v>17842</v>
      </c>
    </row>
    <row r="7666" spans="1:4" x14ac:dyDescent="0.25">
      <c r="A7666" s="139" t="s">
        <v>17843</v>
      </c>
      <c r="B7666" s="139" t="s">
        <v>17844</v>
      </c>
      <c r="C7666" s="139" t="s">
        <v>535</v>
      </c>
      <c r="D7666" s="139" t="s">
        <v>17845</v>
      </c>
    </row>
    <row r="7667" spans="1:4" x14ac:dyDescent="0.25">
      <c r="A7667" s="139" t="s">
        <v>17846</v>
      </c>
      <c r="B7667" s="139" t="s">
        <v>17844</v>
      </c>
      <c r="C7667" s="139" t="s">
        <v>535</v>
      </c>
      <c r="D7667" s="139" t="s">
        <v>17847</v>
      </c>
    </row>
    <row r="7668" spans="1:4" x14ac:dyDescent="0.25">
      <c r="A7668" s="139" t="s">
        <v>17848</v>
      </c>
      <c r="B7668" s="139" t="s">
        <v>10157</v>
      </c>
      <c r="C7668" s="139" t="s">
        <v>535</v>
      </c>
      <c r="D7668" s="139" t="s">
        <v>17849</v>
      </c>
    </row>
    <row r="7669" spans="1:4" x14ac:dyDescent="0.25">
      <c r="A7669" s="139" t="s">
        <v>17850</v>
      </c>
      <c r="B7669" s="139" t="s">
        <v>10157</v>
      </c>
      <c r="C7669" s="139" t="s">
        <v>535</v>
      </c>
      <c r="D7669" s="139" t="s">
        <v>17851</v>
      </c>
    </row>
    <row r="7670" spans="1:4" x14ac:dyDescent="0.25">
      <c r="A7670" s="139" t="s">
        <v>17852</v>
      </c>
      <c r="B7670" s="139" t="s">
        <v>6149</v>
      </c>
      <c r="C7670" s="139" t="s">
        <v>535</v>
      </c>
      <c r="D7670" s="139" t="s">
        <v>17853</v>
      </c>
    </row>
    <row r="7671" spans="1:4" x14ac:dyDescent="0.25">
      <c r="A7671" s="139" t="s">
        <v>17854</v>
      </c>
      <c r="B7671" s="139" t="s">
        <v>6149</v>
      </c>
      <c r="C7671" s="139" t="s">
        <v>535</v>
      </c>
      <c r="D7671" s="139" t="s">
        <v>17855</v>
      </c>
    </row>
    <row r="7672" spans="1:4" x14ac:dyDescent="0.25">
      <c r="A7672" s="139" t="s">
        <v>17856</v>
      </c>
      <c r="B7672" s="139" t="s">
        <v>17129</v>
      </c>
      <c r="C7672" s="139" t="s">
        <v>535</v>
      </c>
      <c r="D7672" s="139" t="s">
        <v>17857</v>
      </c>
    </row>
    <row r="7673" spans="1:4" x14ac:dyDescent="0.25">
      <c r="A7673" s="139" t="s">
        <v>17858</v>
      </c>
      <c r="B7673" s="139" t="s">
        <v>17129</v>
      </c>
      <c r="C7673" s="139" t="s">
        <v>535</v>
      </c>
      <c r="D7673" s="139" t="s">
        <v>17859</v>
      </c>
    </row>
    <row r="7674" spans="1:4" x14ac:dyDescent="0.25">
      <c r="A7674" s="139" t="s">
        <v>17860</v>
      </c>
      <c r="B7674" s="139" t="s">
        <v>13361</v>
      </c>
      <c r="C7674" s="139" t="s">
        <v>123</v>
      </c>
      <c r="D7674" s="139" t="s">
        <v>17861</v>
      </c>
    </row>
    <row r="7675" spans="1:4" x14ac:dyDescent="0.25">
      <c r="A7675" s="139" t="s">
        <v>17862</v>
      </c>
      <c r="B7675" s="139" t="s">
        <v>13361</v>
      </c>
      <c r="C7675" s="139" t="s">
        <v>123</v>
      </c>
      <c r="D7675" s="139" t="s">
        <v>17863</v>
      </c>
    </row>
    <row r="7676" spans="1:4" x14ac:dyDescent="0.25">
      <c r="A7676" s="139" t="s">
        <v>17864</v>
      </c>
      <c r="B7676" s="139" t="s">
        <v>14514</v>
      </c>
      <c r="C7676" s="139" t="s">
        <v>535</v>
      </c>
      <c r="D7676" s="139" t="s">
        <v>17865</v>
      </c>
    </row>
    <row r="7677" spans="1:4" x14ac:dyDescent="0.25">
      <c r="A7677" s="139" t="s">
        <v>17866</v>
      </c>
      <c r="B7677" s="139" t="s">
        <v>14514</v>
      </c>
      <c r="C7677" s="139" t="s">
        <v>535</v>
      </c>
      <c r="D7677" s="139" t="s">
        <v>17867</v>
      </c>
    </row>
    <row r="7678" spans="1:4" x14ac:dyDescent="0.25">
      <c r="A7678" s="139" t="s">
        <v>17868</v>
      </c>
      <c r="B7678" s="139" t="s">
        <v>17869</v>
      </c>
      <c r="C7678" s="139" t="s">
        <v>535</v>
      </c>
      <c r="D7678" s="139" t="s">
        <v>17870</v>
      </c>
    </row>
    <row r="7679" spans="1:4" x14ac:dyDescent="0.25">
      <c r="A7679" s="139" t="s">
        <v>17871</v>
      </c>
      <c r="B7679" s="139" t="s">
        <v>17869</v>
      </c>
      <c r="C7679" s="139" t="s">
        <v>535</v>
      </c>
      <c r="D7679" s="139" t="s">
        <v>17872</v>
      </c>
    </row>
    <row r="7680" spans="1:4" x14ac:dyDescent="0.25">
      <c r="A7680" s="139" t="s">
        <v>17873</v>
      </c>
      <c r="B7680" s="139" t="s">
        <v>17874</v>
      </c>
      <c r="C7680" s="139" t="s">
        <v>535</v>
      </c>
      <c r="D7680" s="139" t="s">
        <v>17875</v>
      </c>
    </row>
    <row r="7681" spans="1:4" x14ac:dyDescent="0.25">
      <c r="A7681" s="139" t="s">
        <v>17876</v>
      </c>
      <c r="B7681" s="139" t="s">
        <v>17874</v>
      </c>
      <c r="C7681" s="139" t="s">
        <v>535</v>
      </c>
      <c r="D7681" s="139" t="s">
        <v>17877</v>
      </c>
    </row>
    <row r="7682" spans="1:4" x14ac:dyDescent="0.25">
      <c r="A7682" s="139" t="s">
        <v>17878</v>
      </c>
      <c r="B7682" s="139" t="s">
        <v>17879</v>
      </c>
      <c r="C7682" s="139" t="s">
        <v>535</v>
      </c>
      <c r="D7682" s="139" t="s">
        <v>17880</v>
      </c>
    </row>
    <row r="7683" spans="1:4" x14ac:dyDescent="0.25">
      <c r="A7683" s="139" t="s">
        <v>17881</v>
      </c>
      <c r="B7683" s="139" t="s">
        <v>17879</v>
      </c>
      <c r="C7683" s="139" t="s">
        <v>535</v>
      </c>
      <c r="D7683" s="139" t="s">
        <v>17882</v>
      </c>
    </row>
    <row r="7684" spans="1:4" x14ac:dyDescent="0.25">
      <c r="A7684" s="139" t="s">
        <v>17883</v>
      </c>
      <c r="B7684" s="139" t="s">
        <v>7758</v>
      </c>
      <c r="C7684" s="139" t="s">
        <v>535</v>
      </c>
      <c r="D7684" s="139" t="s">
        <v>17884</v>
      </c>
    </row>
    <row r="7685" spans="1:4" x14ac:dyDescent="0.25">
      <c r="A7685" s="139" t="s">
        <v>17885</v>
      </c>
      <c r="B7685" s="139" t="s">
        <v>7758</v>
      </c>
      <c r="C7685" s="139" t="s">
        <v>535</v>
      </c>
      <c r="D7685" s="139" t="s">
        <v>17886</v>
      </c>
    </row>
    <row r="7686" spans="1:4" x14ac:dyDescent="0.25">
      <c r="A7686" s="139" t="s">
        <v>17887</v>
      </c>
      <c r="B7686" s="139" t="s">
        <v>7986</v>
      </c>
      <c r="C7686" s="139" t="s">
        <v>535</v>
      </c>
      <c r="D7686" s="139" t="s">
        <v>17888</v>
      </c>
    </row>
    <row r="7687" spans="1:4" x14ac:dyDescent="0.25">
      <c r="A7687" s="139" t="s">
        <v>17889</v>
      </c>
      <c r="B7687" s="139" t="s">
        <v>7986</v>
      </c>
      <c r="C7687" s="139" t="s">
        <v>535</v>
      </c>
      <c r="D7687" s="139" t="s">
        <v>17890</v>
      </c>
    </row>
    <row r="7688" spans="1:4" x14ac:dyDescent="0.25">
      <c r="A7688" s="139" t="s">
        <v>17891</v>
      </c>
      <c r="B7688" s="139" t="s">
        <v>17564</v>
      </c>
      <c r="C7688" s="139" t="s">
        <v>65</v>
      </c>
      <c r="D7688" s="139" t="s">
        <v>17892</v>
      </c>
    </row>
    <row r="7689" spans="1:4" x14ac:dyDescent="0.25">
      <c r="A7689" s="139" t="s">
        <v>17893</v>
      </c>
      <c r="B7689" s="139" t="s">
        <v>16152</v>
      </c>
      <c r="C7689" s="139" t="s">
        <v>65</v>
      </c>
      <c r="D7689" s="139" t="s">
        <v>17894</v>
      </c>
    </row>
    <row r="7690" spans="1:4" x14ac:dyDescent="0.25">
      <c r="A7690" s="139" t="s">
        <v>17895</v>
      </c>
      <c r="B7690" s="139" t="s">
        <v>4827</v>
      </c>
      <c r="C7690" s="139" t="s">
        <v>112</v>
      </c>
      <c r="D7690" s="139" t="s">
        <v>17896</v>
      </c>
    </row>
    <row r="7691" spans="1:4" x14ac:dyDescent="0.25">
      <c r="A7691" s="139" t="s">
        <v>17897</v>
      </c>
      <c r="B7691" s="139" t="s">
        <v>4744</v>
      </c>
      <c r="C7691" s="139" t="s">
        <v>112</v>
      </c>
      <c r="D7691" s="139" t="s">
        <v>17898</v>
      </c>
    </row>
    <row r="7692" spans="1:4" x14ac:dyDescent="0.25">
      <c r="A7692" s="139" t="s">
        <v>17899</v>
      </c>
      <c r="B7692" s="139" t="s">
        <v>6852</v>
      </c>
      <c r="C7692" s="139" t="s">
        <v>112</v>
      </c>
      <c r="D7692" s="139" t="s">
        <v>17900</v>
      </c>
    </row>
    <row r="7693" spans="1:4" x14ac:dyDescent="0.25">
      <c r="A7693" s="139" t="s">
        <v>17901</v>
      </c>
      <c r="B7693" s="139" t="s">
        <v>17902</v>
      </c>
      <c r="C7693" s="139" t="s">
        <v>112</v>
      </c>
      <c r="D7693" s="139" t="s">
        <v>17903</v>
      </c>
    </row>
    <row r="7694" spans="1:4" x14ac:dyDescent="0.25">
      <c r="A7694" s="139" t="s">
        <v>17904</v>
      </c>
      <c r="B7694" s="139" t="s">
        <v>17905</v>
      </c>
      <c r="C7694" s="139" t="s">
        <v>112</v>
      </c>
      <c r="D7694" s="139" t="s">
        <v>17906</v>
      </c>
    </row>
    <row r="7695" spans="1:4" x14ac:dyDescent="0.25">
      <c r="A7695" s="139" t="s">
        <v>17907</v>
      </c>
      <c r="B7695" s="139" t="s">
        <v>17908</v>
      </c>
      <c r="C7695" s="139" t="s">
        <v>112</v>
      </c>
      <c r="D7695" s="139" t="s">
        <v>17909</v>
      </c>
    </row>
    <row r="7696" spans="1:4" x14ac:dyDescent="0.25">
      <c r="A7696" s="139" t="s">
        <v>17910</v>
      </c>
      <c r="B7696" s="139" t="s">
        <v>17911</v>
      </c>
      <c r="C7696" s="139" t="s">
        <v>112</v>
      </c>
      <c r="D7696" s="139" t="s">
        <v>17912</v>
      </c>
    </row>
    <row r="7697" spans="1:4" x14ac:dyDescent="0.25">
      <c r="A7697" s="139" t="s">
        <v>17913</v>
      </c>
      <c r="B7697" s="139" t="s">
        <v>17914</v>
      </c>
      <c r="C7697" s="139" t="s">
        <v>112</v>
      </c>
      <c r="D7697" s="139" t="s">
        <v>17915</v>
      </c>
    </row>
    <row r="7698" spans="1:4" x14ac:dyDescent="0.25">
      <c r="A7698" s="139" t="s">
        <v>17916</v>
      </c>
      <c r="B7698" s="139" t="s">
        <v>17917</v>
      </c>
      <c r="C7698" s="139" t="s">
        <v>112</v>
      </c>
      <c r="D7698" s="139" t="s">
        <v>17918</v>
      </c>
    </row>
    <row r="7699" spans="1:4" x14ac:dyDescent="0.25">
      <c r="A7699" s="139" t="s">
        <v>17919</v>
      </c>
      <c r="B7699" s="139" t="s">
        <v>17920</v>
      </c>
      <c r="C7699" s="139" t="s">
        <v>658</v>
      </c>
      <c r="D7699" s="139" t="s">
        <v>17921</v>
      </c>
    </row>
    <row r="7700" spans="1:4" x14ac:dyDescent="0.25">
      <c r="A7700" s="139" t="s">
        <v>17922</v>
      </c>
      <c r="B7700" s="139" t="s">
        <v>1049</v>
      </c>
      <c r="C7700" s="139" t="s">
        <v>127</v>
      </c>
      <c r="D7700" s="139" t="s">
        <v>17923</v>
      </c>
    </row>
    <row r="7701" spans="1:4" x14ac:dyDescent="0.25">
      <c r="A7701" s="139" t="s">
        <v>17924</v>
      </c>
      <c r="B7701" s="139" t="s">
        <v>15831</v>
      </c>
      <c r="C7701" s="139" t="s">
        <v>127</v>
      </c>
      <c r="D7701" s="139" t="s">
        <v>17925</v>
      </c>
    </row>
    <row r="7702" spans="1:4" x14ac:dyDescent="0.25">
      <c r="A7702" s="139" t="s">
        <v>17926</v>
      </c>
      <c r="B7702" s="139" t="s">
        <v>6123</v>
      </c>
      <c r="C7702" s="139" t="s">
        <v>65</v>
      </c>
      <c r="D7702" s="139" t="s">
        <v>17927</v>
      </c>
    </row>
    <row r="7703" spans="1:4" x14ac:dyDescent="0.25">
      <c r="A7703" s="139" t="s">
        <v>17928</v>
      </c>
      <c r="B7703" s="139" t="s">
        <v>5792</v>
      </c>
      <c r="C7703" s="139" t="s">
        <v>65</v>
      </c>
      <c r="D7703" s="139" t="s">
        <v>17929</v>
      </c>
    </row>
    <row r="7704" spans="1:4" x14ac:dyDescent="0.25">
      <c r="A7704" s="139" t="s">
        <v>17930</v>
      </c>
      <c r="B7704" s="139" t="s">
        <v>7283</v>
      </c>
      <c r="C7704" s="139" t="s">
        <v>112</v>
      </c>
      <c r="D7704" s="139" t="s">
        <v>17931</v>
      </c>
    </row>
    <row r="7705" spans="1:4" x14ac:dyDescent="0.25">
      <c r="A7705" s="139" t="s">
        <v>17932</v>
      </c>
      <c r="B7705" s="139" t="s">
        <v>547</v>
      </c>
      <c r="C7705" s="139" t="s">
        <v>65</v>
      </c>
      <c r="D7705" s="139" t="s">
        <v>17933</v>
      </c>
    </row>
    <row r="7706" spans="1:4" x14ac:dyDescent="0.25">
      <c r="A7706" s="139" t="s">
        <v>17934</v>
      </c>
      <c r="B7706" s="139" t="s">
        <v>4827</v>
      </c>
      <c r="C7706" s="139" t="s">
        <v>112</v>
      </c>
      <c r="D7706" s="139" t="s">
        <v>17935</v>
      </c>
    </row>
    <row r="7707" spans="1:4" x14ac:dyDescent="0.25">
      <c r="A7707" s="139" t="s">
        <v>17936</v>
      </c>
      <c r="B7707" s="139" t="s">
        <v>4744</v>
      </c>
      <c r="C7707" s="139" t="s">
        <v>112</v>
      </c>
      <c r="D7707" s="139" t="s">
        <v>17937</v>
      </c>
    </row>
    <row r="7708" spans="1:4" x14ac:dyDescent="0.25">
      <c r="A7708" s="139" t="s">
        <v>17938</v>
      </c>
      <c r="B7708" s="139" t="s">
        <v>6852</v>
      </c>
      <c r="C7708" s="139" t="s">
        <v>112</v>
      </c>
      <c r="D7708" s="139" t="s">
        <v>17939</v>
      </c>
    </row>
    <row r="7709" spans="1:4" x14ac:dyDescent="0.25">
      <c r="A7709" s="139" t="s">
        <v>17940</v>
      </c>
      <c r="B7709" s="139" t="s">
        <v>17902</v>
      </c>
      <c r="C7709" s="139" t="s">
        <v>112</v>
      </c>
      <c r="D7709" s="139" t="s">
        <v>17941</v>
      </c>
    </row>
    <row r="7710" spans="1:4" x14ac:dyDescent="0.25">
      <c r="A7710" s="139" t="s">
        <v>17942</v>
      </c>
      <c r="B7710" s="139" t="s">
        <v>17905</v>
      </c>
      <c r="C7710" s="139" t="s">
        <v>112</v>
      </c>
      <c r="D7710" s="139" t="s">
        <v>17943</v>
      </c>
    </row>
    <row r="7711" spans="1:4" x14ac:dyDescent="0.25">
      <c r="A7711" s="139" t="s">
        <v>17944</v>
      </c>
      <c r="B7711" s="139" t="s">
        <v>17908</v>
      </c>
      <c r="C7711" s="139" t="s">
        <v>112</v>
      </c>
      <c r="D7711" s="139" t="s">
        <v>17945</v>
      </c>
    </row>
    <row r="7712" spans="1:4" x14ac:dyDescent="0.25">
      <c r="A7712" s="139" t="s">
        <v>17946</v>
      </c>
      <c r="B7712" s="139" t="s">
        <v>17911</v>
      </c>
      <c r="C7712" s="139" t="s">
        <v>112</v>
      </c>
      <c r="D7712" s="139" t="s">
        <v>17947</v>
      </c>
    </row>
    <row r="7713" spans="1:4" x14ac:dyDescent="0.25">
      <c r="A7713" s="139" t="s">
        <v>17948</v>
      </c>
      <c r="B7713" s="139" t="s">
        <v>17914</v>
      </c>
      <c r="C7713" s="139" t="s">
        <v>112</v>
      </c>
      <c r="D7713" s="139" t="s">
        <v>17949</v>
      </c>
    </row>
    <row r="7714" spans="1:4" x14ac:dyDescent="0.25">
      <c r="A7714" s="139" t="s">
        <v>17950</v>
      </c>
      <c r="B7714" s="139" t="s">
        <v>17917</v>
      </c>
      <c r="C7714" s="139" t="s">
        <v>112</v>
      </c>
      <c r="D7714" s="139" t="s">
        <v>17951</v>
      </c>
    </row>
    <row r="7715" spans="1:4" x14ac:dyDescent="0.25">
      <c r="A7715" s="139" t="s">
        <v>17952</v>
      </c>
      <c r="B7715" s="139" t="s">
        <v>17920</v>
      </c>
      <c r="C7715" s="139" t="s">
        <v>658</v>
      </c>
      <c r="D7715" s="139" t="s">
        <v>17953</v>
      </c>
    </row>
    <row r="7716" spans="1:4" x14ac:dyDescent="0.25">
      <c r="A7716" s="139" t="s">
        <v>17954</v>
      </c>
      <c r="B7716" s="139" t="s">
        <v>1049</v>
      </c>
      <c r="C7716" s="139" t="s">
        <v>127</v>
      </c>
      <c r="D7716" s="139" t="s">
        <v>17955</v>
      </c>
    </row>
    <row r="7717" spans="1:4" x14ac:dyDescent="0.25">
      <c r="A7717" s="139" t="s">
        <v>17956</v>
      </c>
      <c r="B7717" s="139" t="s">
        <v>15831</v>
      </c>
      <c r="C7717" s="139" t="s">
        <v>127</v>
      </c>
      <c r="D7717" s="139" t="s">
        <v>17957</v>
      </c>
    </row>
    <row r="7718" spans="1:4" x14ac:dyDescent="0.25">
      <c r="A7718" s="139" t="s">
        <v>17958</v>
      </c>
      <c r="B7718" s="139" t="s">
        <v>6123</v>
      </c>
      <c r="C7718" s="139" t="s">
        <v>65</v>
      </c>
      <c r="D7718" s="139" t="s">
        <v>17959</v>
      </c>
    </row>
    <row r="7719" spans="1:4" x14ac:dyDescent="0.25">
      <c r="A7719" s="139" t="s">
        <v>17960</v>
      </c>
      <c r="B7719" s="139" t="s">
        <v>5792</v>
      </c>
      <c r="C7719" s="139" t="s">
        <v>65</v>
      </c>
      <c r="D7719" s="139" t="s">
        <v>17961</v>
      </c>
    </row>
    <row r="7720" spans="1:4" x14ac:dyDescent="0.25">
      <c r="A7720" s="139" t="s">
        <v>17962</v>
      </c>
      <c r="B7720" s="139" t="s">
        <v>7283</v>
      </c>
      <c r="C7720" s="139" t="s">
        <v>112</v>
      </c>
      <c r="D7720" s="139" t="s">
        <v>17963</v>
      </c>
    </row>
    <row r="7721" spans="1:4" x14ac:dyDescent="0.25">
      <c r="A7721" s="139" t="s">
        <v>17964</v>
      </c>
      <c r="B7721" s="139" t="s">
        <v>547</v>
      </c>
      <c r="C7721" s="139" t="s">
        <v>65</v>
      </c>
      <c r="D7721" s="139" t="s">
        <v>17965</v>
      </c>
    </row>
    <row r="7722" spans="1:4" x14ac:dyDescent="0.25">
      <c r="A7722" s="139" t="s">
        <v>17966</v>
      </c>
      <c r="B7722" s="139" t="s">
        <v>17967</v>
      </c>
      <c r="C7722" s="139" t="s">
        <v>65</v>
      </c>
      <c r="D7722" s="139" t="s">
        <v>17968</v>
      </c>
    </row>
    <row r="7723" spans="1:4" x14ac:dyDescent="0.25">
      <c r="A7723" s="139" t="s">
        <v>17969</v>
      </c>
      <c r="B7723" s="139" t="s">
        <v>17967</v>
      </c>
      <c r="C7723" s="139" t="s">
        <v>65</v>
      </c>
      <c r="D7723" s="139" t="s">
        <v>17970</v>
      </c>
    </row>
    <row r="7724" spans="1:4" x14ac:dyDescent="0.25">
      <c r="A7724" s="139" t="s">
        <v>17971</v>
      </c>
      <c r="B7724" s="139" t="s">
        <v>378</v>
      </c>
      <c r="C7724" s="139" t="s">
        <v>33</v>
      </c>
      <c r="D7724" s="139" t="s">
        <v>17972</v>
      </c>
    </row>
    <row r="7725" spans="1:4" x14ac:dyDescent="0.25">
      <c r="A7725" s="139" t="s">
        <v>17973</v>
      </c>
      <c r="B7725" s="139" t="s">
        <v>378</v>
      </c>
      <c r="C7725" s="139" t="s">
        <v>33</v>
      </c>
      <c r="D7725" s="139" t="s">
        <v>17974</v>
      </c>
    </row>
    <row r="7726" spans="1:4" x14ac:dyDescent="0.25">
      <c r="A7726" s="139" t="s">
        <v>17975</v>
      </c>
      <c r="B7726" s="139" t="s">
        <v>8625</v>
      </c>
      <c r="C7726" s="139" t="s">
        <v>33</v>
      </c>
      <c r="D7726" s="139" t="s">
        <v>17976</v>
      </c>
    </row>
    <row r="7727" spans="1:4" x14ac:dyDescent="0.25">
      <c r="A7727" s="139" t="s">
        <v>17977</v>
      </c>
      <c r="B7727" s="139" t="s">
        <v>8625</v>
      </c>
      <c r="C7727" s="139" t="s">
        <v>33</v>
      </c>
      <c r="D7727" s="139" t="s">
        <v>17978</v>
      </c>
    </row>
    <row r="7728" spans="1:4" x14ac:dyDescent="0.25">
      <c r="A7728" s="139" t="s">
        <v>17979</v>
      </c>
      <c r="B7728" s="139" t="s">
        <v>17980</v>
      </c>
      <c r="C7728" s="139" t="s">
        <v>65</v>
      </c>
      <c r="D7728" s="139" t="s">
        <v>17981</v>
      </c>
    </row>
    <row r="7729" spans="1:4" x14ac:dyDescent="0.25">
      <c r="A7729" s="139" t="s">
        <v>17982</v>
      </c>
      <c r="B7729" s="139" t="s">
        <v>17980</v>
      </c>
      <c r="C7729" s="139" t="s">
        <v>65</v>
      </c>
      <c r="D7729" s="139" t="s">
        <v>17983</v>
      </c>
    </row>
    <row r="7730" spans="1:4" x14ac:dyDescent="0.25">
      <c r="A7730" s="139" t="s">
        <v>17984</v>
      </c>
      <c r="B7730" s="139" t="s">
        <v>5269</v>
      </c>
      <c r="C7730" s="139" t="s">
        <v>33</v>
      </c>
      <c r="D7730" s="139" t="s">
        <v>17985</v>
      </c>
    </row>
    <row r="7731" spans="1:4" x14ac:dyDescent="0.25">
      <c r="A7731" s="139" t="s">
        <v>17986</v>
      </c>
      <c r="B7731" s="139" t="s">
        <v>5269</v>
      </c>
      <c r="C7731" s="139" t="s">
        <v>33</v>
      </c>
      <c r="D7731" s="139" t="s">
        <v>17987</v>
      </c>
    </row>
    <row r="7732" spans="1:4" x14ac:dyDescent="0.25">
      <c r="A7732" s="139" t="s">
        <v>17988</v>
      </c>
      <c r="B7732" s="139" t="s">
        <v>6396</v>
      </c>
      <c r="C7732" s="139" t="s">
        <v>127</v>
      </c>
      <c r="D7732" s="139" t="s">
        <v>17989</v>
      </c>
    </row>
    <row r="7733" spans="1:4" x14ac:dyDescent="0.25">
      <c r="A7733" s="139" t="s">
        <v>17990</v>
      </c>
      <c r="B7733" s="139" t="s">
        <v>6396</v>
      </c>
      <c r="C7733" s="139" t="s">
        <v>127</v>
      </c>
      <c r="D7733" s="139" t="s">
        <v>17991</v>
      </c>
    </row>
    <row r="7734" spans="1:4" x14ac:dyDescent="0.25">
      <c r="A7734" s="139" t="s">
        <v>17992</v>
      </c>
      <c r="B7734" s="139" t="s">
        <v>17993</v>
      </c>
      <c r="C7734" s="139" t="s">
        <v>65</v>
      </c>
      <c r="D7734" s="139" t="s">
        <v>17994</v>
      </c>
    </row>
    <row r="7735" spans="1:4" x14ac:dyDescent="0.25">
      <c r="A7735" s="139" t="s">
        <v>17995</v>
      </c>
      <c r="B7735" s="139" t="s">
        <v>17993</v>
      </c>
      <c r="C7735" s="139" t="s">
        <v>65</v>
      </c>
      <c r="D7735" s="139" t="s">
        <v>17996</v>
      </c>
    </row>
    <row r="7736" spans="1:4" x14ac:dyDescent="0.25">
      <c r="A7736" s="139" t="s">
        <v>17997</v>
      </c>
      <c r="B7736" s="139" t="s">
        <v>17998</v>
      </c>
      <c r="C7736" s="139" t="s">
        <v>65</v>
      </c>
      <c r="D7736" s="139" t="s">
        <v>17999</v>
      </c>
    </row>
    <row r="7737" spans="1:4" x14ac:dyDescent="0.25">
      <c r="A7737" s="139" t="s">
        <v>18000</v>
      </c>
      <c r="B7737" s="139" t="s">
        <v>17998</v>
      </c>
      <c r="C7737" s="139" t="s">
        <v>65</v>
      </c>
      <c r="D7737" s="139" t="s">
        <v>18001</v>
      </c>
    </row>
    <row r="7738" spans="1:4" x14ac:dyDescent="0.25">
      <c r="A7738" s="139" t="s">
        <v>18002</v>
      </c>
      <c r="B7738" s="139" t="s">
        <v>18003</v>
      </c>
      <c r="C7738" s="139" t="s">
        <v>65</v>
      </c>
      <c r="D7738" s="139" t="s">
        <v>18004</v>
      </c>
    </row>
    <row r="7739" spans="1:4" x14ac:dyDescent="0.25">
      <c r="A7739" s="139" t="s">
        <v>18005</v>
      </c>
      <c r="B7739" s="139" t="s">
        <v>18003</v>
      </c>
      <c r="C7739" s="139" t="s">
        <v>65</v>
      </c>
      <c r="D7739" s="139" t="s">
        <v>18006</v>
      </c>
    </row>
    <row r="7740" spans="1:4" x14ac:dyDescent="0.25">
      <c r="A7740" s="139" t="s">
        <v>18007</v>
      </c>
      <c r="B7740" s="139" t="s">
        <v>18008</v>
      </c>
      <c r="C7740" s="139" t="s">
        <v>65</v>
      </c>
      <c r="D7740" s="139" t="s">
        <v>18009</v>
      </c>
    </row>
    <row r="7741" spans="1:4" x14ac:dyDescent="0.25">
      <c r="A7741" s="139" t="s">
        <v>18010</v>
      </c>
      <c r="B7741" s="139" t="s">
        <v>18008</v>
      </c>
      <c r="C7741" s="139" t="s">
        <v>65</v>
      </c>
      <c r="D7741" s="139" t="s">
        <v>18011</v>
      </c>
    </row>
    <row r="7742" spans="1:4" x14ac:dyDescent="0.25">
      <c r="A7742" s="139" t="s">
        <v>18012</v>
      </c>
      <c r="B7742" s="139" t="s">
        <v>18013</v>
      </c>
      <c r="C7742" s="139" t="s">
        <v>65</v>
      </c>
      <c r="D7742" s="139" t="s">
        <v>18014</v>
      </c>
    </row>
    <row r="7743" spans="1:4" x14ac:dyDescent="0.25">
      <c r="A7743" s="139" t="s">
        <v>18015</v>
      </c>
      <c r="B7743" s="139" t="s">
        <v>18013</v>
      </c>
      <c r="C7743" s="139" t="s">
        <v>65</v>
      </c>
      <c r="D7743" s="139" t="s">
        <v>18016</v>
      </c>
    </row>
    <row r="7744" spans="1:4" x14ac:dyDescent="0.25">
      <c r="A7744" s="139" t="s">
        <v>18017</v>
      </c>
      <c r="B7744" s="139" t="s">
        <v>18018</v>
      </c>
      <c r="C7744" s="139" t="s">
        <v>123</v>
      </c>
      <c r="D7744" s="139" t="s">
        <v>18019</v>
      </c>
    </row>
    <row r="7745" spans="1:4" x14ac:dyDescent="0.25">
      <c r="A7745" s="139" t="s">
        <v>18020</v>
      </c>
      <c r="B7745" s="139" t="s">
        <v>18018</v>
      </c>
      <c r="C7745" s="139" t="s">
        <v>123</v>
      </c>
      <c r="D7745" s="139" t="s">
        <v>18021</v>
      </c>
    </row>
    <row r="7746" spans="1:4" x14ac:dyDescent="0.25">
      <c r="A7746" s="139" t="s">
        <v>18022</v>
      </c>
      <c r="B7746" s="139" t="s">
        <v>290</v>
      </c>
      <c r="C7746" s="139" t="s">
        <v>123</v>
      </c>
      <c r="D7746" s="139" t="s">
        <v>18023</v>
      </c>
    </row>
    <row r="7747" spans="1:4" x14ac:dyDescent="0.25">
      <c r="A7747" s="139" t="s">
        <v>18024</v>
      </c>
      <c r="B7747" s="139" t="s">
        <v>290</v>
      </c>
      <c r="C7747" s="139" t="s">
        <v>123</v>
      </c>
      <c r="D7747" s="139" t="s">
        <v>18025</v>
      </c>
    </row>
    <row r="7748" spans="1:4" x14ac:dyDescent="0.25">
      <c r="A7748" s="139" t="s">
        <v>18026</v>
      </c>
      <c r="B7748" s="139" t="s">
        <v>7043</v>
      </c>
      <c r="C7748" s="139" t="s">
        <v>1683</v>
      </c>
      <c r="D7748" s="139" t="s">
        <v>18027</v>
      </c>
    </row>
    <row r="7749" spans="1:4" x14ac:dyDescent="0.25">
      <c r="A7749" s="139" t="s">
        <v>18028</v>
      </c>
      <c r="B7749" s="139" t="s">
        <v>7043</v>
      </c>
      <c r="C7749" s="139" t="s">
        <v>1683</v>
      </c>
      <c r="D7749" s="139" t="s">
        <v>18029</v>
      </c>
    </row>
    <row r="7750" spans="1:4" x14ac:dyDescent="0.25">
      <c r="A7750" s="139" t="s">
        <v>18030</v>
      </c>
      <c r="B7750" s="139" t="s">
        <v>4196</v>
      </c>
      <c r="C7750" s="139" t="s">
        <v>1683</v>
      </c>
      <c r="D7750" s="139" t="s">
        <v>18031</v>
      </c>
    </row>
    <row r="7751" spans="1:4" x14ac:dyDescent="0.25">
      <c r="A7751" s="139" t="s">
        <v>18032</v>
      </c>
      <c r="B7751" s="139" t="s">
        <v>4196</v>
      </c>
      <c r="C7751" s="139" t="s">
        <v>1683</v>
      </c>
      <c r="D7751" s="139" t="s">
        <v>18033</v>
      </c>
    </row>
    <row r="7752" spans="1:4" x14ac:dyDescent="0.25">
      <c r="A7752" s="139" t="s">
        <v>18034</v>
      </c>
      <c r="B7752" s="139" t="s">
        <v>9740</v>
      </c>
      <c r="C7752" s="139" t="s">
        <v>1683</v>
      </c>
      <c r="D7752" s="139" t="s">
        <v>18035</v>
      </c>
    </row>
    <row r="7753" spans="1:4" x14ac:dyDescent="0.25">
      <c r="A7753" s="139" t="s">
        <v>18036</v>
      </c>
      <c r="B7753" s="139" t="s">
        <v>9740</v>
      </c>
      <c r="C7753" s="139" t="s">
        <v>1683</v>
      </c>
      <c r="D7753" s="139" t="s">
        <v>18037</v>
      </c>
    </row>
    <row r="7754" spans="1:4" x14ac:dyDescent="0.25">
      <c r="A7754" s="139" t="s">
        <v>18038</v>
      </c>
      <c r="B7754" s="139" t="s">
        <v>4193</v>
      </c>
      <c r="C7754" s="139" t="s">
        <v>1683</v>
      </c>
      <c r="D7754" s="139" t="s">
        <v>18039</v>
      </c>
    </row>
    <row r="7755" spans="1:4" x14ac:dyDescent="0.25">
      <c r="A7755" s="139" t="s">
        <v>18040</v>
      </c>
      <c r="B7755" s="139" t="s">
        <v>4193</v>
      </c>
      <c r="C7755" s="139" t="s">
        <v>1683</v>
      </c>
      <c r="D7755" s="139" t="s">
        <v>18041</v>
      </c>
    </row>
    <row r="7756" spans="1:4" x14ac:dyDescent="0.25">
      <c r="A7756" s="139" t="s">
        <v>18042</v>
      </c>
      <c r="B7756" s="139" t="s">
        <v>4179</v>
      </c>
      <c r="C7756" s="139" t="s">
        <v>1683</v>
      </c>
      <c r="D7756" s="139" t="s">
        <v>18043</v>
      </c>
    </row>
    <row r="7757" spans="1:4" x14ac:dyDescent="0.25">
      <c r="A7757" s="139" t="s">
        <v>18044</v>
      </c>
      <c r="B7757" s="139" t="s">
        <v>4179</v>
      </c>
      <c r="C7757" s="139" t="s">
        <v>1683</v>
      </c>
      <c r="D7757" s="139" t="s">
        <v>18045</v>
      </c>
    </row>
    <row r="7758" spans="1:4" x14ac:dyDescent="0.25">
      <c r="A7758" s="139" t="s">
        <v>18046</v>
      </c>
      <c r="B7758" s="139" t="s">
        <v>18047</v>
      </c>
      <c r="C7758" s="139" t="s">
        <v>44</v>
      </c>
      <c r="D7758" s="139" t="s">
        <v>18048</v>
      </c>
    </row>
    <row r="7759" spans="1:4" x14ac:dyDescent="0.25">
      <c r="A7759" s="139" t="s">
        <v>18049</v>
      </c>
      <c r="B7759" s="139" t="s">
        <v>18047</v>
      </c>
      <c r="C7759" s="139" t="s">
        <v>44</v>
      </c>
      <c r="D7759" s="139" t="s">
        <v>18050</v>
      </c>
    </row>
    <row r="7760" spans="1:4" x14ac:dyDescent="0.25">
      <c r="A7760" s="139" t="s">
        <v>18051</v>
      </c>
      <c r="B7760" s="139" t="s">
        <v>18052</v>
      </c>
      <c r="C7760" s="139" t="s">
        <v>44</v>
      </c>
      <c r="D7760" s="139" t="s">
        <v>18053</v>
      </c>
    </row>
    <row r="7761" spans="1:4" x14ac:dyDescent="0.25">
      <c r="A7761" s="139" t="s">
        <v>18054</v>
      </c>
      <c r="B7761" s="139" t="s">
        <v>18052</v>
      </c>
      <c r="C7761" s="139" t="s">
        <v>44</v>
      </c>
      <c r="D7761" s="139" t="s">
        <v>18055</v>
      </c>
    </row>
    <row r="7762" spans="1:4" x14ac:dyDescent="0.25">
      <c r="A7762" s="139" t="s">
        <v>18056</v>
      </c>
      <c r="B7762" s="139" t="s">
        <v>15831</v>
      </c>
      <c r="C7762" s="139" t="s">
        <v>658</v>
      </c>
      <c r="D7762" s="139" t="s">
        <v>18057</v>
      </c>
    </row>
    <row r="7763" spans="1:4" x14ac:dyDescent="0.25">
      <c r="A7763" s="139" t="s">
        <v>18058</v>
      </c>
      <c r="B7763" s="139" t="s">
        <v>15831</v>
      </c>
      <c r="C7763" s="139" t="s">
        <v>658</v>
      </c>
      <c r="D7763" s="139" t="s">
        <v>18059</v>
      </c>
    </row>
    <row r="7764" spans="1:4" x14ac:dyDescent="0.25">
      <c r="A7764" s="139" t="s">
        <v>18060</v>
      </c>
      <c r="B7764" s="139" t="s">
        <v>1049</v>
      </c>
      <c r="C7764" s="139" t="s">
        <v>658</v>
      </c>
      <c r="D7764" s="139" t="s">
        <v>18061</v>
      </c>
    </row>
    <row r="7765" spans="1:4" x14ac:dyDescent="0.25">
      <c r="A7765" s="139" t="s">
        <v>18062</v>
      </c>
      <c r="B7765" s="139" t="s">
        <v>1049</v>
      </c>
      <c r="C7765" s="139" t="s">
        <v>658</v>
      </c>
      <c r="D7765" s="139" t="s">
        <v>18063</v>
      </c>
    </row>
    <row r="7766" spans="1:4" x14ac:dyDescent="0.25">
      <c r="A7766" s="139" t="s">
        <v>18064</v>
      </c>
      <c r="B7766" s="139" t="s">
        <v>17920</v>
      </c>
      <c r="C7766" s="139" t="s">
        <v>658</v>
      </c>
      <c r="D7766" s="139" t="s">
        <v>18065</v>
      </c>
    </row>
    <row r="7767" spans="1:4" x14ac:dyDescent="0.25">
      <c r="A7767" s="139" t="s">
        <v>18066</v>
      </c>
      <c r="B7767" s="139" t="s">
        <v>17920</v>
      </c>
      <c r="C7767" s="139" t="s">
        <v>658</v>
      </c>
      <c r="D7767" s="139" t="s">
        <v>18067</v>
      </c>
    </row>
    <row r="7768" spans="1:4" x14ac:dyDescent="0.25">
      <c r="A7768" s="139" t="s">
        <v>18068</v>
      </c>
      <c r="B7768" s="139" t="s">
        <v>2414</v>
      </c>
      <c r="C7768" s="139" t="s">
        <v>664</v>
      </c>
      <c r="D7768" s="139" t="s">
        <v>18069</v>
      </c>
    </row>
    <row r="7769" spans="1:4" x14ac:dyDescent="0.25">
      <c r="A7769" s="139" t="s">
        <v>18070</v>
      </c>
      <c r="B7769" s="139" t="s">
        <v>2414</v>
      </c>
      <c r="C7769" s="139" t="s">
        <v>664</v>
      </c>
      <c r="D7769" s="139" t="s">
        <v>18071</v>
      </c>
    </row>
    <row r="7770" spans="1:4" x14ac:dyDescent="0.25">
      <c r="A7770" s="139" t="s">
        <v>18072</v>
      </c>
      <c r="B7770" s="139" t="s">
        <v>16856</v>
      </c>
      <c r="C7770" s="139" t="s">
        <v>65</v>
      </c>
      <c r="D7770" s="139" t="s">
        <v>18073</v>
      </c>
    </row>
    <row r="7771" spans="1:4" x14ac:dyDescent="0.25">
      <c r="A7771" s="139" t="s">
        <v>18074</v>
      </c>
      <c r="B7771" s="139" t="s">
        <v>16856</v>
      </c>
      <c r="C7771" s="139" t="s">
        <v>65</v>
      </c>
      <c r="D7771" s="139" t="s">
        <v>18075</v>
      </c>
    </row>
    <row r="7772" spans="1:4" x14ac:dyDescent="0.25">
      <c r="A7772" s="139" t="s">
        <v>18076</v>
      </c>
      <c r="B7772" s="139" t="s">
        <v>9278</v>
      </c>
      <c r="C7772" s="139" t="s">
        <v>65</v>
      </c>
      <c r="D7772" s="139" t="s">
        <v>18077</v>
      </c>
    </row>
    <row r="7773" spans="1:4" x14ac:dyDescent="0.25">
      <c r="A7773" s="139" t="s">
        <v>18078</v>
      </c>
      <c r="B7773" s="139" t="s">
        <v>9278</v>
      </c>
      <c r="C7773" s="139" t="s">
        <v>65</v>
      </c>
      <c r="D7773" s="139" t="s">
        <v>18079</v>
      </c>
    </row>
    <row r="7774" spans="1:4" x14ac:dyDescent="0.25">
      <c r="A7774" s="139" t="s">
        <v>18080</v>
      </c>
      <c r="B7774" s="139" t="s">
        <v>17917</v>
      </c>
      <c r="C7774" s="139" t="s">
        <v>112</v>
      </c>
      <c r="D7774" s="139" t="s">
        <v>18081</v>
      </c>
    </row>
    <row r="7775" spans="1:4" x14ac:dyDescent="0.25">
      <c r="A7775" s="139" t="s">
        <v>18082</v>
      </c>
      <c r="B7775" s="139" t="s">
        <v>17917</v>
      </c>
      <c r="C7775" s="139" t="s">
        <v>112</v>
      </c>
      <c r="D7775" s="139" t="s">
        <v>18083</v>
      </c>
    </row>
    <row r="7776" spans="1:4" x14ac:dyDescent="0.25">
      <c r="A7776" s="139" t="s">
        <v>18084</v>
      </c>
      <c r="B7776" s="139" t="s">
        <v>17914</v>
      </c>
      <c r="C7776" s="139" t="s">
        <v>112</v>
      </c>
      <c r="D7776" s="139" t="s">
        <v>18085</v>
      </c>
    </row>
    <row r="7777" spans="1:4" x14ac:dyDescent="0.25">
      <c r="A7777" s="139" t="s">
        <v>18086</v>
      </c>
      <c r="B7777" s="139" t="s">
        <v>17914</v>
      </c>
      <c r="C7777" s="139" t="s">
        <v>112</v>
      </c>
      <c r="D7777" s="139" t="s">
        <v>18087</v>
      </c>
    </row>
    <row r="7778" spans="1:4" x14ac:dyDescent="0.25">
      <c r="A7778" s="139" t="s">
        <v>18088</v>
      </c>
      <c r="B7778" s="139" t="s">
        <v>17911</v>
      </c>
      <c r="C7778" s="139" t="s">
        <v>112</v>
      </c>
      <c r="D7778" s="139" t="s">
        <v>18089</v>
      </c>
    </row>
    <row r="7779" spans="1:4" x14ac:dyDescent="0.25">
      <c r="A7779" s="139" t="s">
        <v>18090</v>
      </c>
      <c r="B7779" s="139" t="s">
        <v>17911</v>
      </c>
      <c r="C7779" s="139" t="s">
        <v>112</v>
      </c>
      <c r="D7779" s="139" t="s">
        <v>18091</v>
      </c>
    </row>
    <row r="7780" spans="1:4" x14ac:dyDescent="0.25">
      <c r="A7780" s="139" t="s">
        <v>18092</v>
      </c>
      <c r="B7780" s="139" t="s">
        <v>17908</v>
      </c>
      <c r="C7780" s="139" t="s">
        <v>112</v>
      </c>
      <c r="D7780" s="139" t="s">
        <v>18093</v>
      </c>
    </row>
    <row r="7781" spans="1:4" x14ac:dyDescent="0.25">
      <c r="A7781" s="139" t="s">
        <v>18094</v>
      </c>
      <c r="B7781" s="139" t="s">
        <v>17908</v>
      </c>
      <c r="C7781" s="139" t="s">
        <v>112</v>
      </c>
      <c r="D7781" s="139" t="s">
        <v>18095</v>
      </c>
    </row>
    <row r="7782" spans="1:4" x14ac:dyDescent="0.25">
      <c r="A7782" s="139" t="s">
        <v>18096</v>
      </c>
      <c r="B7782" s="139" t="s">
        <v>17905</v>
      </c>
      <c r="C7782" s="139" t="s">
        <v>112</v>
      </c>
      <c r="D7782" s="139" t="s">
        <v>18097</v>
      </c>
    </row>
    <row r="7783" spans="1:4" x14ac:dyDescent="0.25">
      <c r="A7783" s="139" t="s">
        <v>18098</v>
      </c>
      <c r="B7783" s="139" t="s">
        <v>17905</v>
      </c>
      <c r="C7783" s="139" t="s">
        <v>112</v>
      </c>
      <c r="D7783" s="139" t="s">
        <v>18099</v>
      </c>
    </row>
    <row r="7784" spans="1:4" x14ac:dyDescent="0.25">
      <c r="A7784" s="139" t="s">
        <v>18100</v>
      </c>
      <c r="B7784" s="139" t="s">
        <v>17902</v>
      </c>
      <c r="C7784" s="139" t="s">
        <v>112</v>
      </c>
      <c r="D7784" s="139" t="s">
        <v>18101</v>
      </c>
    </row>
    <row r="7785" spans="1:4" x14ac:dyDescent="0.25">
      <c r="A7785" s="139" t="s">
        <v>18102</v>
      </c>
      <c r="B7785" s="139" t="s">
        <v>17902</v>
      </c>
      <c r="C7785" s="139" t="s">
        <v>112</v>
      </c>
      <c r="D7785" s="139" t="s">
        <v>18103</v>
      </c>
    </row>
    <row r="7786" spans="1:4" x14ac:dyDescent="0.25">
      <c r="A7786" s="139" t="s">
        <v>18104</v>
      </c>
      <c r="B7786" s="139" t="s">
        <v>18105</v>
      </c>
      <c r="C7786" s="139" t="s">
        <v>112</v>
      </c>
      <c r="D7786" s="139" t="s">
        <v>18106</v>
      </c>
    </row>
    <row r="7787" spans="1:4" x14ac:dyDescent="0.25">
      <c r="A7787" s="139" t="s">
        <v>18107</v>
      </c>
      <c r="B7787" s="139" t="s">
        <v>18105</v>
      </c>
      <c r="C7787" s="139" t="s">
        <v>112</v>
      </c>
      <c r="D7787" s="139" t="s">
        <v>18108</v>
      </c>
    </row>
    <row r="7788" spans="1:4" x14ac:dyDescent="0.25">
      <c r="A7788" s="139" t="s">
        <v>18109</v>
      </c>
      <c r="B7788" s="139" t="s">
        <v>11524</v>
      </c>
      <c r="C7788" s="139" t="s">
        <v>112</v>
      </c>
      <c r="D7788" s="139" t="s">
        <v>18110</v>
      </c>
    </row>
    <row r="7789" spans="1:4" x14ac:dyDescent="0.25">
      <c r="A7789" s="139" t="s">
        <v>18111</v>
      </c>
      <c r="B7789" s="139" t="s">
        <v>11524</v>
      </c>
      <c r="C7789" s="139" t="s">
        <v>112</v>
      </c>
      <c r="D7789" s="139" t="s">
        <v>18112</v>
      </c>
    </row>
    <row r="7790" spans="1:4" x14ac:dyDescent="0.25">
      <c r="A7790" s="139" t="s">
        <v>18113</v>
      </c>
      <c r="B7790" s="139" t="s">
        <v>18114</v>
      </c>
      <c r="C7790" s="139" t="s">
        <v>123</v>
      </c>
      <c r="D7790" s="139" t="s">
        <v>18115</v>
      </c>
    </row>
    <row r="7791" spans="1:4" x14ac:dyDescent="0.25">
      <c r="A7791" s="139" t="s">
        <v>18116</v>
      </c>
      <c r="B7791" s="139" t="s">
        <v>18114</v>
      </c>
      <c r="C7791" s="139" t="s">
        <v>123</v>
      </c>
      <c r="D7791" s="139" t="s">
        <v>18117</v>
      </c>
    </row>
    <row r="7792" spans="1:4" x14ac:dyDescent="0.25">
      <c r="A7792" s="139" t="s">
        <v>18118</v>
      </c>
      <c r="B7792" s="139" t="s">
        <v>9542</v>
      </c>
      <c r="C7792" s="139" t="s">
        <v>123</v>
      </c>
      <c r="D7792" s="139" t="s">
        <v>18119</v>
      </c>
    </row>
    <row r="7793" spans="1:4" x14ac:dyDescent="0.25">
      <c r="A7793" s="139" t="s">
        <v>18120</v>
      </c>
      <c r="B7793" s="139" t="s">
        <v>9542</v>
      </c>
      <c r="C7793" s="139" t="s">
        <v>123</v>
      </c>
      <c r="D7793" s="139" t="s">
        <v>18121</v>
      </c>
    </row>
    <row r="7794" spans="1:4" x14ac:dyDescent="0.25">
      <c r="A7794" s="139" t="s">
        <v>18122</v>
      </c>
      <c r="B7794" s="139" t="s">
        <v>3319</v>
      </c>
      <c r="C7794" s="139" t="s">
        <v>123</v>
      </c>
      <c r="D7794" s="139" t="s">
        <v>18123</v>
      </c>
    </row>
    <row r="7795" spans="1:4" x14ac:dyDescent="0.25">
      <c r="A7795" s="139" t="s">
        <v>18124</v>
      </c>
      <c r="B7795" s="139" t="s">
        <v>3319</v>
      </c>
      <c r="C7795" s="139" t="s">
        <v>123</v>
      </c>
      <c r="D7795" s="139" t="s">
        <v>18125</v>
      </c>
    </row>
    <row r="7796" spans="1:4" x14ac:dyDescent="0.25">
      <c r="A7796" s="139" t="s">
        <v>18126</v>
      </c>
      <c r="B7796" s="139" t="s">
        <v>18127</v>
      </c>
      <c r="C7796" s="139" t="s">
        <v>65</v>
      </c>
      <c r="D7796" s="139" t="s">
        <v>18128</v>
      </c>
    </row>
    <row r="7797" spans="1:4" x14ac:dyDescent="0.25">
      <c r="A7797" s="139" t="s">
        <v>18129</v>
      </c>
      <c r="B7797" s="139" t="s">
        <v>18127</v>
      </c>
      <c r="C7797" s="139" t="s">
        <v>65</v>
      </c>
      <c r="D7797" s="139" t="s">
        <v>18130</v>
      </c>
    </row>
    <row r="7798" spans="1:4" x14ac:dyDescent="0.25">
      <c r="A7798" s="139" t="s">
        <v>18131</v>
      </c>
      <c r="B7798" s="139" t="s">
        <v>5026</v>
      </c>
      <c r="C7798" s="139" t="s">
        <v>127</v>
      </c>
      <c r="D7798" s="139" t="s">
        <v>18132</v>
      </c>
    </row>
    <row r="7799" spans="1:4" x14ac:dyDescent="0.25">
      <c r="A7799" s="139" t="s">
        <v>18133</v>
      </c>
      <c r="B7799" s="139" t="s">
        <v>5026</v>
      </c>
      <c r="C7799" s="139" t="s">
        <v>127</v>
      </c>
      <c r="D7799" s="139" t="s">
        <v>18134</v>
      </c>
    </row>
    <row r="7800" spans="1:4" x14ac:dyDescent="0.25">
      <c r="A7800" s="139" t="s">
        <v>18135</v>
      </c>
      <c r="B7800" s="139" t="s">
        <v>12189</v>
      </c>
      <c r="C7800" s="139" t="s">
        <v>127</v>
      </c>
      <c r="D7800" s="139" t="s">
        <v>18136</v>
      </c>
    </row>
    <row r="7801" spans="1:4" x14ac:dyDescent="0.25">
      <c r="A7801" s="139" t="s">
        <v>18137</v>
      </c>
      <c r="B7801" s="139" t="s">
        <v>12189</v>
      </c>
      <c r="C7801" s="139" t="s">
        <v>127</v>
      </c>
      <c r="D7801" s="139" t="s">
        <v>18138</v>
      </c>
    </row>
    <row r="7802" spans="1:4" x14ac:dyDescent="0.25">
      <c r="A7802" s="139" t="s">
        <v>18139</v>
      </c>
      <c r="B7802" s="139" t="s">
        <v>43</v>
      </c>
      <c r="C7802" s="139" t="s">
        <v>33</v>
      </c>
      <c r="D7802" s="139" t="s">
        <v>18140</v>
      </c>
    </row>
    <row r="7803" spans="1:4" x14ac:dyDescent="0.25">
      <c r="A7803" s="139" t="s">
        <v>18141</v>
      </c>
      <c r="B7803" s="139" t="s">
        <v>43</v>
      </c>
      <c r="C7803" s="139" t="s">
        <v>33</v>
      </c>
      <c r="D7803" s="139" t="s">
        <v>18142</v>
      </c>
    </row>
    <row r="7804" spans="1:4" x14ac:dyDescent="0.25">
      <c r="A7804" s="139" t="s">
        <v>18143</v>
      </c>
      <c r="B7804" s="139" t="s">
        <v>18144</v>
      </c>
      <c r="C7804" s="139" t="s">
        <v>33</v>
      </c>
      <c r="D7804" s="139" t="s">
        <v>18145</v>
      </c>
    </row>
    <row r="7805" spans="1:4" x14ac:dyDescent="0.25">
      <c r="A7805" s="139" t="s">
        <v>18146</v>
      </c>
      <c r="B7805" s="139" t="s">
        <v>18144</v>
      </c>
      <c r="C7805" s="139" t="s">
        <v>33</v>
      </c>
      <c r="D7805" s="139" t="s">
        <v>18147</v>
      </c>
    </row>
    <row r="7806" spans="1:4" x14ac:dyDescent="0.25">
      <c r="A7806" s="139" t="s">
        <v>18148</v>
      </c>
      <c r="B7806" s="139" t="s">
        <v>17834</v>
      </c>
      <c r="C7806" s="139" t="s">
        <v>123</v>
      </c>
      <c r="D7806" s="139" t="s">
        <v>18149</v>
      </c>
    </row>
    <row r="7807" spans="1:4" x14ac:dyDescent="0.25">
      <c r="A7807" s="139" t="s">
        <v>18150</v>
      </c>
      <c r="B7807" s="139" t="s">
        <v>17834</v>
      </c>
      <c r="C7807" s="139" t="s">
        <v>123</v>
      </c>
      <c r="D7807" s="139" t="s">
        <v>18151</v>
      </c>
    </row>
    <row r="7808" spans="1:4" x14ac:dyDescent="0.25">
      <c r="A7808" s="139" t="s">
        <v>18152</v>
      </c>
      <c r="B7808" s="139" t="s">
        <v>18153</v>
      </c>
      <c r="C7808" s="139" t="s">
        <v>65</v>
      </c>
      <c r="D7808" s="139" t="s">
        <v>18154</v>
      </c>
    </row>
    <row r="7809" spans="1:4" x14ac:dyDescent="0.25">
      <c r="A7809" s="139" t="s">
        <v>18155</v>
      </c>
      <c r="B7809" s="139" t="s">
        <v>18153</v>
      </c>
      <c r="C7809" s="139" t="s">
        <v>65</v>
      </c>
      <c r="D7809" s="139" t="s">
        <v>18156</v>
      </c>
    </row>
    <row r="7810" spans="1:4" x14ac:dyDescent="0.25">
      <c r="A7810" s="139" t="s">
        <v>18157</v>
      </c>
      <c r="B7810" s="139" t="s">
        <v>18158</v>
      </c>
      <c r="C7810" s="139" t="s">
        <v>65</v>
      </c>
      <c r="D7810" s="139" t="s">
        <v>18159</v>
      </c>
    </row>
    <row r="7811" spans="1:4" x14ac:dyDescent="0.25">
      <c r="A7811" s="139" t="s">
        <v>18160</v>
      </c>
      <c r="B7811" s="139" t="s">
        <v>18158</v>
      </c>
      <c r="C7811" s="139" t="s">
        <v>65</v>
      </c>
      <c r="D7811" s="139" t="s">
        <v>18161</v>
      </c>
    </row>
    <row r="7812" spans="1:4" x14ac:dyDescent="0.25">
      <c r="A7812" s="139" t="s">
        <v>18162</v>
      </c>
      <c r="B7812" s="139" t="s">
        <v>18163</v>
      </c>
      <c r="C7812" s="139" t="s">
        <v>33</v>
      </c>
      <c r="D7812" s="139" t="s">
        <v>18164</v>
      </c>
    </row>
    <row r="7813" spans="1:4" x14ac:dyDescent="0.25">
      <c r="A7813" s="139" t="s">
        <v>18165</v>
      </c>
      <c r="B7813" s="139" t="s">
        <v>18163</v>
      </c>
      <c r="C7813" s="139" t="s">
        <v>33</v>
      </c>
      <c r="D7813" s="139" t="s">
        <v>18166</v>
      </c>
    </row>
    <row r="7814" spans="1:4" x14ac:dyDescent="0.25">
      <c r="A7814" s="139" t="s">
        <v>18167</v>
      </c>
      <c r="B7814" s="139" t="s">
        <v>18168</v>
      </c>
      <c r="C7814" s="139" t="s">
        <v>112</v>
      </c>
      <c r="D7814" s="139" t="s">
        <v>18169</v>
      </c>
    </row>
    <row r="7815" spans="1:4" x14ac:dyDescent="0.25">
      <c r="A7815" s="139" t="s">
        <v>18170</v>
      </c>
      <c r="B7815" s="139" t="s">
        <v>18168</v>
      </c>
      <c r="C7815" s="139" t="s">
        <v>112</v>
      </c>
      <c r="D7815" s="139" t="s">
        <v>18171</v>
      </c>
    </row>
    <row r="7816" spans="1:4" x14ac:dyDescent="0.25">
      <c r="A7816" s="139" t="s">
        <v>18172</v>
      </c>
      <c r="B7816" s="139" t="s">
        <v>18173</v>
      </c>
      <c r="C7816" s="139" t="s">
        <v>112</v>
      </c>
      <c r="D7816" s="139" t="s">
        <v>18174</v>
      </c>
    </row>
    <row r="7817" spans="1:4" x14ac:dyDescent="0.25">
      <c r="A7817" s="139" t="s">
        <v>18175</v>
      </c>
      <c r="B7817" s="139" t="s">
        <v>18173</v>
      </c>
      <c r="C7817" s="139" t="s">
        <v>112</v>
      </c>
      <c r="D7817" s="139" t="s">
        <v>18176</v>
      </c>
    </row>
    <row r="7818" spans="1:4" x14ac:dyDescent="0.25">
      <c r="A7818" s="139" t="s">
        <v>18177</v>
      </c>
      <c r="B7818" s="139" t="s">
        <v>18178</v>
      </c>
      <c r="C7818" s="139" t="s">
        <v>112</v>
      </c>
      <c r="D7818" s="139" t="s">
        <v>18179</v>
      </c>
    </row>
    <row r="7819" spans="1:4" x14ac:dyDescent="0.25">
      <c r="A7819" s="139" t="s">
        <v>18180</v>
      </c>
      <c r="B7819" s="139" t="s">
        <v>18178</v>
      </c>
      <c r="C7819" s="139" t="s">
        <v>112</v>
      </c>
      <c r="D7819" s="139" t="s">
        <v>18181</v>
      </c>
    </row>
    <row r="7820" spans="1:4" x14ac:dyDescent="0.25">
      <c r="A7820" s="139" t="s">
        <v>18182</v>
      </c>
      <c r="B7820" s="139" t="s">
        <v>11193</v>
      </c>
      <c r="C7820" s="139" t="s">
        <v>112</v>
      </c>
      <c r="D7820" s="139" t="s">
        <v>18183</v>
      </c>
    </row>
    <row r="7821" spans="1:4" x14ac:dyDescent="0.25">
      <c r="A7821" s="139" t="s">
        <v>18184</v>
      </c>
      <c r="B7821" s="139" t="s">
        <v>11193</v>
      </c>
      <c r="C7821" s="139" t="s">
        <v>112</v>
      </c>
      <c r="D7821" s="139" t="s">
        <v>18185</v>
      </c>
    </row>
    <row r="7822" spans="1:4" x14ac:dyDescent="0.25">
      <c r="A7822" s="139" t="s">
        <v>18186</v>
      </c>
      <c r="B7822" s="139" t="s">
        <v>7986</v>
      </c>
      <c r="C7822" s="139" t="s">
        <v>4913</v>
      </c>
      <c r="D7822" s="139" t="s">
        <v>18187</v>
      </c>
    </row>
    <row r="7823" spans="1:4" x14ac:dyDescent="0.25">
      <c r="A7823" s="139" t="s">
        <v>18188</v>
      </c>
      <c r="B7823" s="139" t="s">
        <v>7986</v>
      </c>
      <c r="C7823" s="139" t="s">
        <v>4913</v>
      </c>
      <c r="D7823" s="139" t="s">
        <v>18189</v>
      </c>
    </row>
    <row r="7824" spans="1:4" x14ac:dyDescent="0.25">
      <c r="A7824" s="139" t="s">
        <v>18190</v>
      </c>
      <c r="B7824" s="139" t="s">
        <v>18191</v>
      </c>
      <c r="C7824" s="139" t="s">
        <v>33</v>
      </c>
      <c r="D7824" s="139" t="s">
        <v>18192</v>
      </c>
    </row>
    <row r="7825" spans="1:4" x14ac:dyDescent="0.25">
      <c r="A7825" s="139" t="s">
        <v>18193</v>
      </c>
      <c r="B7825" s="139" t="s">
        <v>18191</v>
      </c>
      <c r="C7825" s="139" t="s">
        <v>33</v>
      </c>
      <c r="D7825" s="139" t="s">
        <v>18194</v>
      </c>
    </row>
    <row r="7826" spans="1:4" x14ac:dyDescent="0.25">
      <c r="A7826" s="139" t="s">
        <v>18195</v>
      </c>
      <c r="B7826" s="139" t="s">
        <v>18196</v>
      </c>
      <c r="C7826" s="139" t="s">
        <v>33</v>
      </c>
      <c r="D7826" s="139" t="s">
        <v>18197</v>
      </c>
    </row>
    <row r="7827" spans="1:4" x14ac:dyDescent="0.25">
      <c r="A7827" s="139" t="s">
        <v>18198</v>
      </c>
      <c r="B7827" s="139" t="s">
        <v>18196</v>
      </c>
      <c r="C7827" s="139" t="s">
        <v>33</v>
      </c>
      <c r="D7827" s="139" t="s">
        <v>18199</v>
      </c>
    </row>
    <row r="7828" spans="1:4" x14ac:dyDescent="0.25">
      <c r="A7828" s="139" t="s">
        <v>18200</v>
      </c>
      <c r="B7828" s="139" t="s">
        <v>18201</v>
      </c>
      <c r="C7828" s="139" t="s">
        <v>4913</v>
      </c>
      <c r="D7828" s="139" t="s">
        <v>18202</v>
      </c>
    </row>
    <row r="7829" spans="1:4" x14ac:dyDescent="0.25">
      <c r="A7829" s="139" t="s">
        <v>18203</v>
      </c>
      <c r="B7829" s="139" t="s">
        <v>18201</v>
      </c>
      <c r="C7829" s="139" t="s">
        <v>4913</v>
      </c>
      <c r="D7829" s="139" t="s">
        <v>18204</v>
      </c>
    </row>
    <row r="7830" spans="1:4" x14ac:dyDescent="0.25">
      <c r="A7830" s="139" t="s">
        <v>18205</v>
      </c>
      <c r="B7830" s="139" t="s">
        <v>18206</v>
      </c>
      <c r="C7830" s="139" t="s">
        <v>4913</v>
      </c>
      <c r="D7830" s="139" t="s">
        <v>18207</v>
      </c>
    </row>
    <row r="7831" spans="1:4" x14ac:dyDescent="0.25">
      <c r="A7831" s="139" t="s">
        <v>18208</v>
      </c>
      <c r="B7831" s="139" t="s">
        <v>18206</v>
      </c>
      <c r="C7831" s="139" t="s">
        <v>4913</v>
      </c>
      <c r="D7831" s="139" t="s">
        <v>18209</v>
      </c>
    </row>
    <row r="7832" spans="1:4" x14ac:dyDescent="0.25">
      <c r="A7832" s="139" t="s">
        <v>18210</v>
      </c>
      <c r="B7832" s="139" t="s">
        <v>7986</v>
      </c>
      <c r="C7832" s="139" t="s">
        <v>33</v>
      </c>
      <c r="D7832" s="139" t="s">
        <v>18211</v>
      </c>
    </row>
    <row r="7833" spans="1:4" x14ac:dyDescent="0.25">
      <c r="A7833" s="139" t="s">
        <v>18212</v>
      </c>
      <c r="B7833" s="139" t="s">
        <v>7986</v>
      </c>
      <c r="C7833" s="139" t="s">
        <v>33</v>
      </c>
      <c r="D7833" s="139" t="s">
        <v>18213</v>
      </c>
    </row>
    <row r="7834" spans="1:4" x14ac:dyDescent="0.25">
      <c r="A7834" s="139" t="s">
        <v>18214</v>
      </c>
      <c r="B7834" s="139" t="s">
        <v>18215</v>
      </c>
      <c r="C7834" s="139" t="s">
        <v>2895</v>
      </c>
      <c r="D7834" s="139" t="s">
        <v>18216</v>
      </c>
    </row>
    <row r="7835" spans="1:4" x14ac:dyDescent="0.25">
      <c r="A7835" s="139" t="s">
        <v>18217</v>
      </c>
      <c r="B7835" s="139" t="s">
        <v>18215</v>
      </c>
      <c r="C7835" s="139" t="s">
        <v>2895</v>
      </c>
      <c r="D7835" s="139" t="s">
        <v>18218</v>
      </c>
    </row>
    <row r="7836" spans="1:4" x14ac:dyDescent="0.25">
      <c r="A7836" s="139" t="s">
        <v>18219</v>
      </c>
      <c r="B7836" s="139" t="s">
        <v>18220</v>
      </c>
      <c r="C7836" s="139" t="s">
        <v>2895</v>
      </c>
      <c r="D7836" s="139" t="s">
        <v>18221</v>
      </c>
    </row>
    <row r="7837" spans="1:4" x14ac:dyDescent="0.25">
      <c r="A7837" s="139" t="s">
        <v>18222</v>
      </c>
      <c r="B7837" s="139" t="s">
        <v>18220</v>
      </c>
      <c r="C7837" s="139" t="s">
        <v>2895</v>
      </c>
      <c r="D7837" s="139" t="s">
        <v>18223</v>
      </c>
    </row>
    <row r="7838" spans="1:4" x14ac:dyDescent="0.25">
      <c r="A7838" s="139" t="s">
        <v>18224</v>
      </c>
      <c r="B7838" s="139" t="s">
        <v>18225</v>
      </c>
      <c r="C7838" s="139" t="s">
        <v>2895</v>
      </c>
      <c r="D7838" s="139" t="s">
        <v>18226</v>
      </c>
    </row>
    <row r="7839" spans="1:4" x14ac:dyDescent="0.25">
      <c r="A7839" s="139" t="s">
        <v>18227</v>
      </c>
      <c r="B7839" s="139" t="s">
        <v>18225</v>
      </c>
      <c r="C7839" s="139" t="s">
        <v>2895</v>
      </c>
      <c r="D7839" s="139" t="s">
        <v>18228</v>
      </c>
    </row>
    <row r="7840" spans="1:4" x14ac:dyDescent="0.25">
      <c r="A7840" s="139" t="s">
        <v>18229</v>
      </c>
      <c r="B7840" s="139" t="s">
        <v>18230</v>
      </c>
      <c r="C7840" s="139" t="s">
        <v>2895</v>
      </c>
      <c r="D7840" s="139" t="s">
        <v>18231</v>
      </c>
    </row>
    <row r="7841" spans="1:4" x14ac:dyDescent="0.25">
      <c r="A7841" s="139" t="s">
        <v>18232</v>
      </c>
      <c r="B7841" s="139" t="s">
        <v>18230</v>
      </c>
      <c r="C7841" s="139" t="s">
        <v>2895</v>
      </c>
      <c r="D7841" s="139" t="s">
        <v>18233</v>
      </c>
    </row>
    <row r="7842" spans="1:4" x14ac:dyDescent="0.25">
      <c r="A7842" s="139" t="s">
        <v>18234</v>
      </c>
      <c r="B7842" s="139" t="s">
        <v>18235</v>
      </c>
      <c r="C7842" s="139" t="s">
        <v>2895</v>
      </c>
      <c r="D7842" s="139" t="s">
        <v>18236</v>
      </c>
    </row>
    <row r="7843" spans="1:4" x14ac:dyDescent="0.25">
      <c r="A7843" s="139" t="s">
        <v>18237</v>
      </c>
      <c r="B7843" s="139" t="s">
        <v>18235</v>
      </c>
      <c r="C7843" s="139" t="s">
        <v>2895</v>
      </c>
      <c r="D7843" s="139" t="s">
        <v>18238</v>
      </c>
    </row>
    <row r="7844" spans="1:4" x14ac:dyDescent="0.25">
      <c r="A7844" s="139" t="s">
        <v>18239</v>
      </c>
      <c r="B7844" s="139" t="s">
        <v>18240</v>
      </c>
      <c r="C7844" s="139" t="s">
        <v>1820</v>
      </c>
      <c r="D7844" s="139" t="s">
        <v>18241</v>
      </c>
    </row>
    <row r="7845" spans="1:4" x14ac:dyDescent="0.25">
      <c r="A7845" s="139" t="s">
        <v>18242</v>
      </c>
      <c r="B7845" s="139" t="s">
        <v>18240</v>
      </c>
      <c r="C7845" s="139" t="s">
        <v>1820</v>
      </c>
      <c r="D7845" s="139" t="s">
        <v>18243</v>
      </c>
    </row>
    <row r="7846" spans="1:4" x14ac:dyDescent="0.25">
      <c r="A7846" s="139" t="s">
        <v>18244</v>
      </c>
      <c r="B7846" s="139" t="s">
        <v>18245</v>
      </c>
      <c r="C7846" s="139" t="s">
        <v>1820</v>
      </c>
      <c r="D7846" s="139" t="s">
        <v>18246</v>
      </c>
    </row>
    <row r="7847" spans="1:4" x14ac:dyDescent="0.25">
      <c r="A7847" s="139" t="s">
        <v>18247</v>
      </c>
      <c r="B7847" s="139" t="s">
        <v>18245</v>
      </c>
      <c r="C7847" s="139" t="s">
        <v>1820</v>
      </c>
      <c r="D7847" s="139" t="s">
        <v>18248</v>
      </c>
    </row>
    <row r="7848" spans="1:4" x14ac:dyDescent="0.25">
      <c r="A7848" s="139" t="s">
        <v>18249</v>
      </c>
      <c r="B7848" s="139" t="s">
        <v>18250</v>
      </c>
      <c r="C7848" s="139" t="s">
        <v>65</v>
      </c>
      <c r="D7848" s="139" t="s">
        <v>18251</v>
      </c>
    </row>
    <row r="7849" spans="1:4" x14ac:dyDescent="0.25">
      <c r="A7849" s="139" t="s">
        <v>18252</v>
      </c>
      <c r="B7849" s="139" t="s">
        <v>18250</v>
      </c>
      <c r="C7849" s="139" t="s">
        <v>65</v>
      </c>
      <c r="D7849" s="139" t="s">
        <v>18253</v>
      </c>
    </row>
    <row r="7850" spans="1:4" x14ac:dyDescent="0.25">
      <c r="A7850" s="139" t="s">
        <v>18254</v>
      </c>
      <c r="B7850" s="139" t="s">
        <v>18255</v>
      </c>
      <c r="C7850" s="139" t="s">
        <v>65</v>
      </c>
      <c r="D7850" s="139" t="s">
        <v>18256</v>
      </c>
    </row>
    <row r="7851" spans="1:4" x14ac:dyDescent="0.25">
      <c r="A7851" s="139" t="s">
        <v>18257</v>
      </c>
      <c r="B7851" s="139" t="s">
        <v>18255</v>
      </c>
      <c r="C7851" s="139" t="s">
        <v>65</v>
      </c>
      <c r="D7851" s="139" t="s">
        <v>18258</v>
      </c>
    </row>
    <row r="7852" spans="1:4" x14ac:dyDescent="0.25">
      <c r="A7852" s="139" t="s">
        <v>18259</v>
      </c>
      <c r="B7852" s="139" t="s">
        <v>3146</v>
      </c>
      <c r="C7852" s="139" t="s">
        <v>65</v>
      </c>
      <c r="D7852" s="139" t="s">
        <v>18260</v>
      </c>
    </row>
    <row r="7853" spans="1:4" x14ac:dyDescent="0.25">
      <c r="A7853" s="139" t="s">
        <v>18261</v>
      </c>
      <c r="B7853" s="139" t="s">
        <v>3146</v>
      </c>
      <c r="C7853" s="139" t="s">
        <v>65</v>
      </c>
      <c r="D7853" s="139" t="s">
        <v>18262</v>
      </c>
    </row>
    <row r="7854" spans="1:4" x14ac:dyDescent="0.25">
      <c r="A7854" s="139" t="s">
        <v>18263</v>
      </c>
      <c r="B7854" s="139" t="s">
        <v>18264</v>
      </c>
      <c r="C7854" s="139" t="s">
        <v>65</v>
      </c>
      <c r="D7854" s="139" t="s">
        <v>18265</v>
      </c>
    </row>
    <row r="7855" spans="1:4" x14ac:dyDescent="0.25">
      <c r="A7855" s="139" t="s">
        <v>18266</v>
      </c>
      <c r="B7855" s="139" t="s">
        <v>18264</v>
      </c>
      <c r="C7855" s="139" t="s">
        <v>65</v>
      </c>
      <c r="D7855" s="139" t="s">
        <v>18267</v>
      </c>
    </row>
    <row r="7856" spans="1:4" x14ac:dyDescent="0.25">
      <c r="A7856" s="139" t="s">
        <v>18268</v>
      </c>
      <c r="B7856" s="139" t="s">
        <v>18269</v>
      </c>
      <c r="C7856" s="139" t="s">
        <v>65</v>
      </c>
      <c r="D7856" s="139" t="s">
        <v>18270</v>
      </c>
    </row>
    <row r="7857" spans="1:4" x14ac:dyDescent="0.25">
      <c r="A7857" s="139" t="s">
        <v>18271</v>
      </c>
      <c r="B7857" s="139" t="s">
        <v>18269</v>
      </c>
      <c r="C7857" s="139" t="s">
        <v>65</v>
      </c>
      <c r="D7857" s="139" t="s">
        <v>18272</v>
      </c>
    </row>
    <row r="7858" spans="1:4" x14ac:dyDescent="0.25">
      <c r="A7858" s="139" t="s">
        <v>18273</v>
      </c>
      <c r="B7858" s="139" t="s">
        <v>15471</v>
      </c>
      <c r="C7858" s="139" t="s">
        <v>65</v>
      </c>
      <c r="D7858" s="139" t="s">
        <v>18274</v>
      </c>
    </row>
    <row r="7859" spans="1:4" x14ac:dyDescent="0.25">
      <c r="A7859" s="139" t="s">
        <v>18275</v>
      </c>
      <c r="B7859" s="139" t="s">
        <v>15471</v>
      </c>
      <c r="C7859" s="139" t="s">
        <v>65</v>
      </c>
      <c r="D7859" s="139" t="s">
        <v>18276</v>
      </c>
    </row>
    <row r="7860" spans="1:4" x14ac:dyDescent="0.25">
      <c r="A7860" s="139" t="s">
        <v>18277</v>
      </c>
      <c r="B7860" s="139" t="s">
        <v>18278</v>
      </c>
      <c r="C7860" s="139" t="s">
        <v>65</v>
      </c>
      <c r="D7860" s="139" t="s">
        <v>18279</v>
      </c>
    </row>
    <row r="7861" spans="1:4" x14ac:dyDescent="0.25">
      <c r="A7861" s="139" t="s">
        <v>18280</v>
      </c>
      <c r="B7861" s="139" t="s">
        <v>18278</v>
      </c>
      <c r="C7861" s="139" t="s">
        <v>65</v>
      </c>
      <c r="D7861" s="139" t="s">
        <v>18281</v>
      </c>
    </row>
    <row r="7862" spans="1:4" x14ac:dyDescent="0.25">
      <c r="A7862" s="139" t="s">
        <v>18282</v>
      </c>
      <c r="B7862" s="139" t="s">
        <v>18283</v>
      </c>
      <c r="C7862" s="139" t="s">
        <v>65</v>
      </c>
      <c r="D7862" s="139" t="s">
        <v>18284</v>
      </c>
    </row>
    <row r="7863" spans="1:4" x14ac:dyDescent="0.25">
      <c r="A7863" s="139" t="s">
        <v>18285</v>
      </c>
      <c r="B7863" s="139" t="s">
        <v>18283</v>
      </c>
      <c r="C7863" s="139" t="s">
        <v>65</v>
      </c>
      <c r="D7863" s="139" t="s">
        <v>18286</v>
      </c>
    </row>
    <row r="7864" spans="1:4" x14ac:dyDescent="0.25">
      <c r="A7864" s="139" t="s">
        <v>18287</v>
      </c>
      <c r="B7864" s="139" t="s">
        <v>18288</v>
      </c>
      <c r="C7864" s="139" t="s">
        <v>65</v>
      </c>
      <c r="D7864" s="139" t="s">
        <v>18289</v>
      </c>
    </row>
    <row r="7865" spans="1:4" x14ac:dyDescent="0.25">
      <c r="A7865" s="139" t="s">
        <v>18290</v>
      </c>
      <c r="B7865" s="139" t="s">
        <v>18288</v>
      </c>
      <c r="C7865" s="139" t="s">
        <v>65</v>
      </c>
      <c r="D7865" s="139" t="s">
        <v>18291</v>
      </c>
    </row>
    <row r="7866" spans="1:4" x14ac:dyDescent="0.25">
      <c r="A7866" s="139" t="s">
        <v>18292</v>
      </c>
      <c r="B7866" s="139" t="s">
        <v>18293</v>
      </c>
      <c r="C7866" s="139" t="s">
        <v>65</v>
      </c>
      <c r="D7866" s="139" t="s">
        <v>18294</v>
      </c>
    </row>
    <row r="7867" spans="1:4" x14ac:dyDescent="0.25">
      <c r="A7867" s="139" t="s">
        <v>18295</v>
      </c>
      <c r="B7867" s="139" t="s">
        <v>18293</v>
      </c>
      <c r="C7867" s="139" t="s">
        <v>65</v>
      </c>
      <c r="D7867" s="139" t="s">
        <v>18296</v>
      </c>
    </row>
    <row r="7868" spans="1:4" x14ac:dyDescent="0.25">
      <c r="A7868" s="139" t="s">
        <v>18297</v>
      </c>
      <c r="B7868" s="139" t="s">
        <v>18298</v>
      </c>
      <c r="C7868" s="139" t="s">
        <v>65</v>
      </c>
      <c r="D7868" s="139" t="s">
        <v>18299</v>
      </c>
    </row>
    <row r="7869" spans="1:4" x14ac:dyDescent="0.25">
      <c r="A7869" s="139" t="s">
        <v>18300</v>
      </c>
      <c r="B7869" s="139" t="s">
        <v>18298</v>
      </c>
      <c r="C7869" s="139" t="s">
        <v>65</v>
      </c>
      <c r="D7869" s="139" t="s">
        <v>18301</v>
      </c>
    </row>
    <row r="7870" spans="1:4" x14ac:dyDescent="0.25">
      <c r="A7870" s="139" t="s">
        <v>18302</v>
      </c>
      <c r="B7870" s="139" t="s">
        <v>18303</v>
      </c>
      <c r="C7870" s="139" t="s">
        <v>112</v>
      </c>
      <c r="D7870" s="139" t="s">
        <v>18304</v>
      </c>
    </row>
    <row r="7871" spans="1:4" x14ac:dyDescent="0.25">
      <c r="A7871" s="139" t="s">
        <v>18305</v>
      </c>
      <c r="B7871" s="139" t="s">
        <v>18303</v>
      </c>
      <c r="C7871" s="139" t="s">
        <v>112</v>
      </c>
      <c r="D7871" s="139" t="s">
        <v>18306</v>
      </c>
    </row>
    <row r="7872" spans="1:4" x14ac:dyDescent="0.25">
      <c r="A7872" s="139" t="s">
        <v>18307</v>
      </c>
      <c r="B7872" s="139" t="s">
        <v>18308</v>
      </c>
      <c r="C7872" s="139" t="s">
        <v>112</v>
      </c>
      <c r="D7872" s="139" t="s">
        <v>18309</v>
      </c>
    </row>
    <row r="7873" spans="1:4" x14ac:dyDescent="0.25">
      <c r="A7873" s="139" t="s">
        <v>18310</v>
      </c>
      <c r="B7873" s="139" t="s">
        <v>18308</v>
      </c>
      <c r="C7873" s="139" t="s">
        <v>112</v>
      </c>
      <c r="D7873" s="139" t="s">
        <v>18311</v>
      </c>
    </row>
    <row r="7874" spans="1:4" x14ac:dyDescent="0.25">
      <c r="A7874" s="139" t="s">
        <v>18312</v>
      </c>
      <c r="B7874" s="139" t="s">
        <v>18313</v>
      </c>
      <c r="C7874" s="139" t="s">
        <v>112</v>
      </c>
      <c r="D7874" s="139" t="s">
        <v>18314</v>
      </c>
    </row>
    <row r="7875" spans="1:4" x14ac:dyDescent="0.25">
      <c r="A7875" s="139" t="s">
        <v>18315</v>
      </c>
      <c r="B7875" s="139" t="s">
        <v>18313</v>
      </c>
      <c r="C7875" s="139" t="s">
        <v>112</v>
      </c>
      <c r="D7875" s="139" t="s">
        <v>18316</v>
      </c>
    </row>
    <row r="7876" spans="1:4" x14ac:dyDescent="0.25">
      <c r="A7876" s="139" t="s">
        <v>18317</v>
      </c>
      <c r="B7876" s="139" t="s">
        <v>18318</v>
      </c>
      <c r="C7876" s="139" t="s">
        <v>112</v>
      </c>
      <c r="D7876" s="139" t="s">
        <v>18319</v>
      </c>
    </row>
    <row r="7877" spans="1:4" x14ac:dyDescent="0.25">
      <c r="A7877" s="139" t="s">
        <v>18320</v>
      </c>
      <c r="B7877" s="139" t="s">
        <v>18318</v>
      </c>
      <c r="C7877" s="139" t="s">
        <v>112</v>
      </c>
      <c r="D7877" s="139" t="s">
        <v>18321</v>
      </c>
    </row>
    <row r="7878" spans="1:4" x14ac:dyDescent="0.25">
      <c r="A7878" s="139" t="s">
        <v>18322</v>
      </c>
      <c r="B7878" s="139" t="s">
        <v>18323</v>
      </c>
      <c r="C7878" s="139" t="s">
        <v>112</v>
      </c>
      <c r="D7878" s="139" t="s">
        <v>18324</v>
      </c>
    </row>
    <row r="7879" spans="1:4" x14ac:dyDescent="0.25">
      <c r="A7879" s="139" t="s">
        <v>18325</v>
      </c>
      <c r="B7879" s="139" t="s">
        <v>18323</v>
      </c>
      <c r="C7879" s="139" t="s">
        <v>112</v>
      </c>
      <c r="D7879" s="139" t="s">
        <v>18326</v>
      </c>
    </row>
    <row r="7880" spans="1:4" x14ac:dyDescent="0.25">
      <c r="A7880" s="139" t="s">
        <v>18327</v>
      </c>
      <c r="B7880" s="139" t="s">
        <v>18328</v>
      </c>
      <c r="C7880" s="139" t="s">
        <v>112</v>
      </c>
      <c r="D7880" s="139" t="s">
        <v>18329</v>
      </c>
    </row>
    <row r="7881" spans="1:4" x14ac:dyDescent="0.25">
      <c r="A7881" s="139" t="s">
        <v>18330</v>
      </c>
      <c r="B7881" s="139" t="s">
        <v>18328</v>
      </c>
      <c r="C7881" s="139" t="s">
        <v>112</v>
      </c>
      <c r="D7881" s="139" t="s">
        <v>18331</v>
      </c>
    </row>
    <row r="7882" spans="1:4" x14ac:dyDescent="0.25">
      <c r="A7882" s="139" t="s">
        <v>18332</v>
      </c>
      <c r="B7882" s="139" t="s">
        <v>18333</v>
      </c>
      <c r="C7882" s="139" t="s">
        <v>112</v>
      </c>
      <c r="D7882" s="139" t="s">
        <v>18334</v>
      </c>
    </row>
    <row r="7883" spans="1:4" x14ac:dyDescent="0.25">
      <c r="A7883" s="139" t="s">
        <v>18335</v>
      </c>
      <c r="B7883" s="139" t="s">
        <v>18333</v>
      </c>
      <c r="C7883" s="139" t="s">
        <v>112</v>
      </c>
      <c r="D7883" s="139" t="s">
        <v>18336</v>
      </c>
    </row>
    <row r="7884" spans="1:4" x14ac:dyDescent="0.25">
      <c r="A7884" s="139" t="s">
        <v>18337</v>
      </c>
      <c r="B7884" s="139" t="s">
        <v>18338</v>
      </c>
      <c r="C7884" s="139" t="s">
        <v>112</v>
      </c>
      <c r="D7884" s="139" t="s">
        <v>18339</v>
      </c>
    </row>
    <row r="7885" spans="1:4" x14ac:dyDescent="0.25">
      <c r="A7885" s="139" t="s">
        <v>18340</v>
      </c>
      <c r="B7885" s="139" t="s">
        <v>18338</v>
      </c>
      <c r="C7885" s="139" t="s">
        <v>112</v>
      </c>
      <c r="D7885" s="139" t="s">
        <v>18341</v>
      </c>
    </row>
    <row r="7886" spans="1:4" x14ac:dyDescent="0.25">
      <c r="A7886" s="139" t="s">
        <v>18342</v>
      </c>
      <c r="B7886" s="139" t="s">
        <v>18343</v>
      </c>
      <c r="C7886" s="139" t="s">
        <v>112</v>
      </c>
      <c r="D7886" s="139" t="s">
        <v>18344</v>
      </c>
    </row>
    <row r="7887" spans="1:4" x14ac:dyDescent="0.25">
      <c r="A7887" s="139" t="s">
        <v>18345</v>
      </c>
      <c r="B7887" s="139" t="s">
        <v>18343</v>
      </c>
      <c r="C7887" s="139" t="s">
        <v>112</v>
      </c>
      <c r="D7887" s="139" t="s">
        <v>18346</v>
      </c>
    </row>
    <row r="7888" spans="1:4" x14ac:dyDescent="0.25">
      <c r="A7888" s="139" t="s">
        <v>18347</v>
      </c>
      <c r="B7888" s="139" t="s">
        <v>18240</v>
      </c>
      <c r="C7888" s="139" t="s">
        <v>112</v>
      </c>
      <c r="D7888" s="139" t="s">
        <v>18348</v>
      </c>
    </row>
    <row r="7889" spans="1:4" x14ac:dyDescent="0.25">
      <c r="A7889" s="139" t="s">
        <v>18349</v>
      </c>
      <c r="B7889" s="139" t="s">
        <v>18240</v>
      </c>
      <c r="C7889" s="139" t="s">
        <v>112</v>
      </c>
      <c r="D7889" s="139" t="s">
        <v>18350</v>
      </c>
    </row>
    <row r="7890" spans="1:4" x14ac:dyDescent="0.25">
      <c r="A7890" s="139" t="s">
        <v>18351</v>
      </c>
      <c r="B7890" s="139" t="s">
        <v>18352</v>
      </c>
      <c r="C7890" s="139" t="s">
        <v>112</v>
      </c>
      <c r="D7890" s="139" t="s">
        <v>18353</v>
      </c>
    </row>
    <row r="7891" spans="1:4" x14ac:dyDescent="0.25">
      <c r="A7891" s="139" t="s">
        <v>18354</v>
      </c>
      <c r="B7891" s="139" t="s">
        <v>18352</v>
      </c>
      <c r="C7891" s="139" t="s">
        <v>112</v>
      </c>
      <c r="D7891" s="139" t="s">
        <v>18355</v>
      </c>
    </row>
    <row r="7892" spans="1:4" x14ac:dyDescent="0.25">
      <c r="A7892" s="139" t="s">
        <v>18356</v>
      </c>
      <c r="B7892" s="139" t="s">
        <v>18357</v>
      </c>
      <c r="C7892" s="139" t="s">
        <v>112</v>
      </c>
      <c r="D7892" s="139" t="s">
        <v>18358</v>
      </c>
    </row>
    <row r="7893" spans="1:4" x14ac:dyDescent="0.25">
      <c r="A7893" s="139" t="s">
        <v>18359</v>
      </c>
      <c r="B7893" s="139" t="s">
        <v>18357</v>
      </c>
      <c r="C7893" s="139" t="s">
        <v>112</v>
      </c>
      <c r="D7893" s="139" t="s">
        <v>18360</v>
      </c>
    </row>
    <row r="7894" spans="1:4" x14ac:dyDescent="0.25">
      <c r="A7894" s="139" t="s">
        <v>18361</v>
      </c>
      <c r="B7894" s="139" t="s">
        <v>18362</v>
      </c>
      <c r="C7894" s="139" t="s">
        <v>112</v>
      </c>
      <c r="D7894" s="139" t="s">
        <v>18363</v>
      </c>
    </row>
    <row r="7895" spans="1:4" x14ac:dyDescent="0.25">
      <c r="A7895" s="139" t="s">
        <v>18364</v>
      </c>
      <c r="B7895" s="139" t="s">
        <v>18362</v>
      </c>
      <c r="C7895" s="139" t="s">
        <v>112</v>
      </c>
      <c r="D7895" s="139" t="s">
        <v>18365</v>
      </c>
    </row>
    <row r="7896" spans="1:4" x14ac:dyDescent="0.25">
      <c r="A7896" s="139" t="s">
        <v>18366</v>
      </c>
      <c r="B7896" s="139" t="s">
        <v>18367</v>
      </c>
      <c r="C7896" s="139" t="s">
        <v>112</v>
      </c>
      <c r="D7896" s="139" t="s">
        <v>18368</v>
      </c>
    </row>
    <row r="7897" spans="1:4" x14ac:dyDescent="0.25">
      <c r="A7897" s="139" t="s">
        <v>18369</v>
      </c>
      <c r="B7897" s="139" t="s">
        <v>18367</v>
      </c>
      <c r="C7897" s="139" t="s">
        <v>112</v>
      </c>
      <c r="D7897" s="139" t="s">
        <v>18370</v>
      </c>
    </row>
    <row r="7898" spans="1:4" x14ac:dyDescent="0.25">
      <c r="A7898" s="139" t="s">
        <v>18371</v>
      </c>
      <c r="B7898" s="139" t="s">
        <v>18372</v>
      </c>
      <c r="C7898" s="139" t="s">
        <v>112</v>
      </c>
      <c r="D7898" s="139" t="s">
        <v>18373</v>
      </c>
    </row>
    <row r="7899" spans="1:4" x14ac:dyDescent="0.25">
      <c r="A7899" s="139" t="s">
        <v>18374</v>
      </c>
      <c r="B7899" s="139" t="s">
        <v>18372</v>
      </c>
      <c r="C7899" s="139" t="s">
        <v>112</v>
      </c>
      <c r="D7899" s="139" t="s">
        <v>18375</v>
      </c>
    </row>
    <row r="7900" spans="1:4" x14ac:dyDescent="0.25">
      <c r="A7900" s="139" t="s">
        <v>18376</v>
      </c>
      <c r="B7900" s="139" t="s">
        <v>18377</v>
      </c>
      <c r="C7900" s="139" t="s">
        <v>112</v>
      </c>
      <c r="D7900" s="139" t="s">
        <v>18378</v>
      </c>
    </row>
    <row r="7901" spans="1:4" x14ac:dyDescent="0.25">
      <c r="A7901" s="139" t="s">
        <v>18379</v>
      </c>
      <c r="B7901" s="139" t="s">
        <v>18377</v>
      </c>
      <c r="C7901" s="139" t="s">
        <v>112</v>
      </c>
      <c r="D7901" s="139" t="s">
        <v>18380</v>
      </c>
    </row>
    <row r="7902" spans="1:4" x14ac:dyDescent="0.25">
      <c r="A7902" s="139" t="s">
        <v>18381</v>
      </c>
      <c r="B7902" s="139" t="s">
        <v>18382</v>
      </c>
      <c r="C7902" s="139" t="s">
        <v>112</v>
      </c>
      <c r="D7902" s="139" t="s">
        <v>18383</v>
      </c>
    </row>
    <row r="7903" spans="1:4" x14ac:dyDescent="0.25">
      <c r="A7903" s="139" t="s">
        <v>18384</v>
      </c>
      <c r="B7903" s="139" t="s">
        <v>18382</v>
      </c>
      <c r="C7903" s="139" t="s">
        <v>112</v>
      </c>
      <c r="D7903" s="139" t="s">
        <v>18385</v>
      </c>
    </row>
    <row r="7904" spans="1:4" x14ac:dyDescent="0.25">
      <c r="A7904" s="139" t="s">
        <v>18386</v>
      </c>
      <c r="B7904" s="139" t="s">
        <v>18387</v>
      </c>
      <c r="C7904" s="139" t="s">
        <v>112</v>
      </c>
      <c r="D7904" s="139" t="s">
        <v>18388</v>
      </c>
    </row>
    <row r="7905" spans="1:4" x14ac:dyDescent="0.25">
      <c r="A7905" s="139" t="s">
        <v>18389</v>
      </c>
      <c r="B7905" s="139" t="s">
        <v>18387</v>
      </c>
      <c r="C7905" s="139" t="s">
        <v>112</v>
      </c>
      <c r="D7905" s="139" t="s">
        <v>18390</v>
      </c>
    </row>
    <row r="7906" spans="1:4" x14ac:dyDescent="0.25">
      <c r="A7906" s="139" t="s">
        <v>18391</v>
      </c>
      <c r="B7906" s="139" t="s">
        <v>18392</v>
      </c>
      <c r="C7906" s="139" t="s">
        <v>112</v>
      </c>
      <c r="D7906" s="139" t="s">
        <v>18393</v>
      </c>
    </row>
    <row r="7907" spans="1:4" x14ac:dyDescent="0.25">
      <c r="A7907" s="139" t="s">
        <v>18394</v>
      </c>
      <c r="B7907" s="139" t="s">
        <v>18392</v>
      </c>
      <c r="C7907" s="139" t="s">
        <v>112</v>
      </c>
      <c r="D7907" s="139" t="s">
        <v>18395</v>
      </c>
    </row>
    <row r="7908" spans="1:4" x14ac:dyDescent="0.25">
      <c r="A7908" s="139" t="s">
        <v>18396</v>
      </c>
      <c r="B7908" s="139" t="s">
        <v>18397</v>
      </c>
      <c r="C7908" s="139" t="s">
        <v>112</v>
      </c>
      <c r="D7908" s="139" t="s">
        <v>18398</v>
      </c>
    </row>
    <row r="7909" spans="1:4" x14ac:dyDescent="0.25">
      <c r="A7909" s="139" t="s">
        <v>18399</v>
      </c>
      <c r="B7909" s="139" t="s">
        <v>18397</v>
      </c>
      <c r="C7909" s="139" t="s">
        <v>112</v>
      </c>
      <c r="D7909" s="139" t="s">
        <v>18400</v>
      </c>
    </row>
    <row r="7910" spans="1:4" x14ac:dyDescent="0.25">
      <c r="A7910" s="139" t="s">
        <v>18401</v>
      </c>
      <c r="B7910" s="139" t="s">
        <v>18402</v>
      </c>
      <c r="C7910" s="139" t="s">
        <v>112</v>
      </c>
      <c r="D7910" s="139" t="s">
        <v>18403</v>
      </c>
    </row>
    <row r="7911" spans="1:4" x14ac:dyDescent="0.25">
      <c r="A7911" s="139" t="s">
        <v>18404</v>
      </c>
      <c r="B7911" s="139" t="s">
        <v>18402</v>
      </c>
      <c r="C7911" s="139" t="s">
        <v>112</v>
      </c>
      <c r="D7911" s="139" t="s">
        <v>18405</v>
      </c>
    </row>
    <row r="7912" spans="1:4" x14ac:dyDescent="0.25">
      <c r="A7912" s="139" t="s">
        <v>18406</v>
      </c>
      <c r="B7912" s="139" t="s">
        <v>13468</v>
      </c>
      <c r="C7912" s="139" t="s">
        <v>112</v>
      </c>
      <c r="D7912" s="139" t="s">
        <v>18407</v>
      </c>
    </row>
    <row r="7913" spans="1:4" x14ac:dyDescent="0.25">
      <c r="A7913" s="139" t="s">
        <v>18408</v>
      </c>
      <c r="B7913" s="139" t="s">
        <v>13468</v>
      </c>
      <c r="C7913" s="139" t="s">
        <v>112</v>
      </c>
      <c r="D7913" s="139" t="s">
        <v>18409</v>
      </c>
    </row>
    <row r="7914" spans="1:4" x14ac:dyDescent="0.25">
      <c r="A7914" s="139" t="s">
        <v>18410</v>
      </c>
      <c r="B7914" s="139" t="s">
        <v>13473</v>
      </c>
      <c r="C7914" s="139" t="s">
        <v>112</v>
      </c>
      <c r="D7914" s="139" t="s">
        <v>18411</v>
      </c>
    </row>
    <row r="7915" spans="1:4" x14ac:dyDescent="0.25">
      <c r="A7915" s="139" t="s">
        <v>18412</v>
      </c>
      <c r="B7915" s="139" t="s">
        <v>13473</v>
      </c>
      <c r="C7915" s="139" t="s">
        <v>112</v>
      </c>
      <c r="D7915" s="139" t="s">
        <v>18413</v>
      </c>
    </row>
    <row r="7916" spans="1:4" x14ac:dyDescent="0.25">
      <c r="A7916" s="139" t="s">
        <v>18414</v>
      </c>
      <c r="B7916" s="139" t="s">
        <v>16975</v>
      </c>
      <c r="C7916" s="139" t="s">
        <v>112</v>
      </c>
      <c r="D7916" s="139" t="s">
        <v>18415</v>
      </c>
    </row>
    <row r="7917" spans="1:4" x14ac:dyDescent="0.25">
      <c r="A7917" s="139" t="s">
        <v>18416</v>
      </c>
      <c r="B7917" s="139" t="s">
        <v>18417</v>
      </c>
      <c r="C7917" s="139" t="s">
        <v>535</v>
      </c>
      <c r="D7917" s="139" t="s">
        <v>18418</v>
      </c>
    </row>
    <row r="7918" spans="1:4" x14ac:dyDescent="0.25">
      <c r="A7918" s="139" t="s">
        <v>18419</v>
      </c>
      <c r="B7918" s="139" t="s">
        <v>18417</v>
      </c>
      <c r="C7918" s="139" t="s">
        <v>535</v>
      </c>
      <c r="D7918" s="139" t="s">
        <v>18420</v>
      </c>
    </row>
    <row r="7919" spans="1:4" x14ac:dyDescent="0.25">
      <c r="A7919" s="139" t="s">
        <v>18421</v>
      </c>
      <c r="B7919" s="139" t="s">
        <v>2003</v>
      </c>
      <c r="C7919" s="139" t="s">
        <v>4913</v>
      </c>
      <c r="D7919" s="139" t="s">
        <v>18422</v>
      </c>
    </row>
    <row r="7920" spans="1:4" x14ac:dyDescent="0.25">
      <c r="A7920" s="139" t="s">
        <v>18423</v>
      </c>
      <c r="B7920" s="139" t="s">
        <v>2003</v>
      </c>
      <c r="C7920" s="139" t="s">
        <v>4913</v>
      </c>
      <c r="D7920" s="139" t="s">
        <v>18424</v>
      </c>
    </row>
    <row r="7921" spans="1:4" x14ac:dyDescent="0.25">
      <c r="A7921" s="139" t="s">
        <v>18425</v>
      </c>
      <c r="B7921" s="139" t="s">
        <v>18426</v>
      </c>
      <c r="C7921" s="139" t="s">
        <v>4913</v>
      </c>
      <c r="D7921" s="139" t="s">
        <v>18427</v>
      </c>
    </row>
    <row r="7922" spans="1:4" x14ac:dyDescent="0.25">
      <c r="A7922" s="139" t="s">
        <v>18428</v>
      </c>
      <c r="B7922" s="139" t="s">
        <v>18426</v>
      </c>
      <c r="C7922" s="139" t="s">
        <v>4913</v>
      </c>
      <c r="D7922" s="139" t="s">
        <v>18429</v>
      </c>
    </row>
    <row r="7923" spans="1:4" x14ac:dyDescent="0.25">
      <c r="A7923" s="139" t="s">
        <v>18430</v>
      </c>
      <c r="B7923" s="139" t="s">
        <v>18431</v>
      </c>
      <c r="C7923" s="139" t="s">
        <v>4913</v>
      </c>
      <c r="D7923" s="139" t="s">
        <v>18432</v>
      </c>
    </row>
    <row r="7924" spans="1:4" x14ac:dyDescent="0.25">
      <c r="A7924" s="139" t="s">
        <v>18433</v>
      </c>
      <c r="B7924" s="139" t="s">
        <v>18431</v>
      </c>
      <c r="C7924" s="139" t="s">
        <v>4913</v>
      </c>
      <c r="D7924" s="139" t="s">
        <v>18434</v>
      </c>
    </row>
    <row r="7925" spans="1:4" x14ac:dyDescent="0.25">
      <c r="A7925" s="139" t="s">
        <v>18435</v>
      </c>
      <c r="B7925" s="139" t="s">
        <v>18436</v>
      </c>
      <c r="C7925" s="139" t="s">
        <v>4913</v>
      </c>
      <c r="D7925" s="139" t="s">
        <v>18437</v>
      </c>
    </row>
    <row r="7926" spans="1:4" x14ac:dyDescent="0.25">
      <c r="A7926" s="139" t="s">
        <v>18438</v>
      </c>
      <c r="B7926" s="139" t="s">
        <v>18436</v>
      </c>
      <c r="C7926" s="139" t="s">
        <v>4913</v>
      </c>
      <c r="D7926" s="139" t="s">
        <v>18439</v>
      </c>
    </row>
    <row r="7927" spans="1:4" x14ac:dyDescent="0.25">
      <c r="A7927" s="139" t="s">
        <v>18440</v>
      </c>
      <c r="B7927" s="139" t="s">
        <v>2028</v>
      </c>
      <c r="C7927" s="139" t="s">
        <v>4913</v>
      </c>
      <c r="D7927" s="139" t="s">
        <v>18441</v>
      </c>
    </row>
    <row r="7928" spans="1:4" x14ac:dyDescent="0.25">
      <c r="A7928" s="139" t="s">
        <v>18442</v>
      </c>
      <c r="B7928" s="139" t="s">
        <v>2028</v>
      </c>
      <c r="C7928" s="139" t="s">
        <v>4913</v>
      </c>
      <c r="D7928" s="139" t="s">
        <v>18443</v>
      </c>
    </row>
    <row r="7929" spans="1:4" x14ac:dyDescent="0.25">
      <c r="A7929" s="139" t="s">
        <v>18444</v>
      </c>
      <c r="B7929" s="139" t="s">
        <v>11069</v>
      </c>
      <c r="C7929" s="139" t="s">
        <v>4913</v>
      </c>
      <c r="D7929" s="139" t="s">
        <v>18445</v>
      </c>
    </row>
    <row r="7930" spans="1:4" x14ac:dyDescent="0.25">
      <c r="A7930" s="139" t="s">
        <v>18446</v>
      </c>
      <c r="B7930" s="139" t="s">
        <v>11069</v>
      </c>
      <c r="C7930" s="139" t="s">
        <v>4913</v>
      </c>
      <c r="D7930" s="139" t="s">
        <v>18447</v>
      </c>
    </row>
    <row r="7931" spans="1:4" x14ac:dyDescent="0.25">
      <c r="A7931" s="139" t="s">
        <v>18448</v>
      </c>
      <c r="B7931" s="139" t="s">
        <v>11183</v>
      </c>
      <c r="C7931" s="139" t="s">
        <v>4913</v>
      </c>
      <c r="D7931" s="139" t="s">
        <v>18449</v>
      </c>
    </row>
    <row r="7932" spans="1:4" x14ac:dyDescent="0.25">
      <c r="A7932" s="139" t="s">
        <v>18450</v>
      </c>
      <c r="B7932" s="139" t="s">
        <v>11183</v>
      </c>
      <c r="C7932" s="139" t="s">
        <v>4913</v>
      </c>
      <c r="D7932" s="139" t="s">
        <v>18451</v>
      </c>
    </row>
    <row r="7933" spans="1:4" x14ac:dyDescent="0.25">
      <c r="A7933" s="139" t="s">
        <v>18452</v>
      </c>
      <c r="B7933" s="139" t="s">
        <v>18453</v>
      </c>
      <c r="C7933" s="139" t="s">
        <v>4913</v>
      </c>
      <c r="D7933" s="139" t="s">
        <v>18454</v>
      </c>
    </row>
    <row r="7934" spans="1:4" x14ac:dyDescent="0.25">
      <c r="A7934" s="139" t="s">
        <v>18455</v>
      </c>
      <c r="B7934" s="139" t="s">
        <v>18453</v>
      </c>
      <c r="C7934" s="139" t="s">
        <v>4913</v>
      </c>
      <c r="D7934" s="139" t="s">
        <v>18456</v>
      </c>
    </row>
    <row r="7935" spans="1:4" x14ac:dyDescent="0.25">
      <c r="A7935" s="139" t="s">
        <v>18457</v>
      </c>
      <c r="B7935" s="139" t="s">
        <v>11064</v>
      </c>
      <c r="C7935" s="139" t="s">
        <v>4913</v>
      </c>
      <c r="D7935" s="139" t="s">
        <v>18458</v>
      </c>
    </row>
    <row r="7936" spans="1:4" x14ac:dyDescent="0.25">
      <c r="A7936" s="139" t="s">
        <v>18459</v>
      </c>
      <c r="B7936" s="139" t="s">
        <v>11064</v>
      </c>
      <c r="C7936" s="139" t="s">
        <v>4913</v>
      </c>
      <c r="D7936" s="139" t="s">
        <v>18460</v>
      </c>
    </row>
    <row r="7937" spans="1:4" x14ac:dyDescent="0.25">
      <c r="A7937" s="139" t="s">
        <v>18461</v>
      </c>
      <c r="B7937" s="139" t="s">
        <v>18462</v>
      </c>
      <c r="C7937" s="139" t="s">
        <v>4913</v>
      </c>
      <c r="D7937" s="139" t="s">
        <v>18463</v>
      </c>
    </row>
    <row r="7938" spans="1:4" x14ac:dyDescent="0.25">
      <c r="A7938" s="139" t="s">
        <v>18464</v>
      </c>
      <c r="B7938" s="139" t="s">
        <v>18462</v>
      </c>
      <c r="C7938" s="139" t="s">
        <v>4913</v>
      </c>
      <c r="D7938" s="139" t="s">
        <v>18465</v>
      </c>
    </row>
    <row r="7939" spans="1:4" x14ac:dyDescent="0.25">
      <c r="A7939" s="139" t="s">
        <v>18466</v>
      </c>
      <c r="B7939" s="139" t="s">
        <v>2213</v>
      </c>
      <c r="C7939" s="139" t="s">
        <v>4913</v>
      </c>
      <c r="D7939" s="139" t="s">
        <v>18467</v>
      </c>
    </row>
    <row r="7940" spans="1:4" x14ac:dyDescent="0.25">
      <c r="A7940" s="139" t="s">
        <v>18468</v>
      </c>
      <c r="B7940" s="139" t="s">
        <v>2213</v>
      </c>
      <c r="C7940" s="139" t="s">
        <v>4913</v>
      </c>
      <c r="D7940" s="139" t="s">
        <v>18469</v>
      </c>
    </row>
    <row r="7941" spans="1:4" x14ac:dyDescent="0.25">
      <c r="A7941" s="139" t="s">
        <v>18470</v>
      </c>
      <c r="B7941" s="139" t="s">
        <v>1817</v>
      </c>
      <c r="C7941" s="139" t="s">
        <v>4913</v>
      </c>
      <c r="D7941" s="139" t="s">
        <v>18471</v>
      </c>
    </row>
    <row r="7942" spans="1:4" x14ac:dyDescent="0.25">
      <c r="A7942" s="139" t="s">
        <v>18472</v>
      </c>
      <c r="B7942" s="139" t="s">
        <v>1817</v>
      </c>
      <c r="C7942" s="139" t="s">
        <v>4913</v>
      </c>
      <c r="D7942" s="139" t="s">
        <v>18473</v>
      </c>
    </row>
    <row r="7943" spans="1:4" x14ac:dyDescent="0.25">
      <c r="A7943" s="139" t="s">
        <v>18474</v>
      </c>
      <c r="B7943" s="139" t="s">
        <v>11064</v>
      </c>
      <c r="C7943" s="139" t="s">
        <v>658</v>
      </c>
      <c r="D7943" s="139" t="s">
        <v>18475</v>
      </c>
    </row>
    <row r="7944" spans="1:4" x14ac:dyDescent="0.25">
      <c r="A7944" s="139" t="s">
        <v>18476</v>
      </c>
      <c r="B7944" s="139" t="s">
        <v>11064</v>
      </c>
      <c r="C7944" s="139" t="s">
        <v>658</v>
      </c>
      <c r="D7944" s="139" t="s">
        <v>18477</v>
      </c>
    </row>
    <row r="7945" spans="1:4" x14ac:dyDescent="0.25">
      <c r="A7945" s="139" t="s">
        <v>18478</v>
      </c>
      <c r="B7945" s="139" t="s">
        <v>18479</v>
      </c>
      <c r="C7945" s="139" t="s">
        <v>112</v>
      </c>
      <c r="D7945" s="139" t="s">
        <v>18480</v>
      </c>
    </row>
    <row r="7946" spans="1:4" x14ac:dyDescent="0.25">
      <c r="A7946" s="139" t="s">
        <v>18481</v>
      </c>
      <c r="B7946" s="139" t="s">
        <v>18479</v>
      </c>
      <c r="C7946" s="139" t="s">
        <v>112</v>
      </c>
      <c r="D7946" s="139" t="s">
        <v>18482</v>
      </c>
    </row>
    <row r="7947" spans="1:4" x14ac:dyDescent="0.25">
      <c r="A7947" s="139" t="s">
        <v>18483</v>
      </c>
      <c r="B7947" s="139" t="s">
        <v>18484</v>
      </c>
      <c r="C7947" s="139" t="s">
        <v>112</v>
      </c>
      <c r="D7947" s="139" t="s">
        <v>18485</v>
      </c>
    </row>
    <row r="7948" spans="1:4" x14ac:dyDescent="0.25">
      <c r="A7948" s="139" t="s">
        <v>18486</v>
      </c>
      <c r="B7948" s="139" t="s">
        <v>18484</v>
      </c>
      <c r="C7948" s="139" t="s">
        <v>112</v>
      </c>
      <c r="D7948" s="139" t="s">
        <v>18487</v>
      </c>
    </row>
    <row r="7949" spans="1:4" x14ac:dyDescent="0.25">
      <c r="A7949" s="139" t="s">
        <v>18488</v>
      </c>
      <c r="B7949" s="139" t="s">
        <v>18489</v>
      </c>
      <c r="C7949" s="139" t="s">
        <v>112</v>
      </c>
      <c r="D7949" s="139" t="s">
        <v>18490</v>
      </c>
    </row>
    <row r="7950" spans="1:4" x14ac:dyDescent="0.25">
      <c r="A7950" s="139" t="s">
        <v>18491</v>
      </c>
      <c r="B7950" s="139" t="s">
        <v>18489</v>
      </c>
      <c r="C7950" s="139" t="s">
        <v>112</v>
      </c>
      <c r="D7950" s="139" t="s">
        <v>18492</v>
      </c>
    </row>
    <row r="7951" spans="1:4" x14ac:dyDescent="0.25">
      <c r="A7951" s="139" t="s">
        <v>18493</v>
      </c>
      <c r="B7951" s="139" t="s">
        <v>18494</v>
      </c>
      <c r="C7951" s="139" t="s">
        <v>112</v>
      </c>
      <c r="D7951" s="139" t="s">
        <v>18495</v>
      </c>
    </row>
    <row r="7952" spans="1:4" x14ac:dyDescent="0.25">
      <c r="A7952" s="139" t="s">
        <v>18496</v>
      </c>
      <c r="B7952" s="139" t="s">
        <v>18494</v>
      </c>
      <c r="C7952" s="139" t="s">
        <v>112</v>
      </c>
      <c r="D7952" s="139" t="s">
        <v>18497</v>
      </c>
    </row>
    <row r="7953" spans="1:4" x14ac:dyDescent="0.25">
      <c r="A7953" s="139" t="s">
        <v>18498</v>
      </c>
      <c r="B7953" s="139" t="s">
        <v>18499</v>
      </c>
      <c r="C7953" s="139" t="s">
        <v>112</v>
      </c>
      <c r="D7953" s="139" t="s">
        <v>18500</v>
      </c>
    </row>
    <row r="7954" spans="1:4" x14ac:dyDescent="0.25">
      <c r="A7954" s="139" t="s">
        <v>18501</v>
      </c>
      <c r="B7954" s="139" t="s">
        <v>18499</v>
      </c>
      <c r="C7954" s="139" t="s">
        <v>112</v>
      </c>
      <c r="D7954" s="139" t="s">
        <v>18502</v>
      </c>
    </row>
    <row r="7955" spans="1:4" x14ac:dyDescent="0.25">
      <c r="A7955" s="139" t="s">
        <v>18503</v>
      </c>
      <c r="B7955" s="139" t="s">
        <v>18504</v>
      </c>
      <c r="C7955" s="139" t="s">
        <v>112</v>
      </c>
      <c r="D7955" s="139" t="s">
        <v>18505</v>
      </c>
    </row>
    <row r="7956" spans="1:4" x14ac:dyDescent="0.25">
      <c r="A7956" s="139" t="s">
        <v>18506</v>
      </c>
      <c r="B7956" s="139" t="s">
        <v>18504</v>
      </c>
      <c r="C7956" s="139" t="s">
        <v>112</v>
      </c>
      <c r="D7956" s="139" t="s">
        <v>18507</v>
      </c>
    </row>
    <row r="7957" spans="1:4" x14ac:dyDescent="0.25">
      <c r="A7957" s="139" t="s">
        <v>18508</v>
      </c>
      <c r="B7957" s="139" t="s">
        <v>18509</v>
      </c>
      <c r="C7957" s="139" t="s">
        <v>112</v>
      </c>
      <c r="D7957" s="139" t="s">
        <v>18510</v>
      </c>
    </row>
    <row r="7958" spans="1:4" x14ac:dyDescent="0.25">
      <c r="A7958" s="139" t="s">
        <v>18511</v>
      </c>
      <c r="B7958" s="139" t="s">
        <v>18509</v>
      </c>
      <c r="C7958" s="139" t="s">
        <v>112</v>
      </c>
      <c r="D7958" s="139" t="s">
        <v>18512</v>
      </c>
    </row>
    <row r="7959" spans="1:4" x14ac:dyDescent="0.25">
      <c r="A7959" s="139" t="s">
        <v>18513</v>
      </c>
      <c r="B7959" s="139" t="s">
        <v>18514</v>
      </c>
      <c r="C7959" s="139" t="s">
        <v>112</v>
      </c>
      <c r="D7959" s="139" t="s">
        <v>18515</v>
      </c>
    </row>
    <row r="7960" spans="1:4" x14ac:dyDescent="0.25">
      <c r="A7960" s="139" t="s">
        <v>18516</v>
      </c>
      <c r="B7960" s="139" t="s">
        <v>18514</v>
      </c>
      <c r="C7960" s="139" t="s">
        <v>112</v>
      </c>
      <c r="D7960" s="139" t="s">
        <v>18517</v>
      </c>
    </row>
    <row r="7961" spans="1:4" x14ac:dyDescent="0.25">
      <c r="A7961" s="139" t="s">
        <v>18518</v>
      </c>
      <c r="B7961" s="139" t="s">
        <v>18519</v>
      </c>
      <c r="C7961" s="139" t="s">
        <v>112</v>
      </c>
      <c r="D7961" s="139" t="s">
        <v>18520</v>
      </c>
    </row>
    <row r="7962" spans="1:4" x14ac:dyDescent="0.25">
      <c r="A7962" s="139" t="s">
        <v>18521</v>
      </c>
      <c r="B7962" s="139" t="s">
        <v>18519</v>
      </c>
      <c r="C7962" s="139" t="s">
        <v>112</v>
      </c>
      <c r="D7962" s="139" t="s">
        <v>18522</v>
      </c>
    </row>
    <row r="7963" spans="1:4" x14ac:dyDescent="0.25">
      <c r="A7963" s="139" t="s">
        <v>18523</v>
      </c>
      <c r="B7963" s="139" t="s">
        <v>18524</v>
      </c>
      <c r="C7963" s="139" t="s">
        <v>112</v>
      </c>
      <c r="D7963" s="139" t="s">
        <v>18525</v>
      </c>
    </row>
    <row r="7964" spans="1:4" x14ac:dyDescent="0.25">
      <c r="A7964" s="139" t="s">
        <v>18526</v>
      </c>
      <c r="B7964" s="139" t="s">
        <v>18524</v>
      </c>
      <c r="C7964" s="139" t="s">
        <v>112</v>
      </c>
      <c r="D7964" s="139" t="s">
        <v>18527</v>
      </c>
    </row>
    <row r="7965" spans="1:4" x14ac:dyDescent="0.25">
      <c r="A7965" s="139" t="s">
        <v>18528</v>
      </c>
      <c r="B7965" s="139" t="s">
        <v>18529</v>
      </c>
      <c r="C7965" s="139" t="s">
        <v>112</v>
      </c>
      <c r="D7965" s="139" t="s">
        <v>18530</v>
      </c>
    </row>
    <row r="7966" spans="1:4" x14ac:dyDescent="0.25">
      <c r="A7966" s="139" t="s">
        <v>18531</v>
      </c>
      <c r="B7966" s="139" t="s">
        <v>18529</v>
      </c>
      <c r="C7966" s="139" t="s">
        <v>112</v>
      </c>
      <c r="D7966" s="139" t="s">
        <v>18532</v>
      </c>
    </row>
    <row r="7967" spans="1:4" x14ac:dyDescent="0.25">
      <c r="A7967" s="139" t="s">
        <v>18533</v>
      </c>
      <c r="B7967" s="139" t="s">
        <v>18534</v>
      </c>
      <c r="C7967" s="139" t="s">
        <v>112</v>
      </c>
      <c r="D7967" s="139" t="s">
        <v>18535</v>
      </c>
    </row>
    <row r="7968" spans="1:4" x14ac:dyDescent="0.25">
      <c r="A7968" s="139" t="s">
        <v>18536</v>
      </c>
      <c r="B7968" s="139" t="s">
        <v>18534</v>
      </c>
      <c r="C7968" s="139" t="s">
        <v>112</v>
      </c>
      <c r="D7968" s="139" t="s">
        <v>18537</v>
      </c>
    </row>
    <row r="7969" spans="1:4" x14ac:dyDescent="0.25">
      <c r="A7969" s="139" t="s">
        <v>18538</v>
      </c>
      <c r="B7969" s="139" t="s">
        <v>18539</v>
      </c>
      <c r="C7969" s="139" t="s">
        <v>112</v>
      </c>
      <c r="D7969" s="139" t="s">
        <v>18540</v>
      </c>
    </row>
    <row r="7970" spans="1:4" x14ac:dyDescent="0.25">
      <c r="A7970" s="139" t="s">
        <v>18541</v>
      </c>
      <c r="B7970" s="139" t="s">
        <v>18539</v>
      </c>
      <c r="C7970" s="139" t="s">
        <v>112</v>
      </c>
      <c r="D7970" s="139" t="s">
        <v>18542</v>
      </c>
    </row>
    <row r="7971" spans="1:4" x14ac:dyDescent="0.25">
      <c r="A7971" s="139" t="s">
        <v>18543</v>
      </c>
      <c r="B7971" s="139" t="s">
        <v>18544</v>
      </c>
      <c r="C7971" s="139" t="s">
        <v>112</v>
      </c>
      <c r="D7971" s="139" t="s">
        <v>18545</v>
      </c>
    </row>
    <row r="7972" spans="1:4" x14ac:dyDescent="0.25">
      <c r="A7972" s="139" t="s">
        <v>18546</v>
      </c>
      <c r="B7972" s="139" t="s">
        <v>18544</v>
      </c>
      <c r="C7972" s="139" t="s">
        <v>112</v>
      </c>
      <c r="D7972" s="139" t="s">
        <v>18547</v>
      </c>
    </row>
    <row r="7973" spans="1:4" x14ac:dyDescent="0.25">
      <c r="A7973" s="139" t="s">
        <v>18548</v>
      </c>
      <c r="B7973" s="139" t="s">
        <v>18549</v>
      </c>
      <c r="C7973" s="139" t="s">
        <v>112</v>
      </c>
      <c r="D7973" s="139" t="s">
        <v>18550</v>
      </c>
    </row>
    <row r="7974" spans="1:4" x14ac:dyDescent="0.25">
      <c r="A7974" s="139" t="s">
        <v>18551</v>
      </c>
      <c r="B7974" s="139" t="s">
        <v>18549</v>
      </c>
      <c r="C7974" s="139" t="s">
        <v>112</v>
      </c>
      <c r="D7974" s="139" t="s">
        <v>18552</v>
      </c>
    </row>
    <row r="7975" spans="1:4" x14ac:dyDescent="0.25">
      <c r="A7975" s="139" t="s">
        <v>18553</v>
      </c>
      <c r="B7975" s="139" t="s">
        <v>18554</v>
      </c>
      <c r="C7975" s="139" t="s">
        <v>33</v>
      </c>
      <c r="D7975" s="139" t="s">
        <v>18555</v>
      </c>
    </row>
    <row r="7976" spans="1:4" x14ac:dyDescent="0.25">
      <c r="A7976" s="139" t="s">
        <v>18556</v>
      </c>
      <c r="B7976" s="139" t="s">
        <v>18554</v>
      </c>
      <c r="C7976" s="139" t="s">
        <v>33</v>
      </c>
      <c r="D7976" s="139" t="s">
        <v>18557</v>
      </c>
    </row>
    <row r="7977" spans="1:4" x14ac:dyDescent="0.25">
      <c r="A7977" s="139" t="s">
        <v>18558</v>
      </c>
      <c r="B7977" s="139" t="s">
        <v>18559</v>
      </c>
      <c r="C7977" s="139" t="s">
        <v>33</v>
      </c>
      <c r="D7977" s="139" t="s">
        <v>18560</v>
      </c>
    </row>
    <row r="7978" spans="1:4" x14ac:dyDescent="0.25">
      <c r="A7978" s="139" t="s">
        <v>18561</v>
      </c>
      <c r="B7978" s="139" t="s">
        <v>18559</v>
      </c>
      <c r="C7978" s="139" t="s">
        <v>33</v>
      </c>
      <c r="D7978" s="139" t="s">
        <v>18562</v>
      </c>
    </row>
    <row r="7979" spans="1:4" x14ac:dyDescent="0.25">
      <c r="A7979" s="139" t="s">
        <v>18563</v>
      </c>
      <c r="B7979" s="139" t="s">
        <v>18564</v>
      </c>
      <c r="C7979" s="139" t="s">
        <v>33</v>
      </c>
      <c r="D7979" s="139" t="s">
        <v>18565</v>
      </c>
    </row>
    <row r="7980" spans="1:4" x14ac:dyDescent="0.25">
      <c r="A7980" s="139" t="s">
        <v>18566</v>
      </c>
      <c r="B7980" s="139" t="s">
        <v>18564</v>
      </c>
      <c r="C7980" s="139" t="s">
        <v>33</v>
      </c>
      <c r="D7980" s="139" t="s">
        <v>18567</v>
      </c>
    </row>
    <row r="7981" spans="1:4" x14ac:dyDescent="0.25">
      <c r="A7981" s="139" t="s">
        <v>18568</v>
      </c>
      <c r="B7981" s="139" t="s">
        <v>18569</v>
      </c>
      <c r="C7981" s="139" t="s">
        <v>33</v>
      </c>
      <c r="D7981" s="139" t="s">
        <v>18570</v>
      </c>
    </row>
    <row r="7982" spans="1:4" x14ac:dyDescent="0.25">
      <c r="A7982" s="139" t="s">
        <v>18571</v>
      </c>
      <c r="B7982" s="139" t="s">
        <v>18569</v>
      </c>
      <c r="C7982" s="139" t="s">
        <v>33</v>
      </c>
      <c r="D7982" s="139" t="s">
        <v>18572</v>
      </c>
    </row>
    <row r="7983" spans="1:4" x14ac:dyDescent="0.25">
      <c r="A7983" s="139" t="s">
        <v>18573</v>
      </c>
      <c r="B7983" s="139" t="s">
        <v>18574</v>
      </c>
      <c r="C7983" s="139" t="s">
        <v>658</v>
      </c>
      <c r="D7983" s="139" t="s">
        <v>18575</v>
      </c>
    </row>
    <row r="7984" spans="1:4" x14ac:dyDescent="0.25">
      <c r="A7984" s="139" t="s">
        <v>18576</v>
      </c>
      <c r="B7984" s="139" t="s">
        <v>18574</v>
      </c>
      <c r="C7984" s="139" t="s">
        <v>658</v>
      </c>
      <c r="D7984" s="139" t="s">
        <v>18577</v>
      </c>
    </row>
    <row r="7985" spans="1:4" x14ac:dyDescent="0.25">
      <c r="A7985" s="139" t="s">
        <v>18578</v>
      </c>
      <c r="B7985" s="139" t="s">
        <v>18579</v>
      </c>
      <c r="C7985" s="139" t="s">
        <v>65</v>
      </c>
      <c r="D7985" s="139" t="s">
        <v>18580</v>
      </c>
    </row>
    <row r="7986" spans="1:4" x14ac:dyDescent="0.25">
      <c r="A7986" s="139" t="s">
        <v>18581</v>
      </c>
      <c r="B7986" s="139" t="s">
        <v>18579</v>
      </c>
      <c r="C7986" s="139" t="s">
        <v>65</v>
      </c>
      <c r="D7986" s="139" t="s">
        <v>18582</v>
      </c>
    </row>
    <row r="7987" spans="1:4" x14ac:dyDescent="0.25">
      <c r="A7987" s="139" t="s">
        <v>18583</v>
      </c>
      <c r="B7987" s="139" t="s">
        <v>18584</v>
      </c>
      <c r="C7987" s="139" t="s">
        <v>65</v>
      </c>
      <c r="D7987" s="139" t="s">
        <v>18585</v>
      </c>
    </row>
    <row r="7988" spans="1:4" x14ac:dyDescent="0.25">
      <c r="A7988" s="139" t="s">
        <v>18586</v>
      </c>
      <c r="B7988" s="139" t="s">
        <v>18584</v>
      </c>
      <c r="C7988" s="139" t="s">
        <v>65</v>
      </c>
      <c r="D7988" s="139" t="s">
        <v>18587</v>
      </c>
    </row>
    <row r="7989" spans="1:4" x14ac:dyDescent="0.25">
      <c r="A7989" s="139" t="s">
        <v>18588</v>
      </c>
      <c r="B7989" s="139" t="s">
        <v>18589</v>
      </c>
      <c r="C7989" s="139" t="s">
        <v>33</v>
      </c>
      <c r="D7989" s="139" t="s">
        <v>18590</v>
      </c>
    </row>
    <row r="7990" spans="1:4" x14ac:dyDescent="0.25">
      <c r="A7990" s="139" t="s">
        <v>18591</v>
      </c>
      <c r="B7990" s="139" t="s">
        <v>18589</v>
      </c>
      <c r="C7990" s="139" t="s">
        <v>33</v>
      </c>
      <c r="D7990" s="139" t="s">
        <v>18592</v>
      </c>
    </row>
    <row r="7991" spans="1:4" x14ac:dyDescent="0.25">
      <c r="A7991" s="139" t="s">
        <v>18593</v>
      </c>
      <c r="B7991" s="139" t="s">
        <v>18594</v>
      </c>
      <c r="C7991" s="139" t="s">
        <v>33</v>
      </c>
      <c r="D7991" s="139" t="s">
        <v>18595</v>
      </c>
    </row>
    <row r="7992" spans="1:4" x14ac:dyDescent="0.25">
      <c r="A7992" s="139" t="s">
        <v>18596</v>
      </c>
      <c r="B7992" s="139" t="s">
        <v>18594</v>
      </c>
      <c r="C7992" s="139" t="s">
        <v>33</v>
      </c>
      <c r="D7992" s="139" t="s">
        <v>18597</v>
      </c>
    </row>
    <row r="7993" spans="1:4" x14ac:dyDescent="0.25">
      <c r="A7993" s="139" t="s">
        <v>18598</v>
      </c>
      <c r="B7993" s="139" t="s">
        <v>14795</v>
      </c>
      <c r="C7993" s="139" t="s">
        <v>65</v>
      </c>
      <c r="D7993" s="139" t="s">
        <v>18599</v>
      </c>
    </row>
    <row r="7994" spans="1:4" x14ac:dyDescent="0.25">
      <c r="A7994" s="139" t="s">
        <v>18600</v>
      </c>
      <c r="B7994" s="139" t="s">
        <v>14795</v>
      </c>
      <c r="C7994" s="139" t="s">
        <v>65</v>
      </c>
      <c r="D7994" s="139" t="s">
        <v>18601</v>
      </c>
    </row>
    <row r="7995" spans="1:4" x14ac:dyDescent="0.25">
      <c r="A7995" s="139" t="s">
        <v>18602</v>
      </c>
      <c r="B7995" s="139" t="s">
        <v>18603</v>
      </c>
      <c r="C7995" s="139" t="s">
        <v>65</v>
      </c>
      <c r="D7995" s="139" t="s">
        <v>18604</v>
      </c>
    </row>
    <row r="7996" spans="1:4" x14ac:dyDescent="0.25">
      <c r="A7996" s="139" t="s">
        <v>18605</v>
      </c>
      <c r="B7996" s="139" t="s">
        <v>18603</v>
      </c>
      <c r="C7996" s="139" t="s">
        <v>65</v>
      </c>
      <c r="D7996" s="139" t="s">
        <v>18606</v>
      </c>
    </row>
    <row r="7997" spans="1:4" x14ac:dyDescent="0.25">
      <c r="A7997" s="139" t="s">
        <v>18607</v>
      </c>
      <c r="B7997" s="139" t="s">
        <v>18608</v>
      </c>
      <c r="C7997" s="139" t="s">
        <v>65</v>
      </c>
      <c r="D7997" s="139" t="s">
        <v>18609</v>
      </c>
    </row>
    <row r="7998" spans="1:4" x14ac:dyDescent="0.25">
      <c r="A7998" s="139" t="s">
        <v>18610</v>
      </c>
      <c r="B7998" s="139" t="s">
        <v>18608</v>
      </c>
      <c r="C7998" s="139" t="s">
        <v>65</v>
      </c>
      <c r="D7998" s="139" t="s">
        <v>18611</v>
      </c>
    </row>
    <row r="7999" spans="1:4" x14ac:dyDescent="0.25">
      <c r="A7999" s="139" t="s">
        <v>18612</v>
      </c>
      <c r="B7999" s="139" t="s">
        <v>18613</v>
      </c>
      <c r="C7999" s="139" t="s">
        <v>65</v>
      </c>
      <c r="D7999" s="139" t="s">
        <v>18614</v>
      </c>
    </row>
    <row r="8000" spans="1:4" x14ac:dyDescent="0.25">
      <c r="A8000" s="139" t="s">
        <v>18615</v>
      </c>
      <c r="B8000" s="139" t="s">
        <v>18613</v>
      </c>
      <c r="C8000" s="139" t="s">
        <v>65</v>
      </c>
      <c r="D8000" s="139" t="s">
        <v>18616</v>
      </c>
    </row>
    <row r="8001" spans="1:4" x14ac:dyDescent="0.25">
      <c r="A8001" s="139" t="s">
        <v>18617</v>
      </c>
      <c r="B8001" s="139" t="s">
        <v>16978</v>
      </c>
      <c r="C8001" s="139" t="s">
        <v>65</v>
      </c>
      <c r="D8001" s="139" t="s">
        <v>18618</v>
      </c>
    </row>
    <row r="8002" spans="1:4" x14ac:dyDescent="0.25">
      <c r="A8002" s="139" t="s">
        <v>18619</v>
      </c>
      <c r="B8002" s="139" t="s">
        <v>16986</v>
      </c>
      <c r="C8002" s="139" t="s">
        <v>65</v>
      </c>
      <c r="D8002" s="139" t="s">
        <v>18620</v>
      </c>
    </row>
    <row r="8003" spans="1:4" x14ac:dyDescent="0.25">
      <c r="A8003" s="139" t="s">
        <v>18621</v>
      </c>
      <c r="B8003" s="139" t="s">
        <v>13443</v>
      </c>
      <c r="C8003" s="139" t="s">
        <v>65</v>
      </c>
      <c r="D8003" s="139" t="s">
        <v>18622</v>
      </c>
    </row>
    <row r="8004" spans="1:4" x14ac:dyDescent="0.25">
      <c r="A8004" s="139" t="s">
        <v>18623</v>
      </c>
      <c r="B8004" s="139" t="s">
        <v>13443</v>
      </c>
      <c r="C8004" s="139" t="s">
        <v>65</v>
      </c>
      <c r="D8004" s="139" t="s">
        <v>18624</v>
      </c>
    </row>
    <row r="8005" spans="1:4" x14ac:dyDescent="0.25">
      <c r="A8005" s="139" t="s">
        <v>18625</v>
      </c>
      <c r="B8005" s="139" t="s">
        <v>16989</v>
      </c>
      <c r="C8005" s="139" t="s">
        <v>65</v>
      </c>
      <c r="D8005" s="139" t="s">
        <v>18626</v>
      </c>
    </row>
    <row r="8006" spans="1:4" x14ac:dyDescent="0.25">
      <c r="A8006" s="139" t="s">
        <v>18627</v>
      </c>
      <c r="B8006" s="139" t="s">
        <v>17699</v>
      </c>
      <c r="C8006" s="139" t="s">
        <v>65</v>
      </c>
      <c r="D8006" s="139" t="s">
        <v>18628</v>
      </c>
    </row>
    <row r="8007" spans="1:4" x14ac:dyDescent="0.25">
      <c r="A8007" s="139" t="s">
        <v>18629</v>
      </c>
      <c r="B8007" s="139" t="s">
        <v>17699</v>
      </c>
      <c r="C8007" s="139" t="s">
        <v>65</v>
      </c>
      <c r="D8007" s="139" t="s">
        <v>18630</v>
      </c>
    </row>
    <row r="8008" spans="1:4" x14ac:dyDescent="0.25">
      <c r="A8008" s="139" t="s">
        <v>18631</v>
      </c>
      <c r="B8008" s="139" t="s">
        <v>18632</v>
      </c>
      <c r="C8008" s="139" t="s">
        <v>33</v>
      </c>
      <c r="D8008" s="139" t="s">
        <v>18633</v>
      </c>
    </row>
    <row r="8009" spans="1:4" x14ac:dyDescent="0.25">
      <c r="A8009" s="139" t="s">
        <v>18634</v>
      </c>
      <c r="B8009" s="139" t="s">
        <v>18632</v>
      </c>
      <c r="C8009" s="139" t="s">
        <v>33</v>
      </c>
      <c r="D8009" s="139" t="s">
        <v>18635</v>
      </c>
    </row>
    <row r="8010" spans="1:4" x14ac:dyDescent="0.25">
      <c r="A8010" s="139" t="s">
        <v>18636</v>
      </c>
      <c r="B8010" s="139" t="s">
        <v>18637</v>
      </c>
      <c r="C8010" s="139" t="s">
        <v>33</v>
      </c>
      <c r="D8010" s="139" t="s">
        <v>18638</v>
      </c>
    </row>
    <row r="8011" spans="1:4" x14ac:dyDescent="0.25">
      <c r="A8011" s="139" t="s">
        <v>18639</v>
      </c>
      <c r="B8011" s="139" t="s">
        <v>18637</v>
      </c>
      <c r="C8011" s="139" t="s">
        <v>33</v>
      </c>
      <c r="D8011" s="139" t="s">
        <v>18640</v>
      </c>
    </row>
    <row r="8012" spans="1:4" x14ac:dyDescent="0.25">
      <c r="A8012" s="139" t="s">
        <v>18641</v>
      </c>
      <c r="B8012" s="139" t="s">
        <v>18642</v>
      </c>
      <c r="C8012" s="139" t="s">
        <v>33</v>
      </c>
      <c r="D8012" s="139" t="s">
        <v>18643</v>
      </c>
    </row>
    <row r="8013" spans="1:4" x14ac:dyDescent="0.25">
      <c r="A8013" s="139" t="s">
        <v>18644</v>
      </c>
      <c r="B8013" s="139" t="s">
        <v>18642</v>
      </c>
      <c r="C8013" s="139" t="s">
        <v>33</v>
      </c>
      <c r="D8013" s="139" t="s">
        <v>18645</v>
      </c>
    </row>
    <row r="8014" spans="1:4" x14ac:dyDescent="0.25">
      <c r="A8014" s="139" t="s">
        <v>18646</v>
      </c>
      <c r="B8014" s="139" t="s">
        <v>18647</v>
      </c>
      <c r="C8014" s="139" t="s">
        <v>33</v>
      </c>
      <c r="D8014" s="139" t="s">
        <v>18648</v>
      </c>
    </row>
    <row r="8015" spans="1:4" x14ac:dyDescent="0.25">
      <c r="A8015" s="139" t="s">
        <v>18649</v>
      </c>
      <c r="B8015" s="139" t="s">
        <v>18647</v>
      </c>
      <c r="C8015" s="139" t="s">
        <v>33</v>
      </c>
      <c r="D8015" s="139" t="s">
        <v>18650</v>
      </c>
    </row>
    <row r="8016" spans="1:4" x14ac:dyDescent="0.25">
      <c r="A8016" s="139" t="s">
        <v>18651</v>
      </c>
      <c r="B8016" s="139" t="s">
        <v>1927</v>
      </c>
      <c r="C8016" s="139" t="s">
        <v>4913</v>
      </c>
      <c r="D8016" s="139" t="s">
        <v>18652</v>
      </c>
    </row>
    <row r="8017" spans="1:4" x14ac:dyDescent="0.25">
      <c r="A8017" s="139" t="s">
        <v>18653</v>
      </c>
      <c r="B8017" s="139" t="s">
        <v>1927</v>
      </c>
      <c r="C8017" s="139" t="s">
        <v>4913</v>
      </c>
      <c r="D8017" s="139" t="s">
        <v>18654</v>
      </c>
    </row>
    <row r="8018" spans="1:4" x14ac:dyDescent="0.25">
      <c r="A8018" s="139" t="s">
        <v>18655</v>
      </c>
      <c r="B8018" s="139" t="s">
        <v>18656</v>
      </c>
      <c r="C8018" s="139" t="s">
        <v>127</v>
      </c>
      <c r="D8018" s="139" t="s">
        <v>18657</v>
      </c>
    </row>
    <row r="8019" spans="1:4" x14ac:dyDescent="0.25">
      <c r="A8019" s="139" t="s">
        <v>18658</v>
      </c>
      <c r="B8019" s="139" t="s">
        <v>18656</v>
      </c>
      <c r="C8019" s="139" t="s">
        <v>127</v>
      </c>
      <c r="D8019" s="139" t="s">
        <v>18659</v>
      </c>
    </row>
    <row r="8020" spans="1:4" x14ac:dyDescent="0.25">
      <c r="A8020" s="139" t="s">
        <v>18660</v>
      </c>
      <c r="B8020" s="139" t="s">
        <v>18201</v>
      </c>
      <c r="C8020" s="139" t="s">
        <v>658</v>
      </c>
      <c r="D8020" s="139" t="s">
        <v>18661</v>
      </c>
    </row>
    <row r="8021" spans="1:4" x14ac:dyDescent="0.25">
      <c r="A8021" s="139" t="s">
        <v>18662</v>
      </c>
      <c r="B8021" s="139" t="s">
        <v>18201</v>
      </c>
      <c r="C8021" s="139" t="s">
        <v>658</v>
      </c>
      <c r="D8021" s="139" t="s">
        <v>18663</v>
      </c>
    </row>
    <row r="8022" spans="1:4" x14ac:dyDescent="0.25">
      <c r="A8022" s="139" t="s">
        <v>18664</v>
      </c>
      <c r="B8022" s="139" t="s">
        <v>18665</v>
      </c>
      <c r="C8022" s="139" t="s">
        <v>127</v>
      </c>
      <c r="D8022" s="139" t="s">
        <v>18666</v>
      </c>
    </row>
    <row r="8023" spans="1:4" x14ac:dyDescent="0.25">
      <c r="A8023" s="139" t="s">
        <v>18667</v>
      </c>
      <c r="B8023" s="139" t="s">
        <v>18665</v>
      </c>
      <c r="C8023" s="139" t="s">
        <v>127</v>
      </c>
      <c r="D8023" s="139" t="s">
        <v>18668</v>
      </c>
    </row>
    <row r="8024" spans="1:4" x14ac:dyDescent="0.25">
      <c r="A8024" s="139" t="s">
        <v>18669</v>
      </c>
      <c r="B8024" s="139" t="s">
        <v>14491</v>
      </c>
      <c r="C8024" s="139" t="s">
        <v>658</v>
      </c>
      <c r="D8024" s="139" t="s">
        <v>18670</v>
      </c>
    </row>
    <row r="8025" spans="1:4" x14ac:dyDescent="0.25">
      <c r="A8025" s="139" t="s">
        <v>18671</v>
      </c>
      <c r="B8025" s="139" t="s">
        <v>14491</v>
      </c>
      <c r="C8025" s="139" t="s">
        <v>658</v>
      </c>
      <c r="D8025" s="139" t="s">
        <v>18672</v>
      </c>
    </row>
    <row r="8026" spans="1:4" x14ac:dyDescent="0.25">
      <c r="A8026" s="139" t="s">
        <v>18673</v>
      </c>
      <c r="B8026" s="139" t="s">
        <v>6231</v>
      </c>
      <c r="C8026" s="139" t="s">
        <v>658</v>
      </c>
      <c r="D8026" s="139" t="s">
        <v>18674</v>
      </c>
    </row>
    <row r="8027" spans="1:4" x14ac:dyDescent="0.25">
      <c r="A8027" s="139" t="s">
        <v>18675</v>
      </c>
      <c r="B8027" s="139" t="s">
        <v>6231</v>
      </c>
      <c r="C8027" s="139" t="s">
        <v>658</v>
      </c>
      <c r="D8027" s="139" t="s">
        <v>18676</v>
      </c>
    </row>
    <row r="8028" spans="1:4" x14ac:dyDescent="0.25">
      <c r="A8028" s="139" t="s">
        <v>18677</v>
      </c>
      <c r="B8028" s="139" t="s">
        <v>18678</v>
      </c>
      <c r="C8028" s="139" t="s">
        <v>4913</v>
      </c>
      <c r="D8028" s="139" t="s">
        <v>18679</v>
      </c>
    </row>
    <row r="8029" spans="1:4" x14ac:dyDescent="0.25">
      <c r="A8029" s="139" t="s">
        <v>18680</v>
      </c>
      <c r="B8029" s="139" t="s">
        <v>18678</v>
      </c>
      <c r="C8029" s="139" t="s">
        <v>4913</v>
      </c>
      <c r="D8029" s="139" t="s">
        <v>18681</v>
      </c>
    </row>
    <row r="8030" spans="1:4" x14ac:dyDescent="0.25">
      <c r="A8030" s="139" t="s">
        <v>18682</v>
      </c>
      <c r="B8030" s="139" t="s">
        <v>18683</v>
      </c>
      <c r="C8030" s="139" t="s">
        <v>4913</v>
      </c>
      <c r="D8030" s="139" t="s">
        <v>18684</v>
      </c>
    </row>
    <row r="8031" spans="1:4" x14ac:dyDescent="0.25">
      <c r="A8031" s="139" t="s">
        <v>18685</v>
      </c>
      <c r="B8031" s="139" t="s">
        <v>18683</v>
      </c>
      <c r="C8031" s="139" t="s">
        <v>4913</v>
      </c>
      <c r="D8031" s="139" t="s">
        <v>18686</v>
      </c>
    </row>
    <row r="8032" spans="1:4" x14ac:dyDescent="0.25">
      <c r="A8032" s="139" t="s">
        <v>18687</v>
      </c>
      <c r="B8032" s="139" t="s">
        <v>15688</v>
      </c>
      <c r="C8032" s="139" t="s">
        <v>4913</v>
      </c>
      <c r="D8032" s="139" t="s">
        <v>18688</v>
      </c>
    </row>
    <row r="8033" spans="1:4" x14ac:dyDescent="0.25">
      <c r="A8033" s="139" t="s">
        <v>18689</v>
      </c>
      <c r="B8033" s="139" t="s">
        <v>15688</v>
      </c>
      <c r="C8033" s="139" t="s">
        <v>4913</v>
      </c>
      <c r="D8033" s="139" t="s">
        <v>18690</v>
      </c>
    </row>
    <row r="8034" spans="1:4" x14ac:dyDescent="0.25">
      <c r="A8034" s="139" t="s">
        <v>18691</v>
      </c>
      <c r="B8034" s="139" t="s">
        <v>18692</v>
      </c>
      <c r="C8034" s="139" t="s">
        <v>4913</v>
      </c>
      <c r="D8034" s="139" t="s">
        <v>18693</v>
      </c>
    </row>
    <row r="8035" spans="1:4" x14ac:dyDescent="0.25">
      <c r="A8035" s="139" t="s">
        <v>18694</v>
      </c>
      <c r="B8035" s="139" t="s">
        <v>18692</v>
      </c>
      <c r="C8035" s="139" t="s">
        <v>4913</v>
      </c>
      <c r="D8035" s="139" t="s">
        <v>18695</v>
      </c>
    </row>
    <row r="8036" spans="1:4" x14ac:dyDescent="0.25">
      <c r="A8036" s="139" t="s">
        <v>18696</v>
      </c>
      <c r="B8036" s="139" t="s">
        <v>18697</v>
      </c>
      <c r="C8036" s="139" t="s">
        <v>4913</v>
      </c>
      <c r="D8036" s="139" t="s">
        <v>18698</v>
      </c>
    </row>
    <row r="8037" spans="1:4" x14ac:dyDescent="0.25">
      <c r="A8037" s="139" t="s">
        <v>18699</v>
      </c>
      <c r="B8037" s="139" t="s">
        <v>18697</v>
      </c>
      <c r="C8037" s="139" t="s">
        <v>4913</v>
      </c>
      <c r="D8037" s="139" t="s">
        <v>18700</v>
      </c>
    </row>
    <row r="8038" spans="1:4" x14ac:dyDescent="0.25">
      <c r="A8038" s="139" t="s">
        <v>18701</v>
      </c>
      <c r="B8038" s="139" t="s">
        <v>2098</v>
      </c>
      <c r="C8038" s="139" t="s">
        <v>4913</v>
      </c>
      <c r="D8038" s="139" t="s">
        <v>18702</v>
      </c>
    </row>
    <row r="8039" spans="1:4" x14ac:dyDescent="0.25">
      <c r="A8039" s="139" t="s">
        <v>18703</v>
      </c>
      <c r="B8039" s="139" t="s">
        <v>2098</v>
      </c>
      <c r="C8039" s="139" t="s">
        <v>4913</v>
      </c>
      <c r="D8039" s="139" t="s">
        <v>18704</v>
      </c>
    </row>
    <row r="8040" spans="1:4" x14ac:dyDescent="0.25">
      <c r="A8040" s="139" t="s">
        <v>18705</v>
      </c>
      <c r="B8040" s="139" t="s">
        <v>18402</v>
      </c>
      <c r="C8040" s="139" t="s">
        <v>4913</v>
      </c>
      <c r="D8040" s="139" t="s">
        <v>18706</v>
      </c>
    </row>
    <row r="8041" spans="1:4" x14ac:dyDescent="0.25">
      <c r="A8041" s="139" t="s">
        <v>18707</v>
      </c>
      <c r="B8041" s="139" t="s">
        <v>18402</v>
      </c>
      <c r="C8041" s="139" t="s">
        <v>4913</v>
      </c>
      <c r="D8041" s="139" t="s">
        <v>18708</v>
      </c>
    </row>
    <row r="8042" spans="1:4" x14ac:dyDescent="0.25">
      <c r="A8042" s="139" t="s">
        <v>18709</v>
      </c>
      <c r="B8042" s="139" t="s">
        <v>12941</v>
      </c>
      <c r="C8042" s="139" t="s">
        <v>4913</v>
      </c>
      <c r="D8042" s="139" t="s">
        <v>18710</v>
      </c>
    </row>
    <row r="8043" spans="1:4" x14ac:dyDescent="0.25">
      <c r="A8043" s="139" t="s">
        <v>18711</v>
      </c>
      <c r="B8043" s="139" t="s">
        <v>12941</v>
      </c>
      <c r="C8043" s="139" t="s">
        <v>4913</v>
      </c>
      <c r="D8043" s="139" t="s">
        <v>18712</v>
      </c>
    </row>
    <row r="8044" spans="1:4" x14ac:dyDescent="0.25">
      <c r="A8044" s="139" t="s">
        <v>18713</v>
      </c>
      <c r="B8044" s="139" t="s">
        <v>11004</v>
      </c>
      <c r="C8044" s="139" t="s">
        <v>123</v>
      </c>
      <c r="D8044" s="139" t="s">
        <v>18714</v>
      </c>
    </row>
    <row r="8045" spans="1:4" x14ac:dyDescent="0.25">
      <c r="A8045" s="139" t="s">
        <v>18715</v>
      </c>
      <c r="B8045" s="139" t="s">
        <v>11004</v>
      </c>
      <c r="C8045" s="139" t="s">
        <v>123</v>
      </c>
      <c r="D8045" s="139" t="s">
        <v>18716</v>
      </c>
    </row>
    <row r="8046" spans="1:4" x14ac:dyDescent="0.25">
      <c r="A8046" s="139" t="s">
        <v>18717</v>
      </c>
      <c r="B8046" s="139" t="s">
        <v>18718</v>
      </c>
      <c r="C8046" s="139" t="s">
        <v>535</v>
      </c>
      <c r="D8046" s="139" t="s">
        <v>18719</v>
      </c>
    </row>
    <row r="8047" spans="1:4" x14ac:dyDescent="0.25">
      <c r="A8047" s="139" t="s">
        <v>18720</v>
      </c>
      <c r="B8047" s="139" t="s">
        <v>18718</v>
      </c>
      <c r="C8047" s="139" t="s">
        <v>535</v>
      </c>
      <c r="D8047" s="139" t="s">
        <v>18721</v>
      </c>
    </row>
    <row r="8048" spans="1:4" x14ac:dyDescent="0.25">
      <c r="A8048" s="139" t="s">
        <v>18722</v>
      </c>
      <c r="B8048" s="139" t="s">
        <v>18723</v>
      </c>
      <c r="C8048" s="139" t="s">
        <v>112</v>
      </c>
      <c r="D8048" s="139" t="s">
        <v>18724</v>
      </c>
    </row>
    <row r="8049" spans="1:4" x14ac:dyDescent="0.25">
      <c r="A8049" s="139" t="s">
        <v>18725</v>
      </c>
      <c r="B8049" s="139" t="s">
        <v>18723</v>
      </c>
      <c r="C8049" s="139" t="s">
        <v>112</v>
      </c>
      <c r="D8049" s="139" t="s">
        <v>18726</v>
      </c>
    </row>
    <row r="8050" spans="1:4" x14ac:dyDescent="0.25">
      <c r="A8050" s="139" t="s">
        <v>18727</v>
      </c>
      <c r="B8050" s="139" t="s">
        <v>18728</v>
      </c>
      <c r="C8050" s="139" t="s">
        <v>112</v>
      </c>
      <c r="D8050" s="139" t="s">
        <v>18729</v>
      </c>
    </row>
    <row r="8051" spans="1:4" x14ac:dyDescent="0.25">
      <c r="A8051" s="139" t="s">
        <v>18730</v>
      </c>
      <c r="B8051" s="139" t="s">
        <v>18728</v>
      </c>
      <c r="C8051" s="139" t="s">
        <v>112</v>
      </c>
      <c r="D8051" s="139" t="s">
        <v>18731</v>
      </c>
    </row>
    <row r="8052" spans="1:4" x14ac:dyDescent="0.25">
      <c r="A8052" s="139" t="s">
        <v>18732</v>
      </c>
      <c r="B8052" s="139" t="s">
        <v>18733</v>
      </c>
      <c r="C8052" s="139" t="s">
        <v>112</v>
      </c>
      <c r="D8052" s="139" t="s">
        <v>18734</v>
      </c>
    </row>
    <row r="8053" spans="1:4" x14ac:dyDescent="0.25">
      <c r="A8053" s="139" t="s">
        <v>18735</v>
      </c>
      <c r="B8053" s="139" t="s">
        <v>18733</v>
      </c>
      <c r="C8053" s="139" t="s">
        <v>112</v>
      </c>
      <c r="D8053" s="139" t="s">
        <v>18736</v>
      </c>
    </row>
    <row r="8054" spans="1:4" x14ac:dyDescent="0.25">
      <c r="A8054" s="139" t="s">
        <v>18737</v>
      </c>
      <c r="B8054" s="139" t="s">
        <v>18738</v>
      </c>
      <c r="C8054" s="139" t="s">
        <v>112</v>
      </c>
      <c r="D8054" s="139" t="s">
        <v>18739</v>
      </c>
    </row>
    <row r="8055" spans="1:4" x14ac:dyDescent="0.25">
      <c r="A8055" s="139" t="s">
        <v>18740</v>
      </c>
      <c r="B8055" s="139" t="s">
        <v>18738</v>
      </c>
      <c r="C8055" s="139" t="s">
        <v>112</v>
      </c>
      <c r="D8055" s="139" t="s">
        <v>18741</v>
      </c>
    </row>
    <row r="8056" spans="1:4" x14ac:dyDescent="0.25">
      <c r="A8056" s="139" t="s">
        <v>18742</v>
      </c>
      <c r="B8056" s="139" t="s">
        <v>18743</v>
      </c>
      <c r="C8056" s="139" t="s">
        <v>112</v>
      </c>
      <c r="D8056" s="139" t="s">
        <v>18744</v>
      </c>
    </row>
    <row r="8057" spans="1:4" x14ac:dyDescent="0.25">
      <c r="A8057" s="139" t="s">
        <v>18745</v>
      </c>
      <c r="B8057" s="139" t="s">
        <v>18743</v>
      </c>
      <c r="C8057" s="139" t="s">
        <v>112</v>
      </c>
      <c r="D8057" s="139" t="s">
        <v>18746</v>
      </c>
    </row>
    <row r="8058" spans="1:4" x14ac:dyDescent="0.25">
      <c r="A8058" s="139" t="s">
        <v>18747</v>
      </c>
      <c r="B8058" s="139" t="s">
        <v>18748</v>
      </c>
      <c r="C8058" s="139" t="s">
        <v>112</v>
      </c>
      <c r="D8058" s="139" t="s">
        <v>18749</v>
      </c>
    </row>
    <row r="8059" spans="1:4" x14ac:dyDescent="0.25">
      <c r="A8059" s="139" t="s">
        <v>18750</v>
      </c>
      <c r="B8059" s="139" t="s">
        <v>18748</v>
      </c>
      <c r="C8059" s="139" t="s">
        <v>112</v>
      </c>
      <c r="D8059" s="139" t="s">
        <v>18751</v>
      </c>
    </row>
    <row r="8060" spans="1:4" x14ac:dyDescent="0.25">
      <c r="A8060" s="139" t="s">
        <v>18752</v>
      </c>
      <c r="B8060" s="139" t="s">
        <v>18753</v>
      </c>
      <c r="C8060" s="139" t="s">
        <v>112</v>
      </c>
      <c r="D8060" s="139" t="s">
        <v>18754</v>
      </c>
    </row>
    <row r="8061" spans="1:4" x14ac:dyDescent="0.25">
      <c r="A8061" s="139" t="s">
        <v>18755</v>
      </c>
      <c r="B8061" s="139" t="s">
        <v>18753</v>
      </c>
      <c r="C8061" s="139" t="s">
        <v>112</v>
      </c>
      <c r="D8061" s="139" t="s">
        <v>18756</v>
      </c>
    </row>
    <row r="8062" spans="1:4" x14ac:dyDescent="0.25">
      <c r="A8062" s="139" t="s">
        <v>18757</v>
      </c>
      <c r="B8062" s="139" t="s">
        <v>18758</v>
      </c>
      <c r="C8062" s="139" t="s">
        <v>112</v>
      </c>
      <c r="D8062" s="139" t="s">
        <v>18759</v>
      </c>
    </row>
    <row r="8063" spans="1:4" x14ac:dyDescent="0.25">
      <c r="A8063" s="139" t="s">
        <v>18760</v>
      </c>
      <c r="B8063" s="139" t="s">
        <v>18758</v>
      </c>
      <c r="C8063" s="139" t="s">
        <v>112</v>
      </c>
      <c r="D8063" s="139" t="s">
        <v>18761</v>
      </c>
    </row>
    <row r="8064" spans="1:4" x14ac:dyDescent="0.25">
      <c r="A8064" s="139" t="s">
        <v>18762</v>
      </c>
      <c r="B8064" s="139" t="s">
        <v>18763</v>
      </c>
      <c r="C8064" s="139" t="s">
        <v>112</v>
      </c>
      <c r="D8064" s="139" t="s">
        <v>18764</v>
      </c>
    </row>
    <row r="8065" spans="1:4" x14ac:dyDescent="0.25">
      <c r="A8065" s="139" t="s">
        <v>18765</v>
      </c>
      <c r="B8065" s="139" t="s">
        <v>18763</v>
      </c>
      <c r="C8065" s="139" t="s">
        <v>112</v>
      </c>
      <c r="D8065" s="139" t="s">
        <v>18766</v>
      </c>
    </row>
    <row r="8066" spans="1:4" x14ac:dyDescent="0.25">
      <c r="A8066" s="139" t="s">
        <v>18767</v>
      </c>
      <c r="B8066" s="139" t="s">
        <v>18206</v>
      </c>
      <c r="C8066" s="139" t="s">
        <v>112</v>
      </c>
      <c r="D8066" s="139" t="s">
        <v>18768</v>
      </c>
    </row>
    <row r="8067" spans="1:4" x14ac:dyDescent="0.25">
      <c r="A8067" s="139" t="s">
        <v>18769</v>
      </c>
      <c r="B8067" s="139" t="s">
        <v>18206</v>
      </c>
      <c r="C8067" s="139" t="s">
        <v>112</v>
      </c>
      <c r="D8067" s="139" t="s">
        <v>18770</v>
      </c>
    </row>
    <row r="8068" spans="1:4" x14ac:dyDescent="0.25">
      <c r="A8068" s="139" t="s">
        <v>18771</v>
      </c>
      <c r="B8068" s="139" t="s">
        <v>18772</v>
      </c>
      <c r="C8068" s="139" t="s">
        <v>112</v>
      </c>
      <c r="D8068" s="139" t="s">
        <v>18773</v>
      </c>
    </row>
    <row r="8069" spans="1:4" x14ac:dyDescent="0.25">
      <c r="A8069" s="139" t="s">
        <v>18774</v>
      </c>
      <c r="B8069" s="139" t="s">
        <v>18772</v>
      </c>
      <c r="C8069" s="139" t="s">
        <v>112</v>
      </c>
      <c r="D8069" s="139" t="s">
        <v>18775</v>
      </c>
    </row>
    <row r="8070" spans="1:4" x14ac:dyDescent="0.25">
      <c r="A8070" s="139" t="s">
        <v>18776</v>
      </c>
      <c r="B8070" s="139" t="s">
        <v>18777</v>
      </c>
      <c r="C8070" s="139" t="s">
        <v>112</v>
      </c>
      <c r="D8070" s="139" t="s">
        <v>18778</v>
      </c>
    </row>
    <row r="8071" spans="1:4" x14ac:dyDescent="0.25">
      <c r="A8071" s="139" t="s">
        <v>18779</v>
      </c>
      <c r="B8071" s="139" t="s">
        <v>18777</v>
      </c>
      <c r="C8071" s="139" t="s">
        <v>112</v>
      </c>
      <c r="D8071" s="139" t="s">
        <v>18780</v>
      </c>
    </row>
    <row r="8072" spans="1:4" x14ac:dyDescent="0.25">
      <c r="A8072" s="139" t="s">
        <v>18781</v>
      </c>
      <c r="B8072" s="139" t="s">
        <v>18782</v>
      </c>
      <c r="C8072" s="139" t="s">
        <v>112</v>
      </c>
      <c r="D8072" s="139" t="s">
        <v>18783</v>
      </c>
    </row>
    <row r="8073" spans="1:4" x14ac:dyDescent="0.25">
      <c r="A8073" s="139" t="s">
        <v>18784</v>
      </c>
      <c r="B8073" s="139" t="s">
        <v>18782</v>
      </c>
      <c r="C8073" s="139" t="s">
        <v>112</v>
      </c>
      <c r="D8073" s="139" t="s">
        <v>18785</v>
      </c>
    </row>
    <row r="8074" spans="1:4" x14ac:dyDescent="0.25">
      <c r="A8074" s="139" t="s">
        <v>18786</v>
      </c>
      <c r="B8074" s="139" t="s">
        <v>11343</v>
      </c>
      <c r="C8074" s="139" t="s">
        <v>112</v>
      </c>
      <c r="D8074" s="139" t="s">
        <v>18787</v>
      </c>
    </row>
    <row r="8075" spans="1:4" x14ac:dyDescent="0.25">
      <c r="A8075" s="139" t="s">
        <v>18788</v>
      </c>
      <c r="B8075" s="139" t="s">
        <v>11343</v>
      </c>
      <c r="C8075" s="139" t="s">
        <v>112</v>
      </c>
      <c r="D8075" s="139" t="s">
        <v>18789</v>
      </c>
    </row>
    <row r="8076" spans="1:4" x14ac:dyDescent="0.25">
      <c r="A8076" s="139" t="s">
        <v>18790</v>
      </c>
      <c r="B8076" s="139" t="s">
        <v>18791</v>
      </c>
      <c r="C8076" s="139" t="s">
        <v>112</v>
      </c>
      <c r="D8076" s="139" t="s">
        <v>18792</v>
      </c>
    </row>
    <row r="8077" spans="1:4" x14ac:dyDescent="0.25">
      <c r="A8077" s="139" t="s">
        <v>18793</v>
      </c>
      <c r="B8077" s="139" t="s">
        <v>18791</v>
      </c>
      <c r="C8077" s="139" t="s">
        <v>112</v>
      </c>
      <c r="D8077" s="139" t="s">
        <v>18794</v>
      </c>
    </row>
    <row r="8078" spans="1:4" x14ac:dyDescent="0.25">
      <c r="A8078" s="139" t="s">
        <v>18795</v>
      </c>
      <c r="B8078" s="139" t="s">
        <v>18796</v>
      </c>
      <c r="C8078" s="139" t="s">
        <v>112</v>
      </c>
      <c r="D8078" s="139" t="s">
        <v>18797</v>
      </c>
    </row>
    <row r="8079" spans="1:4" x14ac:dyDescent="0.25">
      <c r="A8079" s="139" t="s">
        <v>18798</v>
      </c>
      <c r="B8079" s="139" t="s">
        <v>18796</v>
      </c>
      <c r="C8079" s="139" t="s">
        <v>112</v>
      </c>
      <c r="D8079" s="139" t="s">
        <v>18799</v>
      </c>
    </row>
    <row r="8080" spans="1:4" x14ac:dyDescent="0.25">
      <c r="A8080" s="139" t="s">
        <v>18800</v>
      </c>
      <c r="B8080" s="139" t="s">
        <v>18801</v>
      </c>
      <c r="C8080" s="139" t="s">
        <v>535</v>
      </c>
      <c r="D8080" s="139" t="s">
        <v>18802</v>
      </c>
    </row>
    <row r="8081" spans="1:4" x14ac:dyDescent="0.25">
      <c r="A8081" s="139" t="s">
        <v>18803</v>
      </c>
      <c r="B8081" s="139" t="s">
        <v>18801</v>
      </c>
      <c r="C8081" s="139" t="s">
        <v>535</v>
      </c>
      <c r="D8081" s="139" t="s">
        <v>18804</v>
      </c>
    </row>
    <row r="8082" spans="1:4" x14ac:dyDescent="0.25">
      <c r="A8082" s="139" t="s">
        <v>18805</v>
      </c>
      <c r="B8082" s="139" t="s">
        <v>18806</v>
      </c>
      <c r="C8082" s="139" t="s">
        <v>535</v>
      </c>
      <c r="D8082" s="139" t="s">
        <v>18807</v>
      </c>
    </row>
    <row r="8083" spans="1:4" x14ac:dyDescent="0.25">
      <c r="A8083" s="139" t="s">
        <v>18808</v>
      </c>
      <c r="B8083" s="139" t="s">
        <v>18806</v>
      </c>
      <c r="C8083" s="139" t="s">
        <v>535</v>
      </c>
      <c r="D8083" s="139" t="s">
        <v>18809</v>
      </c>
    </row>
    <row r="8084" spans="1:4" x14ac:dyDescent="0.25">
      <c r="A8084" s="139" t="s">
        <v>18810</v>
      </c>
      <c r="B8084" s="139" t="s">
        <v>18811</v>
      </c>
      <c r="C8084" s="139" t="s">
        <v>535</v>
      </c>
      <c r="D8084" s="139" t="s">
        <v>18812</v>
      </c>
    </row>
    <row r="8085" spans="1:4" x14ac:dyDescent="0.25">
      <c r="A8085" s="139" t="s">
        <v>18813</v>
      </c>
      <c r="B8085" s="139" t="s">
        <v>18811</v>
      </c>
      <c r="C8085" s="139" t="s">
        <v>535</v>
      </c>
      <c r="D8085" s="139" t="s">
        <v>18814</v>
      </c>
    </row>
    <row r="8086" spans="1:4" x14ac:dyDescent="0.25">
      <c r="A8086" s="139" t="s">
        <v>18815</v>
      </c>
      <c r="B8086" s="139" t="s">
        <v>18816</v>
      </c>
      <c r="C8086" s="139" t="s">
        <v>535</v>
      </c>
      <c r="D8086" s="139" t="s">
        <v>18817</v>
      </c>
    </row>
    <row r="8087" spans="1:4" x14ac:dyDescent="0.25">
      <c r="A8087" s="139" t="s">
        <v>18818</v>
      </c>
      <c r="B8087" s="139" t="s">
        <v>18816</v>
      </c>
      <c r="C8087" s="139" t="s">
        <v>535</v>
      </c>
      <c r="D8087" s="139" t="s">
        <v>18819</v>
      </c>
    </row>
    <row r="8088" spans="1:4" x14ac:dyDescent="0.25">
      <c r="A8088" s="139" t="s">
        <v>18820</v>
      </c>
      <c r="B8088" s="139" t="s">
        <v>18821</v>
      </c>
      <c r="C8088" s="139" t="s">
        <v>535</v>
      </c>
      <c r="D8088" s="139" t="s">
        <v>18822</v>
      </c>
    </row>
    <row r="8089" spans="1:4" x14ac:dyDescent="0.25">
      <c r="A8089" s="139" t="s">
        <v>18823</v>
      </c>
      <c r="B8089" s="139" t="s">
        <v>18821</v>
      </c>
      <c r="C8089" s="139" t="s">
        <v>535</v>
      </c>
      <c r="D8089" s="139" t="s">
        <v>18824</v>
      </c>
    </row>
    <row r="8090" spans="1:4" x14ac:dyDescent="0.25">
      <c r="A8090" s="139" t="s">
        <v>18825</v>
      </c>
      <c r="B8090" s="139" t="s">
        <v>18826</v>
      </c>
      <c r="C8090" s="139" t="s">
        <v>535</v>
      </c>
      <c r="D8090" s="139" t="s">
        <v>18827</v>
      </c>
    </row>
    <row r="8091" spans="1:4" x14ac:dyDescent="0.25">
      <c r="A8091" s="139" t="s">
        <v>18828</v>
      </c>
      <c r="B8091" s="139" t="s">
        <v>18826</v>
      </c>
      <c r="C8091" s="139" t="s">
        <v>535</v>
      </c>
      <c r="D8091" s="139" t="s">
        <v>18829</v>
      </c>
    </row>
    <row r="8092" spans="1:4" x14ac:dyDescent="0.25">
      <c r="A8092" s="139" t="s">
        <v>18830</v>
      </c>
      <c r="B8092" s="139" t="s">
        <v>18831</v>
      </c>
      <c r="C8092" s="139" t="s">
        <v>535</v>
      </c>
      <c r="D8092" s="139" t="s">
        <v>18832</v>
      </c>
    </row>
    <row r="8093" spans="1:4" x14ac:dyDescent="0.25">
      <c r="A8093" s="139" t="s">
        <v>18833</v>
      </c>
      <c r="B8093" s="139" t="s">
        <v>18831</v>
      </c>
      <c r="C8093" s="139" t="s">
        <v>535</v>
      </c>
      <c r="D8093" s="139" t="s">
        <v>18834</v>
      </c>
    </row>
    <row r="8094" spans="1:4" x14ac:dyDescent="0.25">
      <c r="A8094" s="139" t="s">
        <v>18835</v>
      </c>
      <c r="B8094" s="139" t="s">
        <v>18836</v>
      </c>
      <c r="C8094" s="139" t="s">
        <v>535</v>
      </c>
      <c r="D8094" s="139" t="s">
        <v>18837</v>
      </c>
    </row>
    <row r="8095" spans="1:4" x14ac:dyDescent="0.25">
      <c r="A8095" s="139" t="s">
        <v>18838</v>
      </c>
      <c r="B8095" s="139" t="s">
        <v>18836</v>
      </c>
      <c r="C8095" s="139" t="s">
        <v>535</v>
      </c>
      <c r="D8095" s="139" t="s">
        <v>18839</v>
      </c>
    </row>
    <row r="8096" spans="1:4" x14ac:dyDescent="0.25">
      <c r="A8096" s="139" t="s">
        <v>18840</v>
      </c>
      <c r="B8096" s="139" t="s">
        <v>18841</v>
      </c>
      <c r="C8096" s="139" t="s">
        <v>535</v>
      </c>
      <c r="D8096" s="139" t="s">
        <v>18842</v>
      </c>
    </row>
    <row r="8097" spans="1:4" x14ac:dyDescent="0.25">
      <c r="A8097" s="139" t="s">
        <v>18843</v>
      </c>
      <c r="B8097" s="139" t="s">
        <v>18841</v>
      </c>
      <c r="C8097" s="139" t="s">
        <v>535</v>
      </c>
      <c r="D8097" s="139" t="s">
        <v>18844</v>
      </c>
    </row>
    <row r="8098" spans="1:4" x14ac:dyDescent="0.25">
      <c r="A8098" s="139" t="s">
        <v>18845</v>
      </c>
      <c r="B8098" s="139" t="s">
        <v>18846</v>
      </c>
      <c r="C8098" s="139" t="s">
        <v>535</v>
      </c>
      <c r="D8098" s="139" t="s">
        <v>18847</v>
      </c>
    </row>
    <row r="8099" spans="1:4" x14ac:dyDescent="0.25">
      <c r="A8099" s="139" t="s">
        <v>18848</v>
      </c>
      <c r="B8099" s="139" t="s">
        <v>18846</v>
      </c>
      <c r="C8099" s="139" t="s">
        <v>535</v>
      </c>
      <c r="D8099" s="139" t="s">
        <v>18849</v>
      </c>
    </row>
    <row r="8100" spans="1:4" x14ac:dyDescent="0.25">
      <c r="A8100" s="139" t="s">
        <v>18850</v>
      </c>
      <c r="B8100" s="139" t="s">
        <v>14563</v>
      </c>
      <c r="C8100" s="139" t="s">
        <v>535</v>
      </c>
      <c r="D8100" s="139" t="s">
        <v>18851</v>
      </c>
    </row>
    <row r="8101" spans="1:4" x14ac:dyDescent="0.25">
      <c r="A8101" s="139" t="s">
        <v>18852</v>
      </c>
      <c r="B8101" s="139" t="s">
        <v>14563</v>
      </c>
      <c r="C8101" s="139" t="s">
        <v>535</v>
      </c>
      <c r="D8101" s="139" t="s">
        <v>18853</v>
      </c>
    </row>
    <row r="8102" spans="1:4" x14ac:dyDescent="0.25">
      <c r="A8102" s="139" t="s">
        <v>18854</v>
      </c>
      <c r="B8102" s="139" t="s">
        <v>11193</v>
      </c>
      <c r="C8102" s="139" t="s">
        <v>535</v>
      </c>
      <c r="D8102" s="139" t="s">
        <v>18855</v>
      </c>
    </row>
    <row r="8103" spans="1:4" x14ac:dyDescent="0.25">
      <c r="A8103" s="139" t="s">
        <v>18856</v>
      </c>
      <c r="B8103" s="139" t="s">
        <v>11193</v>
      </c>
      <c r="C8103" s="139" t="s">
        <v>535</v>
      </c>
      <c r="D8103" s="139" t="s">
        <v>18857</v>
      </c>
    </row>
    <row r="8104" spans="1:4" x14ac:dyDescent="0.25">
      <c r="A8104" s="139" t="s">
        <v>18858</v>
      </c>
      <c r="B8104" s="139" t="s">
        <v>13051</v>
      </c>
      <c r="C8104" s="139" t="s">
        <v>535</v>
      </c>
      <c r="D8104" s="139" t="s">
        <v>18859</v>
      </c>
    </row>
    <row r="8105" spans="1:4" x14ac:dyDescent="0.25">
      <c r="A8105" s="139" t="s">
        <v>18860</v>
      </c>
      <c r="B8105" s="139" t="s">
        <v>13051</v>
      </c>
      <c r="C8105" s="139" t="s">
        <v>535</v>
      </c>
      <c r="D8105" s="139" t="s">
        <v>18861</v>
      </c>
    </row>
    <row r="8106" spans="1:4" x14ac:dyDescent="0.25">
      <c r="A8106" s="139" t="s">
        <v>18862</v>
      </c>
      <c r="B8106" s="139" t="s">
        <v>14496</v>
      </c>
      <c r="C8106" s="139" t="s">
        <v>535</v>
      </c>
      <c r="D8106" s="139" t="s">
        <v>18863</v>
      </c>
    </row>
    <row r="8107" spans="1:4" x14ac:dyDescent="0.25">
      <c r="A8107" s="139" t="s">
        <v>18864</v>
      </c>
      <c r="B8107" s="139" t="s">
        <v>14496</v>
      </c>
      <c r="C8107" s="139" t="s">
        <v>535</v>
      </c>
      <c r="D8107" s="139" t="s">
        <v>18865</v>
      </c>
    </row>
    <row r="8108" spans="1:4" x14ac:dyDescent="0.25">
      <c r="A8108" s="139" t="s">
        <v>18866</v>
      </c>
      <c r="B8108" s="139" t="s">
        <v>18867</v>
      </c>
      <c r="C8108" s="139" t="s">
        <v>65</v>
      </c>
      <c r="D8108" s="139" t="s">
        <v>18868</v>
      </c>
    </row>
    <row r="8109" spans="1:4" x14ac:dyDescent="0.25">
      <c r="A8109" s="139" t="s">
        <v>18869</v>
      </c>
      <c r="B8109" s="139" t="s">
        <v>18867</v>
      </c>
      <c r="C8109" s="139" t="s">
        <v>65</v>
      </c>
      <c r="D8109" s="139" t="s">
        <v>18870</v>
      </c>
    </row>
    <row r="8110" spans="1:4" x14ac:dyDescent="0.25">
      <c r="A8110" s="139" t="s">
        <v>18871</v>
      </c>
      <c r="B8110" s="139" t="s">
        <v>18872</v>
      </c>
      <c r="C8110" s="139" t="s">
        <v>65</v>
      </c>
      <c r="D8110" s="139" t="s">
        <v>18873</v>
      </c>
    </row>
    <row r="8111" spans="1:4" x14ac:dyDescent="0.25">
      <c r="A8111" s="139" t="s">
        <v>18874</v>
      </c>
      <c r="B8111" s="139" t="s">
        <v>18872</v>
      </c>
      <c r="C8111" s="139" t="s">
        <v>65</v>
      </c>
      <c r="D8111" s="139" t="s">
        <v>18875</v>
      </c>
    </row>
    <row r="8112" spans="1:4" x14ac:dyDescent="0.25">
      <c r="A8112" s="139" t="s">
        <v>18876</v>
      </c>
      <c r="B8112" s="139" t="s">
        <v>18877</v>
      </c>
      <c r="C8112" s="139" t="s">
        <v>33</v>
      </c>
      <c r="D8112" s="139" t="s">
        <v>18878</v>
      </c>
    </row>
    <row r="8113" spans="1:4" x14ac:dyDescent="0.25">
      <c r="A8113" s="139" t="s">
        <v>18879</v>
      </c>
      <c r="B8113" s="139" t="s">
        <v>18877</v>
      </c>
      <c r="C8113" s="139" t="s">
        <v>33</v>
      </c>
      <c r="D8113" s="139" t="s">
        <v>18880</v>
      </c>
    </row>
    <row r="8114" spans="1:4" x14ac:dyDescent="0.25">
      <c r="A8114" s="139" t="s">
        <v>18881</v>
      </c>
      <c r="B8114" s="139" t="s">
        <v>18882</v>
      </c>
      <c r="C8114" s="139" t="s">
        <v>33</v>
      </c>
      <c r="D8114" s="139" t="s">
        <v>18883</v>
      </c>
    </row>
    <row r="8115" spans="1:4" x14ac:dyDescent="0.25">
      <c r="A8115" s="139" t="s">
        <v>18884</v>
      </c>
      <c r="B8115" s="139" t="s">
        <v>18882</v>
      </c>
      <c r="C8115" s="139" t="s">
        <v>33</v>
      </c>
      <c r="D8115" s="139" t="s">
        <v>18885</v>
      </c>
    </row>
    <row r="8116" spans="1:4" x14ac:dyDescent="0.25">
      <c r="A8116" s="139" t="s">
        <v>18886</v>
      </c>
      <c r="B8116" s="139" t="s">
        <v>18887</v>
      </c>
      <c r="C8116" s="139" t="s">
        <v>658</v>
      </c>
      <c r="D8116" s="139" t="s">
        <v>18888</v>
      </c>
    </row>
    <row r="8117" spans="1:4" x14ac:dyDescent="0.25">
      <c r="A8117" s="139" t="s">
        <v>18889</v>
      </c>
      <c r="B8117" s="139" t="s">
        <v>18887</v>
      </c>
      <c r="C8117" s="139" t="s">
        <v>658</v>
      </c>
      <c r="D8117" s="139" t="s">
        <v>18890</v>
      </c>
    </row>
    <row r="8118" spans="1:4" x14ac:dyDescent="0.25">
      <c r="A8118" s="139" t="s">
        <v>18891</v>
      </c>
      <c r="B8118" s="139" t="s">
        <v>18892</v>
      </c>
      <c r="C8118" s="139" t="s">
        <v>658</v>
      </c>
      <c r="D8118" s="139" t="s">
        <v>18893</v>
      </c>
    </row>
    <row r="8119" spans="1:4" x14ac:dyDescent="0.25">
      <c r="A8119" s="139" t="s">
        <v>18894</v>
      </c>
      <c r="B8119" s="139" t="s">
        <v>18892</v>
      </c>
      <c r="C8119" s="139" t="s">
        <v>658</v>
      </c>
      <c r="D8119" s="139" t="s">
        <v>18895</v>
      </c>
    </row>
    <row r="8120" spans="1:4" x14ac:dyDescent="0.25">
      <c r="A8120" s="139" t="s">
        <v>18896</v>
      </c>
      <c r="B8120" s="139" t="s">
        <v>315</v>
      </c>
      <c r="C8120" s="139" t="s">
        <v>658</v>
      </c>
      <c r="D8120" s="139" t="s">
        <v>18897</v>
      </c>
    </row>
    <row r="8121" spans="1:4" x14ac:dyDescent="0.25">
      <c r="A8121" s="139" t="s">
        <v>18898</v>
      </c>
      <c r="B8121" s="139" t="s">
        <v>315</v>
      </c>
      <c r="C8121" s="139" t="s">
        <v>658</v>
      </c>
      <c r="D8121" s="139" t="s">
        <v>18899</v>
      </c>
    </row>
    <row r="8122" spans="1:4" x14ac:dyDescent="0.25">
      <c r="A8122" s="139" t="s">
        <v>18900</v>
      </c>
      <c r="B8122" s="139" t="s">
        <v>2198</v>
      </c>
      <c r="C8122" s="139" t="s">
        <v>658</v>
      </c>
      <c r="D8122" s="139" t="s">
        <v>18901</v>
      </c>
    </row>
    <row r="8123" spans="1:4" x14ac:dyDescent="0.25">
      <c r="A8123" s="139" t="s">
        <v>18902</v>
      </c>
      <c r="B8123" s="139" t="s">
        <v>2198</v>
      </c>
      <c r="C8123" s="139" t="s">
        <v>658</v>
      </c>
      <c r="D8123" s="139" t="s">
        <v>18903</v>
      </c>
    </row>
    <row r="8124" spans="1:4" x14ac:dyDescent="0.25">
      <c r="A8124" s="139" t="s">
        <v>18904</v>
      </c>
      <c r="B8124" s="139" t="s">
        <v>11429</v>
      </c>
      <c r="C8124" s="139" t="s">
        <v>664</v>
      </c>
      <c r="D8124" s="139" t="s">
        <v>18905</v>
      </c>
    </row>
    <row r="8125" spans="1:4" x14ac:dyDescent="0.25">
      <c r="A8125" s="139" t="s">
        <v>18906</v>
      </c>
      <c r="B8125" s="139" t="s">
        <v>11429</v>
      </c>
      <c r="C8125" s="139" t="s">
        <v>664</v>
      </c>
      <c r="D8125" s="139" t="s">
        <v>18907</v>
      </c>
    </row>
    <row r="8126" spans="1:4" x14ac:dyDescent="0.25">
      <c r="A8126" s="139" t="s">
        <v>18908</v>
      </c>
      <c r="B8126" s="139" t="s">
        <v>1897</v>
      </c>
      <c r="C8126" s="139" t="s">
        <v>664</v>
      </c>
      <c r="D8126" s="139" t="s">
        <v>18909</v>
      </c>
    </row>
    <row r="8127" spans="1:4" x14ac:dyDescent="0.25">
      <c r="A8127" s="139" t="s">
        <v>18910</v>
      </c>
      <c r="B8127" s="139" t="s">
        <v>1897</v>
      </c>
      <c r="C8127" s="139" t="s">
        <v>664</v>
      </c>
      <c r="D8127" s="139" t="s">
        <v>18911</v>
      </c>
    </row>
    <row r="8128" spans="1:4" x14ac:dyDescent="0.25">
      <c r="A8128" s="139" t="s">
        <v>18912</v>
      </c>
      <c r="B8128" s="139" t="s">
        <v>2208</v>
      </c>
      <c r="C8128" s="139" t="s">
        <v>664</v>
      </c>
      <c r="D8128" s="139" t="s">
        <v>18913</v>
      </c>
    </row>
    <row r="8129" spans="1:4" x14ac:dyDescent="0.25">
      <c r="A8129" s="139" t="s">
        <v>18914</v>
      </c>
      <c r="B8129" s="139" t="s">
        <v>2208</v>
      </c>
      <c r="C8129" s="139" t="s">
        <v>664</v>
      </c>
      <c r="D8129" s="139" t="s">
        <v>18915</v>
      </c>
    </row>
    <row r="8130" spans="1:4" x14ac:dyDescent="0.25">
      <c r="A8130" s="139" t="s">
        <v>18916</v>
      </c>
      <c r="B8130" s="139" t="s">
        <v>2198</v>
      </c>
      <c r="C8130" s="139" t="s">
        <v>664</v>
      </c>
      <c r="D8130" s="139" t="s">
        <v>18917</v>
      </c>
    </row>
    <row r="8131" spans="1:4" x14ac:dyDescent="0.25">
      <c r="A8131" s="139" t="s">
        <v>18918</v>
      </c>
      <c r="B8131" s="139" t="s">
        <v>2198</v>
      </c>
      <c r="C8131" s="139" t="s">
        <v>664</v>
      </c>
      <c r="D8131" s="139" t="s">
        <v>18919</v>
      </c>
    </row>
    <row r="8132" spans="1:4" x14ac:dyDescent="0.25">
      <c r="A8132" s="139" t="s">
        <v>18920</v>
      </c>
      <c r="B8132" s="139" t="s">
        <v>18921</v>
      </c>
      <c r="C8132" s="139" t="s">
        <v>33</v>
      </c>
      <c r="D8132" s="139" t="s">
        <v>18922</v>
      </c>
    </row>
    <row r="8133" spans="1:4" x14ac:dyDescent="0.25">
      <c r="A8133" s="139" t="s">
        <v>18923</v>
      </c>
      <c r="B8133" s="139" t="s">
        <v>18921</v>
      </c>
      <c r="C8133" s="139" t="s">
        <v>33</v>
      </c>
      <c r="D8133" s="139" t="s">
        <v>18924</v>
      </c>
    </row>
    <row r="8134" spans="1:4" x14ac:dyDescent="0.25">
      <c r="A8134" s="139" t="s">
        <v>18925</v>
      </c>
      <c r="B8134" s="139" t="s">
        <v>18926</v>
      </c>
      <c r="C8134" s="139" t="s">
        <v>33</v>
      </c>
      <c r="D8134" s="139" t="s">
        <v>18927</v>
      </c>
    </row>
    <row r="8135" spans="1:4" x14ac:dyDescent="0.25">
      <c r="A8135" s="139" t="s">
        <v>18928</v>
      </c>
      <c r="B8135" s="139" t="s">
        <v>18926</v>
      </c>
      <c r="C8135" s="139" t="s">
        <v>33</v>
      </c>
      <c r="D8135" s="139" t="s">
        <v>18929</v>
      </c>
    </row>
    <row r="8136" spans="1:4" x14ac:dyDescent="0.25">
      <c r="A8136" s="139" t="s">
        <v>18930</v>
      </c>
      <c r="B8136" s="139" t="s">
        <v>18931</v>
      </c>
      <c r="C8136" s="139" t="s">
        <v>33</v>
      </c>
      <c r="D8136" s="139" t="s">
        <v>18932</v>
      </c>
    </row>
    <row r="8137" spans="1:4" x14ac:dyDescent="0.25">
      <c r="A8137" s="139" t="s">
        <v>18933</v>
      </c>
      <c r="B8137" s="139" t="s">
        <v>18931</v>
      </c>
      <c r="C8137" s="139" t="s">
        <v>33</v>
      </c>
      <c r="D8137" s="139" t="s">
        <v>18934</v>
      </c>
    </row>
    <row r="8138" spans="1:4" x14ac:dyDescent="0.25">
      <c r="A8138" s="139" t="s">
        <v>18935</v>
      </c>
      <c r="B8138" s="139" t="s">
        <v>18936</v>
      </c>
      <c r="C8138" s="139" t="s">
        <v>65</v>
      </c>
      <c r="D8138" s="139" t="s">
        <v>18937</v>
      </c>
    </row>
    <row r="8139" spans="1:4" x14ac:dyDescent="0.25">
      <c r="A8139" s="139" t="s">
        <v>18938</v>
      </c>
      <c r="B8139" s="139" t="s">
        <v>18936</v>
      </c>
      <c r="C8139" s="139" t="s">
        <v>65</v>
      </c>
      <c r="D8139" s="139" t="s">
        <v>18939</v>
      </c>
    </row>
    <row r="8140" spans="1:4" x14ac:dyDescent="0.25">
      <c r="A8140" s="139" t="s">
        <v>18940</v>
      </c>
      <c r="B8140" s="139" t="s">
        <v>18941</v>
      </c>
      <c r="C8140" s="139" t="s">
        <v>65</v>
      </c>
      <c r="D8140" s="139" t="s">
        <v>18942</v>
      </c>
    </row>
    <row r="8141" spans="1:4" x14ac:dyDescent="0.25">
      <c r="A8141" s="139" t="s">
        <v>18943</v>
      </c>
      <c r="B8141" s="139" t="s">
        <v>18941</v>
      </c>
      <c r="C8141" s="139" t="s">
        <v>65</v>
      </c>
      <c r="D8141" s="139" t="s">
        <v>18944</v>
      </c>
    </row>
    <row r="8142" spans="1:4" x14ac:dyDescent="0.25">
      <c r="A8142" s="139" t="s">
        <v>18945</v>
      </c>
      <c r="B8142" s="139" t="s">
        <v>18946</v>
      </c>
      <c r="C8142" s="139" t="s">
        <v>65</v>
      </c>
      <c r="D8142" s="139" t="s">
        <v>18947</v>
      </c>
    </row>
    <row r="8143" spans="1:4" x14ac:dyDescent="0.25">
      <c r="A8143" s="139" t="s">
        <v>18948</v>
      </c>
      <c r="B8143" s="139" t="s">
        <v>18946</v>
      </c>
      <c r="C8143" s="139" t="s">
        <v>65</v>
      </c>
      <c r="D8143" s="139" t="s">
        <v>18949</v>
      </c>
    </row>
    <row r="8144" spans="1:4" x14ac:dyDescent="0.25">
      <c r="A8144" s="139" t="s">
        <v>18950</v>
      </c>
      <c r="B8144" s="139" t="s">
        <v>18951</v>
      </c>
      <c r="C8144" s="139" t="s">
        <v>65</v>
      </c>
      <c r="D8144" s="139" t="s">
        <v>18952</v>
      </c>
    </row>
    <row r="8145" spans="1:4" x14ac:dyDescent="0.25">
      <c r="A8145" s="139" t="s">
        <v>18953</v>
      </c>
      <c r="B8145" s="139" t="s">
        <v>18951</v>
      </c>
      <c r="C8145" s="139" t="s">
        <v>65</v>
      </c>
      <c r="D8145" s="139" t="s">
        <v>18954</v>
      </c>
    </row>
    <row r="8146" spans="1:4" x14ac:dyDescent="0.25">
      <c r="A8146" s="139" t="s">
        <v>18955</v>
      </c>
      <c r="B8146" s="139" t="s">
        <v>18956</v>
      </c>
      <c r="C8146" s="139" t="s">
        <v>65</v>
      </c>
      <c r="D8146" s="139" t="s">
        <v>18957</v>
      </c>
    </row>
    <row r="8147" spans="1:4" x14ac:dyDescent="0.25">
      <c r="A8147" s="139" t="s">
        <v>18958</v>
      </c>
      <c r="B8147" s="139" t="s">
        <v>18956</v>
      </c>
      <c r="C8147" s="139" t="s">
        <v>65</v>
      </c>
      <c r="D8147" s="139" t="s">
        <v>18959</v>
      </c>
    </row>
    <row r="8148" spans="1:4" x14ac:dyDescent="0.25">
      <c r="A8148" s="139" t="s">
        <v>18960</v>
      </c>
      <c r="B8148" s="139" t="s">
        <v>18961</v>
      </c>
      <c r="C8148" s="139" t="s">
        <v>65</v>
      </c>
      <c r="D8148" s="139" t="s">
        <v>18962</v>
      </c>
    </row>
    <row r="8149" spans="1:4" x14ac:dyDescent="0.25">
      <c r="A8149" s="139" t="s">
        <v>18963</v>
      </c>
      <c r="B8149" s="139" t="s">
        <v>18961</v>
      </c>
      <c r="C8149" s="139" t="s">
        <v>65</v>
      </c>
      <c r="D8149" s="139" t="s">
        <v>18964</v>
      </c>
    </row>
    <row r="8150" spans="1:4" x14ac:dyDescent="0.25">
      <c r="A8150" s="139" t="s">
        <v>18965</v>
      </c>
      <c r="B8150" s="139" t="s">
        <v>18966</v>
      </c>
      <c r="C8150" s="139" t="s">
        <v>65</v>
      </c>
      <c r="D8150" s="139" t="s">
        <v>18967</v>
      </c>
    </row>
    <row r="8151" spans="1:4" x14ac:dyDescent="0.25">
      <c r="A8151" s="139" t="s">
        <v>18968</v>
      </c>
      <c r="B8151" s="139" t="s">
        <v>18966</v>
      </c>
      <c r="C8151" s="139" t="s">
        <v>65</v>
      </c>
      <c r="D8151" s="139" t="s">
        <v>18969</v>
      </c>
    </row>
    <row r="8152" spans="1:4" x14ac:dyDescent="0.25">
      <c r="A8152" s="139" t="s">
        <v>18970</v>
      </c>
      <c r="B8152" s="139" t="s">
        <v>6249</v>
      </c>
      <c r="C8152" s="139" t="s">
        <v>65</v>
      </c>
      <c r="D8152" s="139" t="s">
        <v>18971</v>
      </c>
    </row>
    <row r="8153" spans="1:4" x14ac:dyDescent="0.25">
      <c r="A8153" s="139" t="s">
        <v>18972</v>
      </c>
      <c r="B8153" s="139" t="s">
        <v>6249</v>
      </c>
      <c r="C8153" s="139" t="s">
        <v>65</v>
      </c>
      <c r="D8153" s="139" t="s">
        <v>18973</v>
      </c>
    </row>
    <row r="8154" spans="1:4" x14ac:dyDescent="0.25">
      <c r="A8154" s="139" t="s">
        <v>18974</v>
      </c>
      <c r="B8154" s="139" t="s">
        <v>18975</v>
      </c>
      <c r="C8154" s="139" t="s">
        <v>44</v>
      </c>
      <c r="D8154" s="139" t="s">
        <v>18976</v>
      </c>
    </row>
    <row r="8155" spans="1:4" x14ac:dyDescent="0.25">
      <c r="A8155" s="139" t="s">
        <v>18977</v>
      </c>
      <c r="B8155" s="139" t="s">
        <v>18975</v>
      </c>
      <c r="C8155" s="139" t="s">
        <v>44</v>
      </c>
      <c r="D8155" s="139" t="s">
        <v>18978</v>
      </c>
    </row>
    <row r="8156" spans="1:4" x14ac:dyDescent="0.25">
      <c r="A8156" s="139" t="s">
        <v>18979</v>
      </c>
      <c r="B8156" s="139" t="s">
        <v>11429</v>
      </c>
      <c r="C8156" s="139" t="s">
        <v>44</v>
      </c>
      <c r="D8156" s="139" t="s">
        <v>18980</v>
      </c>
    </row>
    <row r="8157" spans="1:4" x14ac:dyDescent="0.25">
      <c r="A8157" s="139" t="s">
        <v>18981</v>
      </c>
      <c r="B8157" s="139" t="s">
        <v>11429</v>
      </c>
      <c r="C8157" s="139" t="s">
        <v>44</v>
      </c>
      <c r="D8157" s="139" t="s">
        <v>18982</v>
      </c>
    </row>
    <row r="8158" spans="1:4" x14ac:dyDescent="0.25">
      <c r="A8158" s="139" t="s">
        <v>18983</v>
      </c>
      <c r="B8158" s="139" t="s">
        <v>18984</v>
      </c>
      <c r="C8158" s="139" t="s">
        <v>44</v>
      </c>
      <c r="D8158" s="139" t="s">
        <v>18985</v>
      </c>
    </row>
    <row r="8159" spans="1:4" x14ac:dyDescent="0.25">
      <c r="A8159" s="139" t="s">
        <v>18986</v>
      </c>
      <c r="B8159" s="139" t="s">
        <v>18984</v>
      </c>
      <c r="C8159" s="139" t="s">
        <v>44</v>
      </c>
      <c r="D8159" s="139" t="s">
        <v>18987</v>
      </c>
    </row>
    <row r="8160" spans="1:4" x14ac:dyDescent="0.25">
      <c r="A8160" s="139" t="s">
        <v>18988</v>
      </c>
      <c r="B8160" s="139" t="s">
        <v>18989</v>
      </c>
      <c r="C8160" s="139" t="s">
        <v>44</v>
      </c>
      <c r="D8160" s="139" t="s">
        <v>18990</v>
      </c>
    </row>
    <row r="8161" spans="1:4" x14ac:dyDescent="0.25">
      <c r="A8161" s="139" t="s">
        <v>18991</v>
      </c>
      <c r="B8161" s="139" t="s">
        <v>18989</v>
      </c>
      <c r="C8161" s="139" t="s">
        <v>44</v>
      </c>
      <c r="D8161" s="139" t="s">
        <v>18992</v>
      </c>
    </row>
    <row r="8162" spans="1:4" x14ac:dyDescent="0.25">
      <c r="A8162" s="139" t="s">
        <v>18993</v>
      </c>
      <c r="B8162" s="139" t="s">
        <v>18994</v>
      </c>
      <c r="C8162" s="139" t="s">
        <v>33</v>
      </c>
      <c r="D8162" s="139" t="s">
        <v>18995</v>
      </c>
    </row>
    <row r="8163" spans="1:4" x14ac:dyDescent="0.25">
      <c r="A8163" s="139" t="s">
        <v>18996</v>
      </c>
      <c r="B8163" s="139" t="s">
        <v>18994</v>
      </c>
      <c r="C8163" s="139" t="s">
        <v>33</v>
      </c>
      <c r="D8163" s="139" t="s">
        <v>18997</v>
      </c>
    </row>
    <row r="8164" spans="1:4" x14ac:dyDescent="0.25">
      <c r="A8164" s="139" t="s">
        <v>18998</v>
      </c>
      <c r="B8164" s="139" t="s">
        <v>13293</v>
      </c>
      <c r="C8164" s="139" t="s">
        <v>1604</v>
      </c>
      <c r="D8164" s="139" t="s">
        <v>18999</v>
      </c>
    </row>
    <row r="8165" spans="1:4" x14ac:dyDescent="0.25">
      <c r="A8165" s="139" t="s">
        <v>19000</v>
      </c>
      <c r="B8165" s="139" t="s">
        <v>13293</v>
      </c>
      <c r="C8165" s="139" t="s">
        <v>1604</v>
      </c>
      <c r="D8165" s="139" t="s">
        <v>19001</v>
      </c>
    </row>
    <row r="8166" spans="1:4" x14ac:dyDescent="0.25">
      <c r="A8166" s="139" t="s">
        <v>19002</v>
      </c>
      <c r="B8166" s="139" t="s">
        <v>17303</v>
      </c>
      <c r="C8166" s="139" t="s">
        <v>65</v>
      </c>
      <c r="D8166" s="139" t="s">
        <v>19003</v>
      </c>
    </row>
    <row r="8167" spans="1:4" x14ac:dyDescent="0.25">
      <c r="A8167" s="139" t="s">
        <v>19004</v>
      </c>
      <c r="B8167" s="139" t="s">
        <v>17303</v>
      </c>
      <c r="C8167" s="139" t="s">
        <v>65</v>
      </c>
      <c r="D8167" s="139" t="s">
        <v>19005</v>
      </c>
    </row>
    <row r="8168" spans="1:4" x14ac:dyDescent="0.25">
      <c r="A8168" s="139" t="s">
        <v>19006</v>
      </c>
      <c r="B8168" s="139" t="s">
        <v>18975</v>
      </c>
      <c r="C8168" s="139" t="s">
        <v>65</v>
      </c>
      <c r="D8168" s="139" t="s">
        <v>19007</v>
      </c>
    </row>
    <row r="8169" spans="1:4" x14ac:dyDescent="0.25">
      <c r="A8169" s="139" t="s">
        <v>19008</v>
      </c>
      <c r="B8169" s="139" t="s">
        <v>18975</v>
      </c>
      <c r="C8169" s="139" t="s">
        <v>65</v>
      </c>
      <c r="D8169" s="139" t="s">
        <v>19009</v>
      </c>
    </row>
    <row r="8170" spans="1:4" x14ac:dyDescent="0.25">
      <c r="A8170" s="139" t="s">
        <v>19010</v>
      </c>
      <c r="B8170" s="139" t="s">
        <v>19011</v>
      </c>
      <c r="C8170" s="139" t="s">
        <v>65</v>
      </c>
      <c r="D8170" s="139" t="s">
        <v>19012</v>
      </c>
    </row>
    <row r="8171" spans="1:4" x14ac:dyDescent="0.25">
      <c r="A8171" s="139" t="s">
        <v>19013</v>
      </c>
      <c r="B8171" s="139" t="s">
        <v>19011</v>
      </c>
      <c r="C8171" s="139" t="s">
        <v>65</v>
      </c>
      <c r="D8171" s="139" t="s">
        <v>19014</v>
      </c>
    </row>
    <row r="8172" spans="1:4" x14ac:dyDescent="0.25">
      <c r="A8172" s="139" t="s">
        <v>19015</v>
      </c>
      <c r="B8172" s="139" t="s">
        <v>19016</v>
      </c>
      <c r="C8172" s="139" t="s">
        <v>65</v>
      </c>
      <c r="D8172" s="139" t="s">
        <v>19017</v>
      </c>
    </row>
    <row r="8173" spans="1:4" x14ac:dyDescent="0.25">
      <c r="A8173" s="139" t="s">
        <v>19018</v>
      </c>
      <c r="B8173" s="139" t="s">
        <v>19016</v>
      </c>
      <c r="C8173" s="139" t="s">
        <v>65</v>
      </c>
      <c r="D8173" s="139" t="s">
        <v>19019</v>
      </c>
    </row>
    <row r="8174" spans="1:4" x14ac:dyDescent="0.25">
      <c r="A8174" s="139" t="s">
        <v>19020</v>
      </c>
      <c r="B8174" s="139" t="s">
        <v>19021</v>
      </c>
      <c r="C8174" s="139" t="s">
        <v>65</v>
      </c>
      <c r="D8174" s="139" t="s">
        <v>19022</v>
      </c>
    </row>
    <row r="8175" spans="1:4" x14ac:dyDescent="0.25">
      <c r="A8175" s="139" t="s">
        <v>19023</v>
      </c>
      <c r="B8175" s="139" t="s">
        <v>19021</v>
      </c>
      <c r="C8175" s="139" t="s">
        <v>65</v>
      </c>
      <c r="D8175" s="139" t="s">
        <v>19024</v>
      </c>
    </row>
    <row r="8176" spans="1:4" x14ac:dyDescent="0.25">
      <c r="A8176" s="139" t="s">
        <v>19025</v>
      </c>
      <c r="B8176" s="139" t="s">
        <v>19026</v>
      </c>
      <c r="C8176" s="139" t="s">
        <v>65</v>
      </c>
      <c r="D8176" s="139" t="s">
        <v>19027</v>
      </c>
    </row>
    <row r="8177" spans="1:4" x14ac:dyDescent="0.25">
      <c r="A8177" s="139" t="s">
        <v>19028</v>
      </c>
      <c r="B8177" s="139" t="s">
        <v>19026</v>
      </c>
      <c r="C8177" s="139" t="s">
        <v>65</v>
      </c>
      <c r="D8177" s="139" t="s">
        <v>19029</v>
      </c>
    </row>
    <row r="8178" spans="1:4" x14ac:dyDescent="0.25">
      <c r="A8178" s="139" t="s">
        <v>19030</v>
      </c>
      <c r="B8178" s="139" t="s">
        <v>19031</v>
      </c>
      <c r="C8178" s="139" t="s">
        <v>65</v>
      </c>
      <c r="D8178" s="139" t="s">
        <v>19032</v>
      </c>
    </row>
    <row r="8179" spans="1:4" x14ac:dyDescent="0.25">
      <c r="A8179" s="139" t="s">
        <v>19033</v>
      </c>
      <c r="B8179" s="139" t="s">
        <v>19031</v>
      </c>
      <c r="C8179" s="139" t="s">
        <v>65</v>
      </c>
      <c r="D8179" s="139" t="s">
        <v>19034</v>
      </c>
    </row>
    <row r="8180" spans="1:4" x14ac:dyDescent="0.25">
      <c r="A8180" s="139" t="s">
        <v>19035</v>
      </c>
      <c r="B8180" s="139" t="s">
        <v>19036</v>
      </c>
      <c r="C8180" s="139" t="s">
        <v>65</v>
      </c>
      <c r="D8180" s="139" t="s">
        <v>19037</v>
      </c>
    </row>
    <row r="8181" spans="1:4" x14ac:dyDescent="0.25">
      <c r="A8181" s="139" t="s">
        <v>19038</v>
      </c>
      <c r="B8181" s="139" t="s">
        <v>19036</v>
      </c>
      <c r="C8181" s="139" t="s">
        <v>65</v>
      </c>
      <c r="D8181" s="139" t="s">
        <v>19039</v>
      </c>
    </row>
    <row r="8182" spans="1:4" x14ac:dyDescent="0.25">
      <c r="A8182" s="139" t="s">
        <v>19040</v>
      </c>
      <c r="B8182" s="139" t="s">
        <v>19041</v>
      </c>
      <c r="C8182" s="139" t="s">
        <v>65</v>
      </c>
      <c r="D8182" s="139" t="s">
        <v>19042</v>
      </c>
    </row>
    <row r="8183" spans="1:4" x14ac:dyDescent="0.25">
      <c r="A8183" s="139" t="s">
        <v>19043</v>
      </c>
      <c r="B8183" s="139" t="s">
        <v>19041</v>
      </c>
      <c r="C8183" s="139" t="s">
        <v>65</v>
      </c>
      <c r="D8183" s="139" t="s">
        <v>19044</v>
      </c>
    </row>
    <row r="8184" spans="1:4" x14ac:dyDescent="0.25">
      <c r="A8184" s="139" t="s">
        <v>19045</v>
      </c>
      <c r="B8184" s="139" t="s">
        <v>19046</v>
      </c>
      <c r="C8184" s="139" t="s">
        <v>65</v>
      </c>
      <c r="D8184" s="139" t="s">
        <v>19047</v>
      </c>
    </row>
    <row r="8185" spans="1:4" x14ac:dyDescent="0.25">
      <c r="A8185" s="139" t="s">
        <v>19048</v>
      </c>
      <c r="B8185" s="139" t="s">
        <v>19049</v>
      </c>
      <c r="C8185" s="139" t="s">
        <v>65</v>
      </c>
      <c r="D8185" s="139" t="s">
        <v>19050</v>
      </c>
    </row>
    <row r="8186" spans="1:4" x14ac:dyDescent="0.25">
      <c r="A8186" s="139" t="s">
        <v>19051</v>
      </c>
      <c r="B8186" s="139" t="s">
        <v>19046</v>
      </c>
      <c r="C8186" s="139" t="s">
        <v>65</v>
      </c>
      <c r="D8186" s="139" t="s">
        <v>19052</v>
      </c>
    </row>
    <row r="8187" spans="1:4" x14ac:dyDescent="0.25">
      <c r="A8187" s="139" t="s">
        <v>19053</v>
      </c>
      <c r="B8187" s="139" t="s">
        <v>19046</v>
      </c>
      <c r="C8187" s="139" t="s">
        <v>65</v>
      </c>
      <c r="D8187" s="139" t="s">
        <v>19054</v>
      </c>
    </row>
    <row r="8188" spans="1:4" x14ac:dyDescent="0.25">
      <c r="A8188" s="139" t="s">
        <v>19055</v>
      </c>
      <c r="B8188" s="139" t="s">
        <v>17463</v>
      </c>
      <c r="C8188" s="139" t="s">
        <v>65</v>
      </c>
      <c r="D8188" s="139" t="s">
        <v>19056</v>
      </c>
    </row>
    <row r="8189" spans="1:4" x14ac:dyDescent="0.25">
      <c r="A8189" s="139" t="s">
        <v>19057</v>
      </c>
      <c r="B8189" s="139" t="s">
        <v>17463</v>
      </c>
      <c r="C8189" s="139" t="s">
        <v>65</v>
      </c>
      <c r="D8189" s="139" t="s">
        <v>19058</v>
      </c>
    </row>
    <row r="8190" spans="1:4" x14ac:dyDescent="0.25">
      <c r="A8190" s="139" t="s">
        <v>19059</v>
      </c>
      <c r="B8190" s="139" t="s">
        <v>11266</v>
      </c>
      <c r="C8190" s="139" t="s">
        <v>65</v>
      </c>
      <c r="D8190" s="139" t="s">
        <v>19060</v>
      </c>
    </row>
    <row r="8191" spans="1:4" x14ac:dyDescent="0.25">
      <c r="A8191" s="139" t="s">
        <v>19061</v>
      </c>
      <c r="B8191" s="139" t="s">
        <v>11266</v>
      </c>
      <c r="C8191" s="139" t="s">
        <v>65</v>
      </c>
      <c r="D8191" s="139" t="s">
        <v>19062</v>
      </c>
    </row>
    <row r="8192" spans="1:4" x14ac:dyDescent="0.25">
      <c r="A8192" s="139" t="s">
        <v>19063</v>
      </c>
      <c r="B8192" s="139" t="s">
        <v>19064</v>
      </c>
      <c r="C8192" s="139" t="s">
        <v>65</v>
      </c>
      <c r="D8192" s="139" t="s">
        <v>19065</v>
      </c>
    </row>
    <row r="8193" spans="1:4" x14ac:dyDescent="0.25">
      <c r="A8193" s="139" t="s">
        <v>19066</v>
      </c>
      <c r="B8193" s="139" t="s">
        <v>19064</v>
      </c>
      <c r="C8193" s="139" t="s">
        <v>65</v>
      </c>
      <c r="D8193" s="139" t="s">
        <v>19067</v>
      </c>
    </row>
    <row r="8194" spans="1:4" x14ac:dyDescent="0.25">
      <c r="A8194" s="139" t="s">
        <v>19068</v>
      </c>
      <c r="B8194" s="139" t="s">
        <v>17432</v>
      </c>
      <c r="C8194" s="139" t="s">
        <v>65</v>
      </c>
      <c r="D8194" s="139" t="s">
        <v>19069</v>
      </c>
    </row>
    <row r="8195" spans="1:4" x14ac:dyDescent="0.25">
      <c r="A8195" s="139" t="s">
        <v>19070</v>
      </c>
      <c r="B8195" s="139" t="s">
        <v>17432</v>
      </c>
      <c r="C8195" s="139" t="s">
        <v>65</v>
      </c>
      <c r="D8195" s="139" t="s">
        <v>19071</v>
      </c>
    </row>
    <row r="8196" spans="1:4" x14ac:dyDescent="0.25">
      <c r="A8196" s="139" t="s">
        <v>19072</v>
      </c>
      <c r="B8196" s="139" t="s">
        <v>15489</v>
      </c>
      <c r="C8196" s="139" t="s">
        <v>65</v>
      </c>
      <c r="D8196" s="139" t="s">
        <v>19073</v>
      </c>
    </row>
    <row r="8197" spans="1:4" x14ac:dyDescent="0.25">
      <c r="A8197" s="139" t="s">
        <v>19074</v>
      </c>
      <c r="B8197" s="139" t="s">
        <v>15489</v>
      </c>
      <c r="C8197" s="139" t="s">
        <v>65</v>
      </c>
      <c r="D8197" s="139" t="s">
        <v>19075</v>
      </c>
    </row>
    <row r="8198" spans="1:4" x14ac:dyDescent="0.25">
      <c r="A8198" s="139" t="s">
        <v>19076</v>
      </c>
      <c r="B8198" s="139" t="s">
        <v>10952</v>
      </c>
      <c r="C8198" s="139" t="s">
        <v>65</v>
      </c>
      <c r="D8198" s="139" t="s">
        <v>19077</v>
      </c>
    </row>
    <row r="8199" spans="1:4" x14ac:dyDescent="0.25">
      <c r="A8199" s="139" t="s">
        <v>19078</v>
      </c>
      <c r="B8199" s="139" t="s">
        <v>10952</v>
      </c>
      <c r="C8199" s="139" t="s">
        <v>65</v>
      </c>
      <c r="D8199" s="139" t="s">
        <v>19079</v>
      </c>
    </row>
    <row r="8200" spans="1:4" x14ac:dyDescent="0.25">
      <c r="A8200" s="139" t="s">
        <v>19080</v>
      </c>
      <c r="B8200" s="139" t="s">
        <v>3064</v>
      </c>
      <c r="C8200" s="139" t="s">
        <v>65</v>
      </c>
      <c r="D8200" s="139" t="s">
        <v>19081</v>
      </c>
    </row>
    <row r="8201" spans="1:4" x14ac:dyDescent="0.25">
      <c r="A8201" s="139" t="s">
        <v>19082</v>
      </c>
      <c r="B8201" s="139" t="s">
        <v>3064</v>
      </c>
      <c r="C8201" s="139" t="s">
        <v>65</v>
      </c>
      <c r="D8201" s="139" t="s">
        <v>19083</v>
      </c>
    </row>
    <row r="8202" spans="1:4" x14ac:dyDescent="0.25">
      <c r="A8202" s="139" t="s">
        <v>19084</v>
      </c>
      <c r="B8202" s="139" t="s">
        <v>3069</v>
      </c>
      <c r="C8202" s="139" t="s">
        <v>65</v>
      </c>
      <c r="D8202" s="139" t="s">
        <v>19085</v>
      </c>
    </row>
    <row r="8203" spans="1:4" x14ac:dyDescent="0.25">
      <c r="A8203" s="139" t="s">
        <v>19086</v>
      </c>
      <c r="B8203" s="139" t="s">
        <v>3069</v>
      </c>
      <c r="C8203" s="139" t="s">
        <v>65</v>
      </c>
      <c r="D8203" s="139" t="s">
        <v>19087</v>
      </c>
    </row>
    <row r="8204" spans="1:4" x14ac:dyDescent="0.25">
      <c r="A8204" s="139" t="s">
        <v>19088</v>
      </c>
      <c r="B8204" s="139" t="s">
        <v>17403</v>
      </c>
      <c r="C8204" s="139" t="s">
        <v>33</v>
      </c>
      <c r="D8204" s="139" t="s">
        <v>19089</v>
      </c>
    </row>
    <row r="8205" spans="1:4" x14ac:dyDescent="0.25">
      <c r="A8205" s="139" t="s">
        <v>19090</v>
      </c>
      <c r="B8205" s="139" t="s">
        <v>17403</v>
      </c>
      <c r="C8205" s="139" t="s">
        <v>33</v>
      </c>
      <c r="D8205" s="139" t="s">
        <v>19091</v>
      </c>
    </row>
    <row r="8206" spans="1:4" x14ac:dyDescent="0.25">
      <c r="A8206" s="139" t="s">
        <v>19092</v>
      </c>
      <c r="B8206" s="139" t="s">
        <v>17432</v>
      </c>
      <c r="C8206" s="139" t="s">
        <v>33</v>
      </c>
      <c r="D8206" s="139" t="s">
        <v>19093</v>
      </c>
    </row>
    <row r="8207" spans="1:4" x14ac:dyDescent="0.25">
      <c r="A8207" s="139" t="s">
        <v>19094</v>
      </c>
      <c r="B8207" s="139" t="s">
        <v>17432</v>
      </c>
      <c r="C8207" s="139" t="s">
        <v>33</v>
      </c>
      <c r="D8207" s="139" t="s">
        <v>19095</v>
      </c>
    </row>
    <row r="8208" spans="1:4" x14ac:dyDescent="0.25">
      <c r="A8208" s="139" t="s">
        <v>19096</v>
      </c>
      <c r="B8208" s="139" t="s">
        <v>19097</v>
      </c>
      <c r="C8208" s="139" t="s">
        <v>33</v>
      </c>
      <c r="D8208" s="139" t="s">
        <v>19098</v>
      </c>
    </row>
    <row r="8209" spans="1:4" x14ac:dyDescent="0.25">
      <c r="A8209" s="139" t="s">
        <v>19099</v>
      </c>
      <c r="B8209" s="139" t="s">
        <v>19097</v>
      </c>
      <c r="C8209" s="139" t="s">
        <v>33</v>
      </c>
      <c r="D8209" s="139" t="s">
        <v>19100</v>
      </c>
    </row>
    <row r="8210" spans="1:4" x14ac:dyDescent="0.25">
      <c r="A8210" s="139" t="s">
        <v>19101</v>
      </c>
      <c r="B8210" s="139" t="s">
        <v>19102</v>
      </c>
      <c r="C8210" s="139" t="s">
        <v>33</v>
      </c>
      <c r="D8210" s="139" t="s">
        <v>19103</v>
      </c>
    </row>
    <row r="8211" spans="1:4" x14ac:dyDescent="0.25">
      <c r="A8211" s="139" t="s">
        <v>19104</v>
      </c>
      <c r="B8211" s="139" t="s">
        <v>19102</v>
      </c>
      <c r="C8211" s="139" t="s">
        <v>33</v>
      </c>
      <c r="D8211" s="139" t="s">
        <v>19105</v>
      </c>
    </row>
    <row r="8212" spans="1:4" x14ac:dyDescent="0.25">
      <c r="A8212" s="139" t="s">
        <v>19106</v>
      </c>
      <c r="B8212" s="139" t="s">
        <v>1953</v>
      </c>
      <c r="C8212" s="139" t="s">
        <v>33</v>
      </c>
      <c r="D8212" s="139" t="s">
        <v>19107</v>
      </c>
    </row>
    <row r="8213" spans="1:4" x14ac:dyDescent="0.25">
      <c r="A8213" s="139" t="s">
        <v>19108</v>
      </c>
      <c r="B8213" s="139" t="s">
        <v>1953</v>
      </c>
      <c r="C8213" s="139" t="s">
        <v>33</v>
      </c>
      <c r="D8213" s="139" t="s">
        <v>19109</v>
      </c>
    </row>
    <row r="8214" spans="1:4" x14ac:dyDescent="0.25">
      <c r="A8214" s="139" t="s">
        <v>19110</v>
      </c>
      <c r="B8214" s="139" t="s">
        <v>1958</v>
      </c>
      <c r="C8214" s="139" t="s">
        <v>33</v>
      </c>
      <c r="D8214" s="139" t="s">
        <v>19111</v>
      </c>
    </row>
    <row r="8215" spans="1:4" x14ac:dyDescent="0.25">
      <c r="A8215" s="139" t="s">
        <v>19112</v>
      </c>
      <c r="B8215" s="139" t="s">
        <v>1958</v>
      </c>
      <c r="C8215" s="139" t="s">
        <v>33</v>
      </c>
      <c r="D8215" s="139" t="s">
        <v>19113</v>
      </c>
    </row>
    <row r="8216" spans="1:4" x14ac:dyDescent="0.25">
      <c r="A8216" s="139" t="s">
        <v>19114</v>
      </c>
      <c r="B8216" s="139" t="s">
        <v>3245</v>
      </c>
      <c r="C8216" s="139" t="s">
        <v>33</v>
      </c>
      <c r="D8216" s="139" t="s">
        <v>19115</v>
      </c>
    </row>
    <row r="8217" spans="1:4" x14ac:dyDescent="0.25">
      <c r="A8217" s="139" t="s">
        <v>19116</v>
      </c>
      <c r="B8217" s="139" t="s">
        <v>3245</v>
      </c>
      <c r="C8217" s="139" t="s">
        <v>33</v>
      </c>
      <c r="D8217" s="139" t="s">
        <v>19117</v>
      </c>
    </row>
    <row r="8218" spans="1:4" x14ac:dyDescent="0.25">
      <c r="A8218" s="139" t="s">
        <v>19118</v>
      </c>
      <c r="B8218" s="139" t="s">
        <v>6240</v>
      </c>
      <c r="C8218" s="139" t="s">
        <v>33</v>
      </c>
      <c r="D8218" s="139" t="s">
        <v>19119</v>
      </c>
    </row>
    <row r="8219" spans="1:4" x14ac:dyDescent="0.25">
      <c r="A8219" s="139" t="s">
        <v>19120</v>
      </c>
      <c r="B8219" s="139" t="s">
        <v>6240</v>
      </c>
      <c r="C8219" s="139" t="s">
        <v>33</v>
      </c>
      <c r="D8219" s="139" t="s">
        <v>19121</v>
      </c>
    </row>
    <row r="8220" spans="1:4" x14ac:dyDescent="0.25">
      <c r="A8220" s="139" t="s">
        <v>19122</v>
      </c>
      <c r="B8220" s="139" t="s">
        <v>19123</v>
      </c>
      <c r="C8220" s="139" t="s">
        <v>1604</v>
      </c>
      <c r="D8220" s="139" t="s">
        <v>19124</v>
      </c>
    </row>
    <row r="8221" spans="1:4" x14ac:dyDescent="0.25">
      <c r="A8221" s="139" t="s">
        <v>19125</v>
      </c>
      <c r="B8221" s="139" t="s">
        <v>19123</v>
      </c>
      <c r="C8221" s="139" t="s">
        <v>1604</v>
      </c>
      <c r="D8221" s="139" t="s">
        <v>19126</v>
      </c>
    </row>
    <row r="8222" spans="1:4" x14ac:dyDescent="0.25">
      <c r="A8222" s="139" t="s">
        <v>19127</v>
      </c>
      <c r="B8222" s="139" t="s">
        <v>19128</v>
      </c>
      <c r="C8222" s="139" t="s">
        <v>1604</v>
      </c>
      <c r="D8222" s="139" t="s">
        <v>19129</v>
      </c>
    </row>
    <row r="8223" spans="1:4" x14ac:dyDescent="0.25">
      <c r="A8223" s="139" t="s">
        <v>19130</v>
      </c>
      <c r="B8223" s="139" t="s">
        <v>19128</v>
      </c>
      <c r="C8223" s="139" t="s">
        <v>1604</v>
      </c>
      <c r="D8223" s="139" t="s">
        <v>19131</v>
      </c>
    </row>
    <row r="8224" spans="1:4" x14ac:dyDescent="0.25">
      <c r="A8224" s="139" t="s">
        <v>19132</v>
      </c>
      <c r="B8224" s="139" t="s">
        <v>19133</v>
      </c>
      <c r="C8224" s="139" t="s">
        <v>1604</v>
      </c>
      <c r="D8224" s="139" t="s">
        <v>19134</v>
      </c>
    </row>
    <row r="8225" spans="1:4" x14ac:dyDescent="0.25">
      <c r="A8225" s="139" t="s">
        <v>19135</v>
      </c>
      <c r="B8225" s="139" t="s">
        <v>19133</v>
      </c>
      <c r="C8225" s="139" t="s">
        <v>1604</v>
      </c>
      <c r="D8225" s="139" t="s">
        <v>19136</v>
      </c>
    </row>
    <row r="8226" spans="1:4" x14ac:dyDescent="0.25">
      <c r="A8226" s="139" t="s">
        <v>19137</v>
      </c>
      <c r="B8226" s="139" t="s">
        <v>19138</v>
      </c>
      <c r="C8226" s="139" t="s">
        <v>1604</v>
      </c>
      <c r="D8226" s="139" t="s">
        <v>19139</v>
      </c>
    </row>
    <row r="8227" spans="1:4" x14ac:dyDescent="0.25">
      <c r="A8227" s="139" t="s">
        <v>19140</v>
      </c>
      <c r="B8227" s="139" t="s">
        <v>19138</v>
      </c>
      <c r="C8227" s="139" t="s">
        <v>1604</v>
      </c>
      <c r="D8227" s="139" t="s">
        <v>19141</v>
      </c>
    </row>
    <row r="8228" spans="1:4" x14ac:dyDescent="0.25">
      <c r="A8228" s="139" t="s">
        <v>19142</v>
      </c>
      <c r="B8228" s="139" t="s">
        <v>19143</v>
      </c>
      <c r="C8228" s="139" t="s">
        <v>1604</v>
      </c>
      <c r="D8228" s="139" t="s">
        <v>19144</v>
      </c>
    </row>
    <row r="8229" spans="1:4" x14ac:dyDescent="0.25">
      <c r="A8229" s="139" t="s">
        <v>19145</v>
      </c>
      <c r="B8229" s="139" t="s">
        <v>19143</v>
      </c>
      <c r="C8229" s="139" t="s">
        <v>1604</v>
      </c>
      <c r="D8229" s="139" t="s">
        <v>19146</v>
      </c>
    </row>
    <row r="8230" spans="1:4" x14ac:dyDescent="0.25">
      <c r="A8230" s="139" t="s">
        <v>19147</v>
      </c>
      <c r="B8230" s="139" t="s">
        <v>18931</v>
      </c>
      <c r="C8230" s="139" t="s">
        <v>1604</v>
      </c>
      <c r="D8230" s="139" t="s">
        <v>19148</v>
      </c>
    </row>
    <row r="8231" spans="1:4" x14ac:dyDescent="0.25">
      <c r="A8231" s="139" t="s">
        <v>19149</v>
      </c>
      <c r="B8231" s="139" t="s">
        <v>18931</v>
      </c>
      <c r="C8231" s="139" t="s">
        <v>1604</v>
      </c>
      <c r="D8231" s="139" t="s">
        <v>19150</v>
      </c>
    </row>
    <row r="8232" spans="1:4" x14ac:dyDescent="0.25">
      <c r="A8232" s="139" t="s">
        <v>19151</v>
      </c>
      <c r="B8232" s="139" t="s">
        <v>19152</v>
      </c>
      <c r="C8232" s="139" t="s">
        <v>1604</v>
      </c>
      <c r="D8232" s="139" t="s">
        <v>19153</v>
      </c>
    </row>
    <row r="8233" spans="1:4" x14ac:dyDescent="0.25">
      <c r="A8233" s="139" t="s">
        <v>19154</v>
      </c>
      <c r="B8233" s="139" t="s">
        <v>19152</v>
      </c>
      <c r="C8233" s="139" t="s">
        <v>1604</v>
      </c>
      <c r="D8233" s="139" t="s">
        <v>19155</v>
      </c>
    </row>
    <row r="8234" spans="1:4" x14ac:dyDescent="0.25">
      <c r="A8234" s="139" t="s">
        <v>19156</v>
      </c>
      <c r="B8234" s="139" t="s">
        <v>6254</v>
      </c>
      <c r="C8234" s="139" t="s">
        <v>1604</v>
      </c>
      <c r="D8234" s="139" t="s">
        <v>19157</v>
      </c>
    </row>
    <row r="8235" spans="1:4" x14ac:dyDescent="0.25">
      <c r="A8235" s="139" t="s">
        <v>19158</v>
      </c>
      <c r="B8235" s="139" t="s">
        <v>6254</v>
      </c>
      <c r="C8235" s="139" t="s">
        <v>1604</v>
      </c>
      <c r="D8235" s="139" t="s">
        <v>19159</v>
      </c>
    </row>
    <row r="8236" spans="1:4" x14ac:dyDescent="0.25">
      <c r="A8236" s="139" t="s">
        <v>19160</v>
      </c>
      <c r="B8236" s="139" t="s">
        <v>10092</v>
      </c>
      <c r="C8236" s="139" t="s">
        <v>1604</v>
      </c>
      <c r="D8236" s="139" t="s">
        <v>19161</v>
      </c>
    </row>
    <row r="8237" spans="1:4" x14ac:dyDescent="0.25">
      <c r="A8237" s="139" t="s">
        <v>19162</v>
      </c>
      <c r="B8237" s="139" t="s">
        <v>10092</v>
      </c>
      <c r="C8237" s="139" t="s">
        <v>1604</v>
      </c>
      <c r="D8237" s="139" t="s">
        <v>19163</v>
      </c>
    </row>
    <row r="8238" spans="1:4" x14ac:dyDescent="0.25">
      <c r="A8238" s="139" t="s">
        <v>19164</v>
      </c>
      <c r="B8238" s="139" t="s">
        <v>18872</v>
      </c>
      <c r="C8238" s="139" t="s">
        <v>1604</v>
      </c>
      <c r="D8238" s="139" t="s">
        <v>19165</v>
      </c>
    </row>
    <row r="8239" spans="1:4" x14ac:dyDescent="0.25">
      <c r="A8239" s="139" t="s">
        <v>19166</v>
      </c>
      <c r="B8239" s="139" t="s">
        <v>18872</v>
      </c>
      <c r="C8239" s="139" t="s">
        <v>1604</v>
      </c>
      <c r="D8239" s="139" t="s">
        <v>19167</v>
      </c>
    </row>
    <row r="8240" spans="1:4" x14ac:dyDescent="0.25">
      <c r="A8240" s="139" t="s">
        <v>19168</v>
      </c>
      <c r="B8240" s="139" t="s">
        <v>18975</v>
      </c>
      <c r="C8240" s="139" t="s">
        <v>1604</v>
      </c>
      <c r="D8240" s="139" t="s">
        <v>19169</v>
      </c>
    </row>
    <row r="8241" spans="1:4" x14ac:dyDescent="0.25">
      <c r="A8241" s="139" t="s">
        <v>19170</v>
      </c>
      <c r="B8241" s="139" t="s">
        <v>18975</v>
      </c>
      <c r="C8241" s="139" t="s">
        <v>1604</v>
      </c>
      <c r="D8241" s="139" t="s">
        <v>19171</v>
      </c>
    </row>
    <row r="8242" spans="1:4" x14ac:dyDescent="0.25">
      <c r="A8242" s="139" t="s">
        <v>19172</v>
      </c>
      <c r="B8242" s="139" t="s">
        <v>19173</v>
      </c>
      <c r="C8242" s="139" t="s">
        <v>1604</v>
      </c>
      <c r="D8242" s="139" t="s">
        <v>19174</v>
      </c>
    </row>
    <row r="8243" spans="1:4" x14ac:dyDescent="0.25">
      <c r="A8243" s="139" t="s">
        <v>19175</v>
      </c>
      <c r="B8243" s="139" t="s">
        <v>19173</v>
      </c>
      <c r="C8243" s="139" t="s">
        <v>1604</v>
      </c>
      <c r="D8243" s="139" t="s">
        <v>19176</v>
      </c>
    </row>
    <row r="8244" spans="1:4" x14ac:dyDescent="0.25">
      <c r="A8244" s="139" t="s">
        <v>19177</v>
      </c>
      <c r="B8244" s="139" t="s">
        <v>19178</v>
      </c>
      <c r="C8244" s="139" t="s">
        <v>65</v>
      </c>
      <c r="D8244" s="139" t="s">
        <v>19179</v>
      </c>
    </row>
    <row r="8245" spans="1:4" x14ac:dyDescent="0.25">
      <c r="A8245" s="139" t="s">
        <v>19180</v>
      </c>
      <c r="B8245" s="139" t="s">
        <v>19178</v>
      </c>
      <c r="C8245" s="139" t="s">
        <v>65</v>
      </c>
      <c r="D8245" s="139" t="s">
        <v>19181</v>
      </c>
    </row>
    <row r="8246" spans="1:4" x14ac:dyDescent="0.25">
      <c r="A8246" s="139" t="s">
        <v>19182</v>
      </c>
      <c r="B8246" s="139" t="s">
        <v>19183</v>
      </c>
      <c r="C8246" s="139" t="s">
        <v>33</v>
      </c>
      <c r="D8246" s="139" t="s">
        <v>19184</v>
      </c>
    </row>
    <row r="8247" spans="1:4" x14ac:dyDescent="0.25">
      <c r="A8247" s="139" t="s">
        <v>19185</v>
      </c>
      <c r="B8247" s="139" t="s">
        <v>19183</v>
      </c>
      <c r="C8247" s="139" t="s">
        <v>33</v>
      </c>
      <c r="D8247" s="139" t="s">
        <v>19186</v>
      </c>
    </row>
    <row r="8248" spans="1:4" x14ac:dyDescent="0.25">
      <c r="A8248" s="139" t="s">
        <v>19187</v>
      </c>
      <c r="B8248" s="139" t="s">
        <v>19188</v>
      </c>
      <c r="C8248" s="139" t="s">
        <v>33</v>
      </c>
      <c r="D8248" s="139" t="s">
        <v>19189</v>
      </c>
    </row>
    <row r="8249" spans="1:4" x14ac:dyDescent="0.25">
      <c r="A8249" s="139" t="s">
        <v>19190</v>
      </c>
      <c r="B8249" s="139" t="s">
        <v>19188</v>
      </c>
      <c r="C8249" s="139" t="s">
        <v>33</v>
      </c>
      <c r="D8249" s="139" t="s">
        <v>19191</v>
      </c>
    </row>
    <row r="8250" spans="1:4" x14ac:dyDescent="0.25">
      <c r="A8250" s="139" t="s">
        <v>19192</v>
      </c>
      <c r="B8250" s="139" t="s">
        <v>19193</v>
      </c>
      <c r="C8250" s="139" t="s">
        <v>33</v>
      </c>
      <c r="D8250" s="139" t="s">
        <v>19194</v>
      </c>
    </row>
    <row r="8251" spans="1:4" x14ac:dyDescent="0.25">
      <c r="A8251" s="139" t="s">
        <v>19195</v>
      </c>
      <c r="B8251" s="139" t="s">
        <v>19193</v>
      </c>
      <c r="C8251" s="139" t="s">
        <v>33</v>
      </c>
      <c r="D8251" s="139" t="s">
        <v>19196</v>
      </c>
    </row>
    <row r="8252" spans="1:4" x14ac:dyDescent="0.25">
      <c r="A8252" s="139" t="s">
        <v>19197</v>
      </c>
      <c r="B8252" s="139" t="s">
        <v>19198</v>
      </c>
      <c r="C8252" s="139" t="s">
        <v>33</v>
      </c>
      <c r="D8252" s="139" t="s">
        <v>19199</v>
      </c>
    </row>
    <row r="8253" spans="1:4" x14ac:dyDescent="0.25">
      <c r="A8253" s="139" t="s">
        <v>19200</v>
      </c>
      <c r="B8253" s="139" t="s">
        <v>19198</v>
      </c>
      <c r="C8253" s="139" t="s">
        <v>33</v>
      </c>
      <c r="D8253" s="139" t="s">
        <v>19201</v>
      </c>
    </row>
    <row r="8254" spans="1:4" x14ac:dyDescent="0.25">
      <c r="A8254" s="139" t="s">
        <v>19202</v>
      </c>
      <c r="B8254" s="139" t="s">
        <v>19203</v>
      </c>
      <c r="C8254" s="139" t="s">
        <v>33</v>
      </c>
      <c r="D8254" s="139" t="s">
        <v>19204</v>
      </c>
    </row>
    <row r="8255" spans="1:4" x14ac:dyDescent="0.25">
      <c r="A8255" s="139" t="s">
        <v>19205</v>
      </c>
      <c r="B8255" s="139" t="s">
        <v>19203</v>
      </c>
      <c r="C8255" s="139" t="s">
        <v>33</v>
      </c>
      <c r="D8255" s="139" t="s">
        <v>19206</v>
      </c>
    </row>
    <row r="8256" spans="1:4" x14ac:dyDescent="0.25">
      <c r="A8256" s="139" t="s">
        <v>19207</v>
      </c>
      <c r="B8256" s="139" t="s">
        <v>19208</v>
      </c>
      <c r="C8256" s="139" t="s">
        <v>33</v>
      </c>
      <c r="D8256" s="139" t="s">
        <v>19209</v>
      </c>
    </row>
    <row r="8257" spans="1:4" x14ac:dyDescent="0.25">
      <c r="A8257" s="139" t="s">
        <v>19210</v>
      </c>
      <c r="B8257" s="139" t="s">
        <v>19208</v>
      </c>
      <c r="C8257" s="139" t="s">
        <v>33</v>
      </c>
      <c r="D8257" s="139" t="s">
        <v>19211</v>
      </c>
    </row>
    <row r="8258" spans="1:4" x14ac:dyDescent="0.25">
      <c r="A8258" s="139" t="s">
        <v>19212</v>
      </c>
      <c r="B8258" s="139" t="s">
        <v>13312</v>
      </c>
      <c r="C8258" s="139" t="s">
        <v>33</v>
      </c>
      <c r="D8258" s="139" t="s">
        <v>19213</v>
      </c>
    </row>
    <row r="8259" spans="1:4" x14ac:dyDescent="0.25">
      <c r="A8259" s="139" t="s">
        <v>19214</v>
      </c>
      <c r="B8259" s="139" t="s">
        <v>13312</v>
      </c>
      <c r="C8259" s="139" t="s">
        <v>33</v>
      </c>
      <c r="D8259" s="139" t="s">
        <v>19215</v>
      </c>
    </row>
    <row r="8260" spans="1:4" x14ac:dyDescent="0.25">
      <c r="A8260" s="139" t="s">
        <v>19216</v>
      </c>
      <c r="B8260" s="139" t="s">
        <v>14346</v>
      </c>
      <c r="C8260" s="139" t="s">
        <v>33</v>
      </c>
      <c r="D8260" s="139" t="s">
        <v>19217</v>
      </c>
    </row>
    <row r="8261" spans="1:4" x14ac:dyDescent="0.25">
      <c r="A8261" s="139" t="s">
        <v>19218</v>
      </c>
      <c r="B8261" s="139" t="s">
        <v>14346</v>
      </c>
      <c r="C8261" s="139" t="s">
        <v>33</v>
      </c>
      <c r="D8261" s="139" t="s">
        <v>19219</v>
      </c>
    </row>
    <row r="8262" spans="1:4" x14ac:dyDescent="0.25">
      <c r="A8262" s="139" t="s">
        <v>19220</v>
      </c>
      <c r="B8262" s="139" t="s">
        <v>19221</v>
      </c>
      <c r="C8262" s="139" t="s">
        <v>33</v>
      </c>
      <c r="D8262" s="139" t="s">
        <v>19222</v>
      </c>
    </row>
    <row r="8263" spans="1:4" x14ac:dyDescent="0.25">
      <c r="A8263" s="139" t="s">
        <v>19223</v>
      </c>
      <c r="B8263" s="139" t="s">
        <v>19221</v>
      </c>
      <c r="C8263" s="139" t="s">
        <v>33</v>
      </c>
      <c r="D8263" s="139" t="s">
        <v>19224</v>
      </c>
    </row>
    <row r="8264" spans="1:4" x14ac:dyDescent="0.25">
      <c r="A8264" s="139" t="s">
        <v>19225</v>
      </c>
      <c r="B8264" s="139" t="s">
        <v>19226</v>
      </c>
      <c r="C8264" s="139" t="s">
        <v>33</v>
      </c>
      <c r="D8264" s="139" t="s">
        <v>19227</v>
      </c>
    </row>
    <row r="8265" spans="1:4" x14ac:dyDescent="0.25">
      <c r="A8265" s="139" t="s">
        <v>19228</v>
      </c>
      <c r="B8265" s="139" t="s">
        <v>19226</v>
      </c>
      <c r="C8265" s="139" t="s">
        <v>33</v>
      </c>
      <c r="D8265" s="139" t="s">
        <v>19229</v>
      </c>
    </row>
    <row r="8266" spans="1:4" x14ac:dyDescent="0.25">
      <c r="A8266" s="139" t="s">
        <v>19230</v>
      </c>
      <c r="B8266" s="139" t="s">
        <v>13322</v>
      </c>
      <c r="C8266" s="139" t="s">
        <v>33</v>
      </c>
      <c r="D8266" s="139" t="s">
        <v>19231</v>
      </c>
    </row>
    <row r="8267" spans="1:4" x14ac:dyDescent="0.25">
      <c r="A8267" s="139" t="s">
        <v>19232</v>
      </c>
      <c r="B8267" s="139" t="s">
        <v>13322</v>
      </c>
      <c r="C8267" s="139" t="s">
        <v>33</v>
      </c>
      <c r="D8267" s="139" t="s">
        <v>19233</v>
      </c>
    </row>
    <row r="8268" spans="1:4" x14ac:dyDescent="0.25">
      <c r="A8268" s="139" t="s">
        <v>19234</v>
      </c>
      <c r="B8268" s="139" t="s">
        <v>19235</v>
      </c>
      <c r="C8268" s="139" t="s">
        <v>65</v>
      </c>
      <c r="D8268" s="139" t="s">
        <v>19236</v>
      </c>
    </row>
    <row r="8269" spans="1:4" x14ac:dyDescent="0.25">
      <c r="A8269" s="139" t="s">
        <v>19237</v>
      </c>
      <c r="B8269" s="139" t="s">
        <v>19235</v>
      </c>
      <c r="C8269" s="139" t="s">
        <v>65</v>
      </c>
      <c r="D8269" s="139" t="s">
        <v>19238</v>
      </c>
    </row>
    <row r="8270" spans="1:4" x14ac:dyDescent="0.25">
      <c r="A8270" s="139" t="s">
        <v>19239</v>
      </c>
      <c r="B8270" s="139" t="s">
        <v>19240</v>
      </c>
      <c r="C8270" s="139" t="s">
        <v>65</v>
      </c>
      <c r="D8270" s="139" t="s">
        <v>19241</v>
      </c>
    </row>
    <row r="8271" spans="1:4" x14ac:dyDescent="0.25">
      <c r="A8271" s="139" t="s">
        <v>19242</v>
      </c>
      <c r="B8271" s="139" t="s">
        <v>19240</v>
      </c>
      <c r="C8271" s="139" t="s">
        <v>65</v>
      </c>
      <c r="D8271" s="139" t="s">
        <v>19243</v>
      </c>
    </row>
    <row r="8272" spans="1:4" x14ac:dyDescent="0.25">
      <c r="A8272" s="139" t="s">
        <v>19244</v>
      </c>
      <c r="B8272" s="139" t="s">
        <v>19245</v>
      </c>
      <c r="C8272" s="139" t="s">
        <v>65</v>
      </c>
      <c r="D8272" s="139" t="s">
        <v>19246</v>
      </c>
    </row>
    <row r="8273" spans="1:4" x14ac:dyDescent="0.25">
      <c r="A8273" s="139" t="s">
        <v>19247</v>
      </c>
      <c r="B8273" s="139" t="s">
        <v>19245</v>
      </c>
      <c r="C8273" s="139" t="s">
        <v>65</v>
      </c>
      <c r="D8273" s="139" t="s">
        <v>19248</v>
      </c>
    </row>
    <row r="8274" spans="1:4" x14ac:dyDescent="0.25">
      <c r="A8274" s="139" t="s">
        <v>19249</v>
      </c>
      <c r="B8274" s="139" t="s">
        <v>19250</v>
      </c>
      <c r="C8274" s="139" t="s">
        <v>65</v>
      </c>
      <c r="D8274" s="139" t="s">
        <v>19251</v>
      </c>
    </row>
    <row r="8275" spans="1:4" x14ac:dyDescent="0.25">
      <c r="A8275" s="139" t="s">
        <v>19252</v>
      </c>
      <c r="B8275" s="139" t="s">
        <v>19250</v>
      </c>
      <c r="C8275" s="139" t="s">
        <v>65</v>
      </c>
      <c r="D8275" s="139" t="s">
        <v>19253</v>
      </c>
    </row>
    <row r="8276" spans="1:4" x14ac:dyDescent="0.25">
      <c r="A8276" s="139" t="s">
        <v>19254</v>
      </c>
      <c r="B8276" s="139" t="s">
        <v>19255</v>
      </c>
      <c r="C8276" s="139" t="s">
        <v>65</v>
      </c>
      <c r="D8276" s="139" t="s">
        <v>19256</v>
      </c>
    </row>
    <row r="8277" spans="1:4" x14ac:dyDescent="0.25">
      <c r="A8277" s="139" t="s">
        <v>19257</v>
      </c>
      <c r="B8277" s="139" t="s">
        <v>19255</v>
      </c>
      <c r="C8277" s="139" t="s">
        <v>65</v>
      </c>
      <c r="D8277" s="139" t="s">
        <v>19258</v>
      </c>
    </row>
    <row r="8278" spans="1:4" x14ac:dyDescent="0.25">
      <c r="A8278" s="139" t="s">
        <v>19259</v>
      </c>
      <c r="B8278" s="139" t="s">
        <v>19260</v>
      </c>
      <c r="C8278" s="139" t="s">
        <v>65</v>
      </c>
      <c r="D8278" s="139" t="s">
        <v>19261</v>
      </c>
    </row>
    <row r="8279" spans="1:4" x14ac:dyDescent="0.25">
      <c r="A8279" s="139" t="s">
        <v>19262</v>
      </c>
      <c r="B8279" s="139" t="s">
        <v>19260</v>
      </c>
      <c r="C8279" s="139" t="s">
        <v>65</v>
      </c>
      <c r="D8279" s="139" t="s">
        <v>19263</v>
      </c>
    </row>
    <row r="8280" spans="1:4" x14ac:dyDescent="0.25">
      <c r="A8280" s="139" t="s">
        <v>19264</v>
      </c>
      <c r="B8280" s="139" t="s">
        <v>19265</v>
      </c>
      <c r="C8280" s="139" t="s">
        <v>65</v>
      </c>
      <c r="D8280" s="139" t="s">
        <v>19266</v>
      </c>
    </row>
    <row r="8281" spans="1:4" x14ac:dyDescent="0.25">
      <c r="A8281" s="139" t="s">
        <v>19267</v>
      </c>
      <c r="B8281" s="139" t="s">
        <v>19265</v>
      </c>
      <c r="C8281" s="139" t="s">
        <v>65</v>
      </c>
      <c r="D8281" s="139" t="s">
        <v>19268</v>
      </c>
    </row>
    <row r="8282" spans="1:4" x14ac:dyDescent="0.25">
      <c r="A8282" s="139" t="s">
        <v>19269</v>
      </c>
      <c r="B8282" s="139" t="s">
        <v>19270</v>
      </c>
      <c r="C8282" s="139" t="s">
        <v>65</v>
      </c>
      <c r="D8282" s="139" t="s">
        <v>19271</v>
      </c>
    </row>
    <row r="8283" spans="1:4" x14ac:dyDescent="0.25">
      <c r="A8283" s="139" t="s">
        <v>19272</v>
      </c>
      <c r="B8283" s="139" t="s">
        <v>19270</v>
      </c>
      <c r="C8283" s="139" t="s">
        <v>65</v>
      </c>
      <c r="D8283" s="139" t="s">
        <v>19273</v>
      </c>
    </row>
    <row r="8284" spans="1:4" x14ac:dyDescent="0.25">
      <c r="A8284" s="139" t="s">
        <v>19274</v>
      </c>
      <c r="B8284" s="139" t="s">
        <v>19275</v>
      </c>
      <c r="C8284" s="139" t="s">
        <v>65</v>
      </c>
      <c r="D8284" s="139" t="s">
        <v>19276</v>
      </c>
    </row>
    <row r="8285" spans="1:4" x14ac:dyDescent="0.25">
      <c r="A8285" s="139" t="s">
        <v>19277</v>
      </c>
      <c r="B8285" s="139" t="s">
        <v>19275</v>
      </c>
      <c r="C8285" s="139" t="s">
        <v>65</v>
      </c>
      <c r="D8285" s="139" t="s">
        <v>19278</v>
      </c>
    </row>
    <row r="8286" spans="1:4" x14ac:dyDescent="0.25">
      <c r="A8286" s="139" t="s">
        <v>19279</v>
      </c>
      <c r="B8286" s="139" t="s">
        <v>19280</v>
      </c>
      <c r="C8286" s="139" t="s">
        <v>65</v>
      </c>
      <c r="D8286" s="139" t="s">
        <v>19281</v>
      </c>
    </row>
    <row r="8287" spans="1:4" x14ac:dyDescent="0.25">
      <c r="A8287" s="139" t="s">
        <v>19282</v>
      </c>
      <c r="B8287" s="139" t="s">
        <v>19280</v>
      </c>
      <c r="C8287" s="139" t="s">
        <v>65</v>
      </c>
      <c r="D8287" s="139" t="s">
        <v>19283</v>
      </c>
    </row>
    <row r="8288" spans="1:4" x14ac:dyDescent="0.25">
      <c r="A8288" s="139" t="s">
        <v>19284</v>
      </c>
      <c r="B8288" s="139" t="s">
        <v>19285</v>
      </c>
      <c r="C8288" s="139" t="s">
        <v>65</v>
      </c>
      <c r="D8288" s="139" t="s">
        <v>19286</v>
      </c>
    </row>
    <row r="8289" spans="1:4" x14ac:dyDescent="0.25">
      <c r="A8289" s="139" t="s">
        <v>19287</v>
      </c>
      <c r="B8289" s="139" t="s">
        <v>19285</v>
      </c>
      <c r="C8289" s="139" t="s">
        <v>65</v>
      </c>
      <c r="D8289" s="139" t="s">
        <v>19288</v>
      </c>
    </row>
    <row r="8290" spans="1:4" x14ac:dyDescent="0.25">
      <c r="A8290" s="139" t="s">
        <v>19289</v>
      </c>
      <c r="B8290" s="139" t="s">
        <v>13453</v>
      </c>
      <c r="C8290" s="139" t="s">
        <v>65</v>
      </c>
      <c r="D8290" s="139" t="s">
        <v>19290</v>
      </c>
    </row>
    <row r="8291" spans="1:4" x14ac:dyDescent="0.25">
      <c r="A8291" s="139" t="s">
        <v>19291</v>
      </c>
      <c r="B8291" s="139" t="s">
        <v>13453</v>
      </c>
      <c r="C8291" s="139" t="s">
        <v>65</v>
      </c>
      <c r="D8291" s="139" t="s">
        <v>19292</v>
      </c>
    </row>
    <row r="8292" spans="1:4" x14ac:dyDescent="0.25">
      <c r="A8292" s="139" t="s">
        <v>19293</v>
      </c>
      <c r="B8292" s="139" t="s">
        <v>19294</v>
      </c>
      <c r="C8292" s="139" t="s">
        <v>65</v>
      </c>
      <c r="D8292" s="139" t="s">
        <v>19295</v>
      </c>
    </row>
    <row r="8293" spans="1:4" x14ac:dyDescent="0.25">
      <c r="A8293" s="139" t="s">
        <v>19296</v>
      </c>
      <c r="B8293" s="139" t="s">
        <v>19294</v>
      </c>
      <c r="C8293" s="139" t="s">
        <v>65</v>
      </c>
      <c r="D8293" s="139" t="s">
        <v>19297</v>
      </c>
    </row>
    <row r="8294" spans="1:4" x14ac:dyDescent="0.25">
      <c r="A8294" s="139" t="s">
        <v>19298</v>
      </c>
      <c r="B8294" s="139" t="s">
        <v>19299</v>
      </c>
      <c r="C8294" s="139" t="s">
        <v>65</v>
      </c>
      <c r="D8294" s="139" t="s">
        <v>19300</v>
      </c>
    </row>
    <row r="8295" spans="1:4" x14ac:dyDescent="0.25">
      <c r="A8295" s="139" t="s">
        <v>19301</v>
      </c>
      <c r="B8295" s="139" t="s">
        <v>19299</v>
      </c>
      <c r="C8295" s="139" t="s">
        <v>65</v>
      </c>
      <c r="D8295" s="139" t="s">
        <v>19302</v>
      </c>
    </row>
    <row r="8296" spans="1:4" x14ac:dyDescent="0.25">
      <c r="A8296" s="139" t="s">
        <v>19303</v>
      </c>
      <c r="B8296" s="139" t="s">
        <v>19304</v>
      </c>
      <c r="C8296" s="139" t="s">
        <v>65</v>
      </c>
      <c r="D8296" s="139" t="s">
        <v>19305</v>
      </c>
    </row>
    <row r="8297" spans="1:4" x14ac:dyDescent="0.25">
      <c r="A8297" s="139" t="s">
        <v>19306</v>
      </c>
      <c r="B8297" s="139" t="s">
        <v>19304</v>
      </c>
      <c r="C8297" s="139" t="s">
        <v>65</v>
      </c>
      <c r="D8297" s="139" t="s">
        <v>19307</v>
      </c>
    </row>
    <row r="8298" spans="1:4" x14ac:dyDescent="0.25">
      <c r="A8298" s="139" t="s">
        <v>19308</v>
      </c>
      <c r="B8298" s="139" t="s">
        <v>19309</v>
      </c>
      <c r="C8298" s="139" t="s">
        <v>65</v>
      </c>
      <c r="D8298" s="139" t="s">
        <v>19310</v>
      </c>
    </row>
    <row r="8299" spans="1:4" x14ac:dyDescent="0.25">
      <c r="A8299" s="139" t="s">
        <v>19311</v>
      </c>
      <c r="B8299" s="139" t="s">
        <v>19309</v>
      </c>
      <c r="C8299" s="139" t="s">
        <v>65</v>
      </c>
      <c r="D8299" s="139" t="s">
        <v>19312</v>
      </c>
    </row>
    <row r="8300" spans="1:4" x14ac:dyDescent="0.25">
      <c r="A8300" s="139" t="s">
        <v>19313</v>
      </c>
      <c r="B8300" s="139" t="s">
        <v>19314</v>
      </c>
      <c r="C8300" s="139" t="s">
        <v>65</v>
      </c>
      <c r="D8300" s="139" t="s">
        <v>19315</v>
      </c>
    </row>
    <row r="8301" spans="1:4" x14ac:dyDescent="0.25">
      <c r="A8301" s="139" t="s">
        <v>19316</v>
      </c>
      <c r="B8301" s="139" t="s">
        <v>19314</v>
      </c>
      <c r="C8301" s="139" t="s">
        <v>65</v>
      </c>
      <c r="D8301" s="139" t="s">
        <v>19317</v>
      </c>
    </row>
    <row r="8302" spans="1:4" x14ac:dyDescent="0.25">
      <c r="A8302" s="139" t="s">
        <v>19318</v>
      </c>
      <c r="B8302" s="139" t="s">
        <v>19319</v>
      </c>
      <c r="C8302" s="139" t="s">
        <v>65</v>
      </c>
      <c r="D8302" s="139" t="s">
        <v>19320</v>
      </c>
    </row>
    <row r="8303" spans="1:4" x14ac:dyDescent="0.25">
      <c r="A8303" s="139" t="s">
        <v>19321</v>
      </c>
      <c r="B8303" s="139" t="s">
        <v>19319</v>
      </c>
      <c r="C8303" s="139" t="s">
        <v>65</v>
      </c>
      <c r="D8303" s="139" t="s">
        <v>19322</v>
      </c>
    </row>
    <row r="8304" spans="1:4" x14ac:dyDescent="0.25">
      <c r="A8304" s="139" t="s">
        <v>19323</v>
      </c>
      <c r="B8304" s="139" t="s">
        <v>19324</v>
      </c>
      <c r="C8304" s="139" t="s">
        <v>65</v>
      </c>
      <c r="D8304" s="139" t="s">
        <v>19325</v>
      </c>
    </row>
    <row r="8305" spans="1:4" x14ac:dyDescent="0.25">
      <c r="A8305" s="139" t="s">
        <v>19326</v>
      </c>
      <c r="B8305" s="139" t="s">
        <v>19324</v>
      </c>
      <c r="C8305" s="139" t="s">
        <v>65</v>
      </c>
      <c r="D8305" s="139" t="s">
        <v>19327</v>
      </c>
    </row>
    <row r="8306" spans="1:4" x14ac:dyDescent="0.25">
      <c r="A8306" s="139" t="s">
        <v>19328</v>
      </c>
      <c r="B8306" s="139" t="s">
        <v>19329</v>
      </c>
      <c r="C8306" s="139" t="s">
        <v>65</v>
      </c>
      <c r="D8306" s="139" t="s">
        <v>19330</v>
      </c>
    </row>
    <row r="8307" spans="1:4" x14ac:dyDescent="0.25">
      <c r="A8307" s="139" t="s">
        <v>19331</v>
      </c>
      <c r="B8307" s="139" t="s">
        <v>19329</v>
      </c>
      <c r="C8307" s="139" t="s">
        <v>65</v>
      </c>
      <c r="D8307" s="139" t="s">
        <v>19332</v>
      </c>
    </row>
    <row r="8308" spans="1:4" x14ac:dyDescent="0.25">
      <c r="A8308" s="139" t="s">
        <v>19333</v>
      </c>
      <c r="B8308" s="139" t="s">
        <v>19334</v>
      </c>
      <c r="C8308" s="139" t="s">
        <v>65</v>
      </c>
      <c r="D8308" s="139" t="s">
        <v>19335</v>
      </c>
    </row>
    <row r="8309" spans="1:4" x14ac:dyDescent="0.25">
      <c r="A8309" s="139" t="s">
        <v>19336</v>
      </c>
      <c r="B8309" s="139" t="s">
        <v>19334</v>
      </c>
      <c r="C8309" s="139" t="s">
        <v>65</v>
      </c>
      <c r="D8309" s="139" t="s">
        <v>19337</v>
      </c>
    </row>
    <row r="8310" spans="1:4" x14ac:dyDescent="0.25">
      <c r="A8310" s="139" t="s">
        <v>19338</v>
      </c>
      <c r="B8310" s="139" t="s">
        <v>19339</v>
      </c>
      <c r="C8310" s="139" t="s">
        <v>65</v>
      </c>
      <c r="D8310" s="139" t="s">
        <v>19340</v>
      </c>
    </row>
    <row r="8311" spans="1:4" x14ac:dyDescent="0.25">
      <c r="A8311" s="139" t="s">
        <v>19341</v>
      </c>
      <c r="B8311" s="139" t="s">
        <v>19339</v>
      </c>
      <c r="C8311" s="139" t="s">
        <v>65</v>
      </c>
      <c r="D8311" s="139" t="s">
        <v>19342</v>
      </c>
    </row>
    <row r="8312" spans="1:4" x14ac:dyDescent="0.25">
      <c r="A8312" s="139" t="s">
        <v>19343</v>
      </c>
      <c r="B8312" s="139" t="s">
        <v>1228</v>
      </c>
      <c r="C8312" s="139" t="s">
        <v>65</v>
      </c>
      <c r="D8312" s="139" t="s">
        <v>19344</v>
      </c>
    </row>
    <row r="8313" spans="1:4" x14ac:dyDescent="0.25">
      <c r="A8313" s="139" t="s">
        <v>19345</v>
      </c>
      <c r="B8313" s="139" t="s">
        <v>1228</v>
      </c>
      <c r="C8313" s="139" t="s">
        <v>65</v>
      </c>
      <c r="D8313" s="139" t="s">
        <v>19346</v>
      </c>
    </row>
    <row r="8314" spans="1:4" x14ac:dyDescent="0.25">
      <c r="A8314" s="139" t="s">
        <v>19347</v>
      </c>
      <c r="B8314" s="139" t="s">
        <v>16536</v>
      </c>
      <c r="C8314" s="139" t="s">
        <v>65</v>
      </c>
      <c r="D8314" s="139" t="s">
        <v>19348</v>
      </c>
    </row>
    <row r="8315" spans="1:4" x14ac:dyDescent="0.25">
      <c r="A8315" s="139" t="s">
        <v>19349</v>
      </c>
      <c r="B8315" s="139" t="s">
        <v>16536</v>
      </c>
      <c r="C8315" s="139" t="s">
        <v>65</v>
      </c>
      <c r="D8315" s="139" t="s">
        <v>19350</v>
      </c>
    </row>
    <row r="8316" spans="1:4" x14ac:dyDescent="0.25">
      <c r="A8316" s="139" t="s">
        <v>19351</v>
      </c>
      <c r="B8316" s="139" t="s">
        <v>19352</v>
      </c>
      <c r="C8316" s="139" t="s">
        <v>65</v>
      </c>
      <c r="D8316" s="139" t="s">
        <v>19353</v>
      </c>
    </row>
    <row r="8317" spans="1:4" x14ac:dyDescent="0.25">
      <c r="A8317" s="139" t="s">
        <v>19354</v>
      </c>
      <c r="B8317" s="139" t="s">
        <v>11456</v>
      </c>
      <c r="C8317" s="139" t="s">
        <v>65</v>
      </c>
      <c r="D8317" s="139" t="s">
        <v>19355</v>
      </c>
    </row>
    <row r="8318" spans="1:4" x14ac:dyDescent="0.25">
      <c r="A8318" s="139" t="s">
        <v>19356</v>
      </c>
      <c r="B8318" s="139" t="s">
        <v>17911</v>
      </c>
      <c r="C8318" s="139" t="s">
        <v>65</v>
      </c>
      <c r="D8318" s="139" t="s">
        <v>19357</v>
      </c>
    </row>
    <row r="8319" spans="1:4" x14ac:dyDescent="0.25">
      <c r="A8319" s="139" t="s">
        <v>19358</v>
      </c>
      <c r="B8319" s="139" t="s">
        <v>17911</v>
      </c>
      <c r="C8319" s="139" t="s">
        <v>65</v>
      </c>
      <c r="D8319" s="139" t="s">
        <v>19359</v>
      </c>
    </row>
    <row r="8320" spans="1:4" x14ac:dyDescent="0.25">
      <c r="A8320" s="139" t="s">
        <v>19360</v>
      </c>
      <c r="B8320" s="139" t="s">
        <v>2233</v>
      </c>
      <c r="C8320" s="139" t="s">
        <v>33</v>
      </c>
      <c r="D8320" s="139" t="s">
        <v>19361</v>
      </c>
    </row>
    <row r="8321" spans="1:4" x14ac:dyDescent="0.25">
      <c r="A8321" s="139" t="s">
        <v>19362</v>
      </c>
      <c r="B8321" s="139" t="s">
        <v>2233</v>
      </c>
      <c r="C8321" s="139" t="s">
        <v>33</v>
      </c>
      <c r="D8321" s="139" t="s">
        <v>19363</v>
      </c>
    </row>
    <row r="8322" spans="1:4" x14ac:dyDescent="0.25">
      <c r="A8322" s="139" t="s">
        <v>19364</v>
      </c>
      <c r="B8322" s="139" t="s">
        <v>19365</v>
      </c>
      <c r="C8322" s="139" t="s">
        <v>33</v>
      </c>
      <c r="D8322" s="139" t="s">
        <v>19366</v>
      </c>
    </row>
    <row r="8323" spans="1:4" x14ac:dyDescent="0.25">
      <c r="A8323" s="139" t="s">
        <v>19367</v>
      </c>
      <c r="B8323" s="139" t="s">
        <v>19365</v>
      </c>
      <c r="C8323" s="139" t="s">
        <v>33</v>
      </c>
      <c r="D8323" s="139" t="s">
        <v>19368</v>
      </c>
    </row>
    <row r="8324" spans="1:4" x14ac:dyDescent="0.25">
      <c r="A8324" s="139" t="s">
        <v>19369</v>
      </c>
      <c r="B8324" s="139" t="s">
        <v>19049</v>
      </c>
      <c r="C8324" s="139" t="s">
        <v>33</v>
      </c>
      <c r="D8324" s="139" t="s">
        <v>19370</v>
      </c>
    </row>
    <row r="8325" spans="1:4" x14ac:dyDescent="0.25">
      <c r="A8325" s="139" t="s">
        <v>19371</v>
      </c>
      <c r="B8325" s="139" t="s">
        <v>19049</v>
      </c>
      <c r="C8325" s="139" t="s">
        <v>33</v>
      </c>
      <c r="D8325" s="139" t="s">
        <v>19372</v>
      </c>
    </row>
    <row r="8326" spans="1:4" x14ac:dyDescent="0.25">
      <c r="A8326" s="139" t="s">
        <v>19373</v>
      </c>
      <c r="B8326" s="139" t="s">
        <v>19374</v>
      </c>
      <c r="C8326" s="139" t="s">
        <v>33</v>
      </c>
      <c r="D8326" s="139" t="s">
        <v>19375</v>
      </c>
    </row>
    <row r="8327" spans="1:4" x14ac:dyDescent="0.25">
      <c r="A8327" s="139" t="s">
        <v>19376</v>
      </c>
      <c r="B8327" s="139" t="s">
        <v>19374</v>
      </c>
      <c r="C8327" s="139" t="s">
        <v>33</v>
      </c>
      <c r="D8327" s="139" t="s">
        <v>19377</v>
      </c>
    </row>
    <row r="8328" spans="1:4" x14ac:dyDescent="0.25">
      <c r="A8328" s="139" t="s">
        <v>19378</v>
      </c>
      <c r="B8328" s="139" t="s">
        <v>19379</v>
      </c>
      <c r="C8328" s="139" t="s">
        <v>33</v>
      </c>
      <c r="D8328" s="139" t="s">
        <v>19380</v>
      </c>
    </row>
    <row r="8329" spans="1:4" x14ac:dyDescent="0.25">
      <c r="A8329" s="139" t="s">
        <v>19381</v>
      </c>
      <c r="B8329" s="139" t="s">
        <v>19379</v>
      </c>
      <c r="C8329" s="139" t="s">
        <v>33</v>
      </c>
      <c r="D8329" s="139" t="s">
        <v>19382</v>
      </c>
    </row>
    <row r="8330" spans="1:4" x14ac:dyDescent="0.25">
      <c r="A8330" s="139" t="s">
        <v>19383</v>
      </c>
      <c r="B8330" s="139" t="s">
        <v>19384</v>
      </c>
      <c r="C8330" s="139" t="s">
        <v>33</v>
      </c>
      <c r="D8330" s="139" t="s">
        <v>19385</v>
      </c>
    </row>
    <row r="8331" spans="1:4" x14ac:dyDescent="0.25">
      <c r="A8331" s="139" t="s">
        <v>19386</v>
      </c>
      <c r="B8331" s="139" t="s">
        <v>19384</v>
      </c>
      <c r="C8331" s="139" t="s">
        <v>33</v>
      </c>
      <c r="D8331" s="139" t="s">
        <v>19387</v>
      </c>
    </row>
    <row r="8332" spans="1:4" x14ac:dyDescent="0.25">
      <c r="A8332" s="139" t="s">
        <v>19388</v>
      </c>
      <c r="B8332" s="139" t="s">
        <v>19389</v>
      </c>
      <c r="C8332" s="139" t="s">
        <v>33</v>
      </c>
      <c r="D8332" s="139" t="s">
        <v>19390</v>
      </c>
    </row>
    <row r="8333" spans="1:4" x14ac:dyDescent="0.25">
      <c r="A8333" s="139" t="s">
        <v>19391</v>
      </c>
      <c r="B8333" s="139" t="s">
        <v>19389</v>
      </c>
      <c r="C8333" s="139" t="s">
        <v>33</v>
      </c>
      <c r="D8333" s="139" t="s">
        <v>19392</v>
      </c>
    </row>
    <row r="8334" spans="1:4" x14ac:dyDescent="0.25">
      <c r="A8334" s="139" t="s">
        <v>19393</v>
      </c>
      <c r="B8334" s="139" t="s">
        <v>19394</v>
      </c>
      <c r="C8334" s="139" t="s">
        <v>33</v>
      </c>
      <c r="D8334" s="139" t="s">
        <v>19395</v>
      </c>
    </row>
    <row r="8335" spans="1:4" x14ac:dyDescent="0.25">
      <c r="A8335" s="139" t="s">
        <v>19396</v>
      </c>
      <c r="B8335" s="139" t="s">
        <v>19394</v>
      </c>
      <c r="C8335" s="139" t="s">
        <v>33</v>
      </c>
      <c r="D8335" s="139" t="s">
        <v>19397</v>
      </c>
    </row>
    <row r="8336" spans="1:4" x14ac:dyDescent="0.25">
      <c r="A8336" s="139" t="s">
        <v>19398</v>
      </c>
      <c r="B8336" s="139" t="s">
        <v>19399</v>
      </c>
      <c r="C8336" s="139" t="s">
        <v>33</v>
      </c>
      <c r="D8336" s="139" t="s">
        <v>19400</v>
      </c>
    </row>
    <row r="8337" spans="1:4" x14ac:dyDescent="0.25">
      <c r="A8337" s="139" t="s">
        <v>19401</v>
      </c>
      <c r="B8337" s="139" t="s">
        <v>19399</v>
      </c>
      <c r="C8337" s="139" t="s">
        <v>33</v>
      </c>
      <c r="D8337" s="139" t="s">
        <v>19402</v>
      </c>
    </row>
    <row r="8338" spans="1:4" x14ac:dyDescent="0.25">
      <c r="A8338" s="139" t="s">
        <v>19403</v>
      </c>
      <c r="B8338" s="139" t="s">
        <v>19404</v>
      </c>
      <c r="C8338" s="139" t="s">
        <v>33</v>
      </c>
      <c r="D8338" s="139" t="s">
        <v>19405</v>
      </c>
    </row>
    <row r="8339" spans="1:4" x14ac:dyDescent="0.25">
      <c r="A8339" s="139" t="s">
        <v>19406</v>
      </c>
      <c r="B8339" s="139" t="s">
        <v>19404</v>
      </c>
      <c r="C8339" s="139" t="s">
        <v>33</v>
      </c>
      <c r="D8339" s="139" t="s">
        <v>19407</v>
      </c>
    </row>
    <row r="8340" spans="1:4" x14ac:dyDescent="0.25">
      <c r="A8340" s="139" t="s">
        <v>19408</v>
      </c>
      <c r="B8340" s="139" t="s">
        <v>19409</v>
      </c>
      <c r="C8340" s="139" t="s">
        <v>33</v>
      </c>
      <c r="D8340" s="139" t="s">
        <v>19410</v>
      </c>
    </row>
    <row r="8341" spans="1:4" x14ac:dyDescent="0.25">
      <c r="A8341" s="139" t="s">
        <v>19411</v>
      </c>
      <c r="B8341" s="139" t="s">
        <v>19409</v>
      </c>
      <c r="C8341" s="139" t="s">
        <v>33</v>
      </c>
      <c r="D8341" s="139" t="s">
        <v>19412</v>
      </c>
    </row>
    <row r="8342" spans="1:4" x14ac:dyDescent="0.25">
      <c r="A8342" s="139" t="s">
        <v>19413</v>
      </c>
      <c r="B8342" s="139" t="s">
        <v>19414</v>
      </c>
      <c r="C8342" s="139" t="s">
        <v>33</v>
      </c>
      <c r="D8342" s="139" t="s">
        <v>19415</v>
      </c>
    </row>
    <row r="8343" spans="1:4" x14ac:dyDescent="0.25">
      <c r="A8343" s="139" t="s">
        <v>19416</v>
      </c>
      <c r="B8343" s="139" t="s">
        <v>19414</v>
      </c>
      <c r="C8343" s="139" t="s">
        <v>33</v>
      </c>
      <c r="D8343" s="139" t="s">
        <v>19417</v>
      </c>
    </row>
    <row r="8344" spans="1:4" x14ac:dyDescent="0.25">
      <c r="A8344" s="139" t="s">
        <v>19418</v>
      </c>
      <c r="B8344" s="139" t="s">
        <v>11227</v>
      </c>
      <c r="C8344" s="139" t="s">
        <v>33</v>
      </c>
      <c r="D8344" s="139" t="s">
        <v>19419</v>
      </c>
    </row>
    <row r="8345" spans="1:4" x14ac:dyDescent="0.25">
      <c r="A8345" s="139" t="s">
        <v>19420</v>
      </c>
      <c r="B8345" s="139" t="s">
        <v>11227</v>
      </c>
      <c r="C8345" s="139" t="s">
        <v>33</v>
      </c>
      <c r="D8345" s="139" t="s">
        <v>19421</v>
      </c>
    </row>
    <row r="8346" spans="1:4" x14ac:dyDescent="0.25">
      <c r="A8346" s="139" t="s">
        <v>19422</v>
      </c>
      <c r="B8346" s="139" t="s">
        <v>12519</v>
      </c>
      <c r="C8346" s="139" t="s">
        <v>65</v>
      </c>
      <c r="D8346" s="139" t="s">
        <v>19423</v>
      </c>
    </row>
    <row r="8347" spans="1:4" x14ac:dyDescent="0.25">
      <c r="A8347" s="139" t="s">
        <v>19424</v>
      </c>
      <c r="B8347" s="139" t="s">
        <v>19425</v>
      </c>
      <c r="C8347" s="139" t="s">
        <v>65</v>
      </c>
      <c r="D8347" s="139" t="s">
        <v>19426</v>
      </c>
    </row>
    <row r="8348" spans="1:4" x14ac:dyDescent="0.25">
      <c r="A8348" s="139" t="s">
        <v>19427</v>
      </c>
      <c r="B8348" s="139" t="s">
        <v>3623</v>
      </c>
      <c r="C8348" s="139" t="s">
        <v>65</v>
      </c>
      <c r="D8348" s="139" t="s">
        <v>19428</v>
      </c>
    </row>
    <row r="8349" spans="1:4" x14ac:dyDescent="0.25">
      <c r="A8349" s="139" t="s">
        <v>19429</v>
      </c>
      <c r="B8349" s="139" t="s">
        <v>6960</v>
      </c>
      <c r="C8349" s="139" t="s">
        <v>65</v>
      </c>
      <c r="D8349" s="139" t="s">
        <v>19430</v>
      </c>
    </row>
    <row r="8350" spans="1:4" x14ac:dyDescent="0.25">
      <c r="A8350" s="139" t="s">
        <v>19431</v>
      </c>
      <c r="B8350" s="139" t="s">
        <v>1554</v>
      </c>
      <c r="C8350" s="139" t="s">
        <v>65</v>
      </c>
      <c r="D8350" s="139" t="s">
        <v>19432</v>
      </c>
    </row>
    <row r="8351" spans="1:4" x14ac:dyDescent="0.25">
      <c r="A8351" s="139" t="s">
        <v>19433</v>
      </c>
      <c r="B8351" s="139" t="s">
        <v>3921</v>
      </c>
      <c r="C8351" s="139" t="s">
        <v>65</v>
      </c>
      <c r="D8351" s="139" t="s">
        <v>19434</v>
      </c>
    </row>
    <row r="8352" spans="1:4" x14ac:dyDescent="0.25">
      <c r="A8352" s="139" t="s">
        <v>19435</v>
      </c>
      <c r="B8352" s="139" t="s">
        <v>12267</v>
      </c>
      <c r="C8352" s="139" t="s">
        <v>65</v>
      </c>
      <c r="D8352" s="139" t="s">
        <v>19436</v>
      </c>
    </row>
    <row r="8353" spans="1:4" x14ac:dyDescent="0.25">
      <c r="A8353" s="139" t="s">
        <v>19437</v>
      </c>
      <c r="B8353" s="139" t="s">
        <v>12066</v>
      </c>
      <c r="C8353" s="139" t="s">
        <v>65</v>
      </c>
      <c r="D8353" s="139" t="s">
        <v>19438</v>
      </c>
    </row>
    <row r="8354" spans="1:4" x14ac:dyDescent="0.25">
      <c r="A8354" s="139" t="s">
        <v>19439</v>
      </c>
      <c r="B8354" s="139" t="s">
        <v>19440</v>
      </c>
      <c r="C8354" s="139" t="s">
        <v>65</v>
      </c>
      <c r="D8354" s="139" t="s">
        <v>19441</v>
      </c>
    </row>
    <row r="8355" spans="1:4" x14ac:dyDescent="0.25">
      <c r="A8355" s="139" t="s">
        <v>19442</v>
      </c>
      <c r="B8355" s="139" t="s">
        <v>12006</v>
      </c>
      <c r="C8355" s="139" t="s">
        <v>65</v>
      </c>
      <c r="D8355" s="139" t="s">
        <v>19443</v>
      </c>
    </row>
    <row r="8356" spans="1:4" x14ac:dyDescent="0.25">
      <c r="A8356" s="139" t="s">
        <v>19444</v>
      </c>
      <c r="B8356" s="139" t="s">
        <v>3672</v>
      </c>
      <c r="C8356" s="139" t="s">
        <v>65</v>
      </c>
      <c r="D8356" s="139" t="s">
        <v>19445</v>
      </c>
    </row>
    <row r="8357" spans="1:4" x14ac:dyDescent="0.25">
      <c r="A8357" s="139" t="s">
        <v>19446</v>
      </c>
      <c r="B8357" s="139" t="s">
        <v>32</v>
      </c>
      <c r="C8357" s="139" t="s">
        <v>65</v>
      </c>
      <c r="D8357" s="139" t="s">
        <v>19447</v>
      </c>
    </row>
    <row r="8358" spans="1:4" x14ac:dyDescent="0.25">
      <c r="A8358" s="139" t="s">
        <v>19448</v>
      </c>
      <c r="B8358" s="139" t="s">
        <v>12519</v>
      </c>
      <c r="C8358" s="139" t="s">
        <v>65</v>
      </c>
      <c r="D8358" s="139" t="s">
        <v>19449</v>
      </c>
    </row>
    <row r="8359" spans="1:4" x14ac:dyDescent="0.25">
      <c r="A8359" s="139" t="s">
        <v>19450</v>
      </c>
      <c r="B8359" s="139" t="s">
        <v>19425</v>
      </c>
      <c r="C8359" s="139" t="s">
        <v>65</v>
      </c>
      <c r="D8359" s="139" t="s">
        <v>19451</v>
      </c>
    </row>
    <row r="8360" spans="1:4" x14ac:dyDescent="0.25">
      <c r="A8360" s="139" t="s">
        <v>19452</v>
      </c>
      <c r="B8360" s="139" t="s">
        <v>3623</v>
      </c>
      <c r="C8360" s="139" t="s">
        <v>65</v>
      </c>
      <c r="D8360" s="139" t="s">
        <v>19453</v>
      </c>
    </row>
    <row r="8361" spans="1:4" x14ac:dyDescent="0.25">
      <c r="A8361" s="139" t="s">
        <v>19454</v>
      </c>
      <c r="B8361" s="139" t="s">
        <v>6960</v>
      </c>
      <c r="C8361" s="139" t="s">
        <v>65</v>
      </c>
      <c r="D8361" s="139" t="s">
        <v>19455</v>
      </c>
    </row>
    <row r="8362" spans="1:4" x14ac:dyDescent="0.25">
      <c r="A8362" s="139" t="s">
        <v>19456</v>
      </c>
      <c r="B8362" s="139" t="s">
        <v>1554</v>
      </c>
      <c r="C8362" s="139" t="s">
        <v>65</v>
      </c>
      <c r="D8362" s="139" t="s">
        <v>19457</v>
      </c>
    </row>
    <row r="8363" spans="1:4" x14ac:dyDescent="0.25">
      <c r="A8363" s="139" t="s">
        <v>19458</v>
      </c>
      <c r="B8363" s="139" t="s">
        <v>3921</v>
      </c>
      <c r="C8363" s="139" t="s">
        <v>65</v>
      </c>
      <c r="D8363" s="139" t="s">
        <v>19459</v>
      </c>
    </row>
    <row r="8364" spans="1:4" x14ac:dyDescent="0.25">
      <c r="A8364" s="139" t="s">
        <v>19460</v>
      </c>
      <c r="B8364" s="139" t="s">
        <v>12267</v>
      </c>
      <c r="C8364" s="139" t="s">
        <v>65</v>
      </c>
      <c r="D8364" s="139" t="s">
        <v>19461</v>
      </c>
    </row>
    <row r="8365" spans="1:4" x14ac:dyDescent="0.25">
      <c r="A8365" s="139" t="s">
        <v>19462</v>
      </c>
      <c r="B8365" s="139" t="s">
        <v>12066</v>
      </c>
      <c r="C8365" s="139" t="s">
        <v>65</v>
      </c>
      <c r="D8365" s="139" t="s">
        <v>19463</v>
      </c>
    </row>
    <row r="8366" spans="1:4" x14ac:dyDescent="0.25">
      <c r="A8366" s="139" t="s">
        <v>19464</v>
      </c>
      <c r="B8366" s="139" t="s">
        <v>19440</v>
      </c>
      <c r="C8366" s="139" t="s">
        <v>65</v>
      </c>
      <c r="D8366" s="139" t="s">
        <v>19465</v>
      </c>
    </row>
    <row r="8367" spans="1:4" x14ac:dyDescent="0.25">
      <c r="A8367" s="139" t="s">
        <v>19466</v>
      </c>
      <c r="B8367" s="139" t="s">
        <v>12006</v>
      </c>
      <c r="C8367" s="139" t="s">
        <v>65</v>
      </c>
      <c r="D8367" s="139" t="s">
        <v>19467</v>
      </c>
    </row>
    <row r="8368" spans="1:4" x14ac:dyDescent="0.25">
      <c r="A8368" s="139" t="s">
        <v>19468</v>
      </c>
      <c r="B8368" s="139" t="s">
        <v>3672</v>
      </c>
      <c r="C8368" s="139" t="s">
        <v>65</v>
      </c>
      <c r="D8368" s="139" t="s">
        <v>19469</v>
      </c>
    </row>
    <row r="8369" spans="1:4" x14ac:dyDescent="0.25">
      <c r="A8369" s="139" t="s">
        <v>19470</v>
      </c>
      <c r="B8369" s="139" t="s">
        <v>32</v>
      </c>
      <c r="C8369" s="139" t="s">
        <v>65</v>
      </c>
      <c r="D8369" s="139" t="s">
        <v>19471</v>
      </c>
    </row>
    <row r="8370" spans="1:4" x14ac:dyDescent="0.25">
      <c r="A8370" s="139" t="s">
        <v>19472</v>
      </c>
      <c r="B8370" s="139" t="s">
        <v>19473</v>
      </c>
      <c r="C8370" s="139" t="s">
        <v>65</v>
      </c>
      <c r="D8370" s="139" t="s">
        <v>19474</v>
      </c>
    </row>
    <row r="8371" spans="1:4" x14ac:dyDescent="0.25">
      <c r="A8371" s="139" t="s">
        <v>19475</v>
      </c>
      <c r="B8371" s="139" t="s">
        <v>19476</v>
      </c>
      <c r="C8371" s="139" t="s">
        <v>65</v>
      </c>
      <c r="D8371" s="139" t="s">
        <v>19477</v>
      </c>
    </row>
    <row r="8372" spans="1:4" x14ac:dyDescent="0.25">
      <c r="A8372" s="139" t="s">
        <v>19478</v>
      </c>
      <c r="B8372" s="139" t="s">
        <v>19479</v>
      </c>
      <c r="C8372" s="139" t="s">
        <v>65</v>
      </c>
      <c r="D8372" s="139" t="s">
        <v>19480</v>
      </c>
    </row>
    <row r="8373" spans="1:4" x14ac:dyDescent="0.25">
      <c r="A8373" s="139" t="s">
        <v>19481</v>
      </c>
      <c r="B8373" s="139" t="s">
        <v>19482</v>
      </c>
      <c r="C8373" s="139" t="s">
        <v>65</v>
      </c>
      <c r="D8373" s="139" t="s">
        <v>19483</v>
      </c>
    </row>
    <row r="8374" spans="1:4" x14ac:dyDescent="0.25">
      <c r="A8374" s="139" t="s">
        <v>19484</v>
      </c>
      <c r="B8374" s="139" t="s">
        <v>19485</v>
      </c>
      <c r="C8374" s="139" t="s">
        <v>65</v>
      </c>
      <c r="D8374" s="139" t="s">
        <v>19486</v>
      </c>
    </row>
    <row r="8375" spans="1:4" x14ac:dyDescent="0.25">
      <c r="A8375" s="139" t="s">
        <v>19487</v>
      </c>
      <c r="B8375" s="139" t="s">
        <v>19488</v>
      </c>
      <c r="C8375" s="139" t="s">
        <v>65</v>
      </c>
      <c r="D8375" s="139" t="s">
        <v>19489</v>
      </c>
    </row>
    <row r="8376" spans="1:4" x14ac:dyDescent="0.25">
      <c r="A8376" s="139" t="s">
        <v>19490</v>
      </c>
      <c r="B8376" s="139" t="s">
        <v>19491</v>
      </c>
      <c r="C8376" s="139" t="s">
        <v>65</v>
      </c>
      <c r="D8376" s="139" t="s">
        <v>19492</v>
      </c>
    </row>
    <row r="8377" spans="1:4" x14ac:dyDescent="0.25">
      <c r="A8377" s="139" t="s">
        <v>19493</v>
      </c>
      <c r="B8377" s="139" t="s">
        <v>19494</v>
      </c>
      <c r="C8377" s="139" t="s">
        <v>65</v>
      </c>
      <c r="D8377" s="139" t="s">
        <v>19495</v>
      </c>
    </row>
    <row r="8378" spans="1:4" x14ac:dyDescent="0.25">
      <c r="A8378" s="139" t="s">
        <v>19496</v>
      </c>
      <c r="B8378" s="139" t="s">
        <v>19497</v>
      </c>
      <c r="C8378" s="139" t="s">
        <v>65</v>
      </c>
      <c r="D8378" s="139" t="s">
        <v>19498</v>
      </c>
    </row>
    <row r="8379" spans="1:4" x14ac:dyDescent="0.25">
      <c r="A8379" s="139" t="s">
        <v>19499</v>
      </c>
      <c r="B8379" s="139" t="s">
        <v>19500</v>
      </c>
      <c r="C8379" s="139" t="s">
        <v>65</v>
      </c>
      <c r="D8379" s="139" t="s">
        <v>19501</v>
      </c>
    </row>
    <row r="8380" spans="1:4" x14ac:dyDescent="0.25">
      <c r="A8380" s="139" t="s">
        <v>19502</v>
      </c>
      <c r="B8380" s="139" t="s">
        <v>19503</v>
      </c>
      <c r="C8380" s="139" t="s">
        <v>65</v>
      </c>
      <c r="D8380" s="139" t="s">
        <v>19504</v>
      </c>
    </row>
    <row r="8381" spans="1:4" x14ac:dyDescent="0.25">
      <c r="A8381" s="139" t="s">
        <v>19505</v>
      </c>
      <c r="B8381" s="139" t="s">
        <v>1569</v>
      </c>
      <c r="C8381" s="139" t="s">
        <v>65</v>
      </c>
      <c r="D8381" s="139" t="s">
        <v>19506</v>
      </c>
    </row>
    <row r="8382" spans="1:4" x14ac:dyDescent="0.25">
      <c r="A8382" s="139" t="s">
        <v>19507</v>
      </c>
      <c r="B8382" s="139" t="s">
        <v>17015</v>
      </c>
      <c r="C8382" s="139" t="s">
        <v>65</v>
      </c>
      <c r="D8382" s="139" t="s">
        <v>19508</v>
      </c>
    </row>
    <row r="8383" spans="1:4" x14ac:dyDescent="0.25">
      <c r="A8383" s="139" t="s">
        <v>19509</v>
      </c>
      <c r="B8383" s="139" t="s">
        <v>19473</v>
      </c>
      <c r="C8383" s="139" t="s">
        <v>65</v>
      </c>
      <c r="D8383" s="139" t="s">
        <v>19510</v>
      </c>
    </row>
    <row r="8384" spans="1:4" x14ac:dyDescent="0.25">
      <c r="A8384" s="139" t="s">
        <v>19511</v>
      </c>
      <c r="B8384" s="139" t="s">
        <v>19476</v>
      </c>
      <c r="C8384" s="139" t="s">
        <v>65</v>
      </c>
      <c r="D8384" s="139" t="s">
        <v>19512</v>
      </c>
    </row>
    <row r="8385" spans="1:4" x14ac:dyDescent="0.25">
      <c r="A8385" s="139" t="s">
        <v>19513</v>
      </c>
      <c r="B8385" s="139" t="s">
        <v>19479</v>
      </c>
      <c r="C8385" s="139" t="s">
        <v>65</v>
      </c>
      <c r="D8385" s="139" t="s">
        <v>19514</v>
      </c>
    </row>
    <row r="8386" spans="1:4" x14ac:dyDescent="0.25">
      <c r="A8386" s="139" t="s">
        <v>19515</v>
      </c>
      <c r="B8386" s="139" t="s">
        <v>19482</v>
      </c>
      <c r="C8386" s="139" t="s">
        <v>65</v>
      </c>
      <c r="D8386" s="139" t="s">
        <v>19516</v>
      </c>
    </row>
    <row r="8387" spans="1:4" x14ac:dyDescent="0.25">
      <c r="A8387" s="139" t="s">
        <v>19517</v>
      </c>
      <c r="B8387" s="139" t="s">
        <v>19485</v>
      </c>
      <c r="C8387" s="139" t="s">
        <v>65</v>
      </c>
      <c r="D8387" s="139" t="s">
        <v>19518</v>
      </c>
    </row>
    <row r="8388" spans="1:4" x14ac:dyDescent="0.25">
      <c r="A8388" s="139" t="s">
        <v>19519</v>
      </c>
      <c r="B8388" s="139" t="s">
        <v>19488</v>
      </c>
      <c r="C8388" s="139" t="s">
        <v>65</v>
      </c>
      <c r="D8388" s="139" t="s">
        <v>19520</v>
      </c>
    </row>
    <row r="8389" spans="1:4" x14ac:dyDescent="0.25">
      <c r="A8389" s="139" t="s">
        <v>19521</v>
      </c>
      <c r="B8389" s="139" t="s">
        <v>19491</v>
      </c>
      <c r="C8389" s="139" t="s">
        <v>65</v>
      </c>
      <c r="D8389" s="139" t="s">
        <v>19522</v>
      </c>
    </row>
    <row r="8390" spans="1:4" x14ac:dyDescent="0.25">
      <c r="A8390" s="139" t="s">
        <v>19523</v>
      </c>
      <c r="B8390" s="139" t="s">
        <v>19494</v>
      </c>
      <c r="C8390" s="139" t="s">
        <v>65</v>
      </c>
      <c r="D8390" s="139" t="s">
        <v>19524</v>
      </c>
    </row>
    <row r="8391" spans="1:4" x14ac:dyDescent="0.25">
      <c r="A8391" s="139" t="s">
        <v>19525</v>
      </c>
      <c r="B8391" s="139" t="s">
        <v>19497</v>
      </c>
      <c r="C8391" s="139" t="s">
        <v>65</v>
      </c>
      <c r="D8391" s="139" t="s">
        <v>19526</v>
      </c>
    </row>
    <row r="8392" spans="1:4" x14ac:dyDescent="0.25">
      <c r="A8392" s="139" t="s">
        <v>19527</v>
      </c>
      <c r="B8392" s="139" t="s">
        <v>19500</v>
      </c>
      <c r="C8392" s="139" t="s">
        <v>65</v>
      </c>
      <c r="D8392" s="139" t="s">
        <v>19528</v>
      </c>
    </row>
    <row r="8393" spans="1:4" x14ac:dyDescent="0.25">
      <c r="A8393" s="139" t="s">
        <v>19529</v>
      </c>
      <c r="B8393" s="139" t="s">
        <v>19503</v>
      </c>
      <c r="C8393" s="139" t="s">
        <v>65</v>
      </c>
      <c r="D8393" s="139" t="s">
        <v>19530</v>
      </c>
    </row>
    <row r="8394" spans="1:4" x14ac:dyDescent="0.25">
      <c r="A8394" s="139" t="s">
        <v>19531</v>
      </c>
      <c r="B8394" s="139" t="s">
        <v>1569</v>
      </c>
      <c r="C8394" s="139" t="s">
        <v>65</v>
      </c>
      <c r="D8394" s="139" t="s">
        <v>19532</v>
      </c>
    </row>
    <row r="8395" spans="1:4" x14ac:dyDescent="0.25">
      <c r="A8395" s="139" t="s">
        <v>19533</v>
      </c>
      <c r="B8395" s="139" t="s">
        <v>17015</v>
      </c>
      <c r="C8395" s="139" t="s">
        <v>65</v>
      </c>
      <c r="D8395" s="139" t="s">
        <v>19534</v>
      </c>
    </row>
    <row r="8396" spans="1:4" x14ac:dyDescent="0.25">
      <c r="A8396" s="139" t="s">
        <v>19535</v>
      </c>
      <c r="B8396" s="139" t="s">
        <v>19536</v>
      </c>
      <c r="C8396" s="139" t="s">
        <v>65</v>
      </c>
      <c r="D8396" s="139" t="s">
        <v>19537</v>
      </c>
    </row>
    <row r="8397" spans="1:4" x14ac:dyDescent="0.25">
      <c r="A8397" s="139" t="s">
        <v>19538</v>
      </c>
      <c r="B8397" s="139" t="s">
        <v>19539</v>
      </c>
      <c r="C8397" s="139" t="s">
        <v>65</v>
      </c>
      <c r="D8397" s="139" t="s">
        <v>19540</v>
      </c>
    </row>
    <row r="8398" spans="1:4" x14ac:dyDescent="0.25">
      <c r="A8398" s="139" t="s">
        <v>19541</v>
      </c>
      <c r="B8398" s="139" t="s">
        <v>19542</v>
      </c>
      <c r="C8398" s="139" t="s">
        <v>65</v>
      </c>
      <c r="D8398" s="139" t="s">
        <v>19543</v>
      </c>
    </row>
    <row r="8399" spans="1:4" x14ac:dyDescent="0.25">
      <c r="A8399" s="139" t="s">
        <v>19544</v>
      </c>
      <c r="B8399" s="139" t="s">
        <v>19545</v>
      </c>
      <c r="C8399" s="139" t="s">
        <v>65</v>
      </c>
      <c r="D8399" s="139" t="s">
        <v>19546</v>
      </c>
    </row>
    <row r="8400" spans="1:4" x14ac:dyDescent="0.25">
      <c r="A8400" s="139" t="s">
        <v>19547</v>
      </c>
      <c r="B8400" s="139" t="s">
        <v>11217</v>
      </c>
      <c r="C8400" s="139" t="s">
        <v>65</v>
      </c>
      <c r="D8400" s="139" t="s">
        <v>19548</v>
      </c>
    </row>
    <row r="8401" spans="1:4" x14ac:dyDescent="0.25">
      <c r="A8401" s="139" t="s">
        <v>19549</v>
      </c>
      <c r="B8401" s="139" t="s">
        <v>19550</v>
      </c>
      <c r="C8401" s="139" t="s">
        <v>65</v>
      </c>
      <c r="D8401" s="139" t="s">
        <v>19551</v>
      </c>
    </row>
    <row r="8402" spans="1:4" x14ac:dyDescent="0.25">
      <c r="A8402" s="139" t="s">
        <v>19552</v>
      </c>
      <c r="B8402" s="139" t="s">
        <v>19553</v>
      </c>
      <c r="C8402" s="139" t="s">
        <v>65</v>
      </c>
      <c r="D8402" s="139" t="s">
        <v>19554</v>
      </c>
    </row>
    <row r="8403" spans="1:4" x14ac:dyDescent="0.25">
      <c r="A8403" s="139" t="s">
        <v>19555</v>
      </c>
      <c r="B8403" s="139" t="s">
        <v>19556</v>
      </c>
      <c r="C8403" s="139" t="s">
        <v>65</v>
      </c>
      <c r="D8403" s="139" t="s">
        <v>19557</v>
      </c>
    </row>
    <row r="8404" spans="1:4" x14ac:dyDescent="0.25">
      <c r="A8404" s="139" t="s">
        <v>19558</v>
      </c>
      <c r="B8404" s="139" t="s">
        <v>19559</v>
      </c>
      <c r="C8404" s="139" t="s">
        <v>65</v>
      </c>
      <c r="D8404" s="139" t="s">
        <v>19560</v>
      </c>
    </row>
    <row r="8405" spans="1:4" x14ac:dyDescent="0.25">
      <c r="A8405" s="139" t="s">
        <v>19561</v>
      </c>
      <c r="B8405" s="139" t="s">
        <v>19562</v>
      </c>
      <c r="C8405" s="139" t="s">
        <v>65</v>
      </c>
      <c r="D8405" s="139" t="s">
        <v>19563</v>
      </c>
    </row>
    <row r="8406" spans="1:4" x14ac:dyDescent="0.25">
      <c r="A8406" s="139" t="s">
        <v>19564</v>
      </c>
      <c r="B8406" s="139" t="s">
        <v>19565</v>
      </c>
      <c r="C8406" s="139" t="s">
        <v>65</v>
      </c>
      <c r="D8406" s="139" t="s">
        <v>19566</v>
      </c>
    </row>
    <row r="8407" spans="1:4" x14ac:dyDescent="0.25">
      <c r="A8407" s="139" t="s">
        <v>19567</v>
      </c>
      <c r="B8407" s="139" t="s">
        <v>19568</v>
      </c>
      <c r="C8407" s="139" t="s">
        <v>65</v>
      </c>
      <c r="D8407" s="139" t="s">
        <v>19569</v>
      </c>
    </row>
    <row r="8408" spans="1:4" x14ac:dyDescent="0.25">
      <c r="A8408" s="139" t="s">
        <v>19570</v>
      </c>
      <c r="B8408" s="139" t="s">
        <v>19571</v>
      </c>
      <c r="C8408" s="139" t="s">
        <v>65</v>
      </c>
      <c r="D8408" s="139" t="s">
        <v>19572</v>
      </c>
    </row>
    <row r="8409" spans="1:4" x14ac:dyDescent="0.25">
      <c r="A8409" s="139" t="s">
        <v>19573</v>
      </c>
      <c r="B8409" s="139" t="s">
        <v>19536</v>
      </c>
      <c r="C8409" s="139" t="s">
        <v>65</v>
      </c>
      <c r="D8409" s="139" t="s">
        <v>19574</v>
      </c>
    </row>
    <row r="8410" spans="1:4" x14ac:dyDescent="0.25">
      <c r="A8410" s="139" t="s">
        <v>19575</v>
      </c>
      <c r="B8410" s="139" t="s">
        <v>19539</v>
      </c>
      <c r="C8410" s="139" t="s">
        <v>65</v>
      </c>
      <c r="D8410" s="139" t="s">
        <v>19576</v>
      </c>
    </row>
    <row r="8411" spans="1:4" x14ac:dyDescent="0.25">
      <c r="A8411" s="139" t="s">
        <v>19577</v>
      </c>
      <c r="B8411" s="139" t="s">
        <v>19542</v>
      </c>
      <c r="C8411" s="139" t="s">
        <v>65</v>
      </c>
      <c r="D8411" s="139" t="s">
        <v>19578</v>
      </c>
    </row>
    <row r="8412" spans="1:4" x14ac:dyDescent="0.25">
      <c r="A8412" s="139" t="s">
        <v>19579</v>
      </c>
      <c r="B8412" s="139" t="s">
        <v>19545</v>
      </c>
      <c r="C8412" s="139" t="s">
        <v>65</v>
      </c>
      <c r="D8412" s="139" t="s">
        <v>19580</v>
      </c>
    </row>
    <row r="8413" spans="1:4" x14ac:dyDescent="0.25">
      <c r="A8413" s="139" t="s">
        <v>19581</v>
      </c>
      <c r="B8413" s="139" t="s">
        <v>11217</v>
      </c>
      <c r="C8413" s="139" t="s">
        <v>65</v>
      </c>
      <c r="D8413" s="139" t="s">
        <v>19582</v>
      </c>
    </row>
    <row r="8414" spans="1:4" x14ac:dyDescent="0.25">
      <c r="A8414" s="139" t="s">
        <v>19583</v>
      </c>
      <c r="B8414" s="139" t="s">
        <v>19550</v>
      </c>
      <c r="C8414" s="139" t="s">
        <v>65</v>
      </c>
      <c r="D8414" s="139" t="s">
        <v>19584</v>
      </c>
    </row>
    <row r="8415" spans="1:4" x14ac:dyDescent="0.25">
      <c r="A8415" s="139" t="s">
        <v>19585</v>
      </c>
      <c r="B8415" s="139" t="s">
        <v>19553</v>
      </c>
      <c r="C8415" s="139" t="s">
        <v>65</v>
      </c>
      <c r="D8415" s="139" t="s">
        <v>19586</v>
      </c>
    </row>
    <row r="8416" spans="1:4" x14ac:dyDescent="0.25">
      <c r="A8416" s="139" t="s">
        <v>19587</v>
      </c>
      <c r="B8416" s="139" t="s">
        <v>19556</v>
      </c>
      <c r="C8416" s="139" t="s">
        <v>65</v>
      </c>
      <c r="D8416" s="139" t="s">
        <v>19588</v>
      </c>
    </row>
    <row r="8417" spans="1:4" x14ac:dyDescent="0.25">
      <c r="A8417" s="139" t="s">
        <v>19589</v>
      </c>
      <c r="B8417" s="139" t="s">
        <v>19559</v>
      </c>
      <c r="C8417" s="139" t="s">
        <v>65</v>
      </c>
      <c r="D8417" s="139" t="s">
        <v>19590</v>
      </c>
    </row>
    <row r="8418" spans="1:4" x14ac:dyDescent="0.25">
      <c r="A8418" s="139" t="s">
        <v>19591</v>
      </c>
      <c r="B8418" s="139" t="s">
        <v>19562</v>
      </c>
      <c r="C8418" s="139" t="s">
        <v>65</v>
      </c>
      <c r="D8418" s="139" t="s">
        <v>19592</v>
      </c>
    </row>
    <row r="8419" spans="1:4" x14ac:dyDescent="0.25">
      <c r="A8419" s="139" t="s">
        <v>19593</v>
      </c>
      <c r="B8419" s="139" t="s">
        <v>19565</v>
      </c>
      <c r="C8419" s="139" t="s">
        <v>65</v>
      </c>
      <c r="D8419" s="139" t="s">
        <v>19594</v>
      </c>
    </row>
    <row r="8420" spans="1:4" x14ac:dyDescent="0.25">
      <c r="A8420" s="139" t="s">
        <v>19595</v>
      </c>
      <c r="B8420" s="139" t="s">
        <v>19568</v>
      </c>
      <c r="C8420" s="139" t="s">
        <v>65</v>
      </c>
      <c r="D8420" s="139" t="s">
        <v>19596</v>
      </c>
    </row>
    <row r="8421" spans="1:4" x14ac:dyDescent="0.25">
      <c r="A8421" s="139" t="s">
        <v>19597</v>
      </c>
      <c r="B8421" s="139" t="s">
        <v>19571</v>
      </c>
      <c r="C8421" s="139" t="s">
        <v>65</v>
      </c>
      <c r="D8421" s="139" t="s">
        <v>19598</v>
      </c>
    </row>
    <row r="8422" spans="1:4" x14ac:dyDescent="0.25">
      <c r="A8422" s="139" t="s">
        <v>19599</v>
      </c>
      <c r="B8422" s="139" t="s">
        <v>11119</v>
      </c>
      <c r="C8422" s="139" t="s">
        <v>65</v>
      </c>
      <c r="D8422" s="139" t="s">
        <v>19600</v>
      </c>
    </row>
    <row r="8423" spans="1:4" x14ac:dyDescent="0.25">
      <c r="A8423" s="139" t="s">
        <v>19601</v>
      </c>
      <c r="B8423" s="139" t="s">
        <v>19602</v>
      </c>
      <c r="C8423" s="139" t="s">
        <v>33</v>
      </c>
      <c r="D8423" s="139" t="s">
        <v>19603</v>
      </c>
    </row>
    <row r="8424" spans="1:4" x14ac:dyDescent="0.25">
      <c r="A8424" s="139" t="s">
        <v>19604</v>
      </c>
      <c r="B8424" s="139" t="s">
        <v>11119</v>
      </c>
      <c r="C8424" s="139" t="s">
        <v>65</v>
      </c>
      <c r="D8424" s="139" t="s">
        <v>19605</v>
      </c>
    </row>
    <row r="8425" spans="1:4" x14ac:dyDescent="0.25">
      <c r="A8425" s="139" t="s">
        <v>19606</v>
      </c>
      <c r="B8425" s="139" t="s">
        <v>19602</v>
      </c>
      <c r="C8425" s="139" t="s">
        <v>33</v>
      </c>
      <c r="D8425" s="139" t="s">
        <v>19607</v>
      </c>
    </row>
    <row r="8426" spans="1:4" x14ac:dyDescent="0.25">
      <c r="A8426" s="139" t="s">
        <v>19608</v>
      </c>
      <c r="B8426" s="139" t="s">
        <v>19609</v>
      </c>
      <c r="C8426" s="139" t="s">
        <v>33</v>
      </c>
      <c r="D8426" s="139" t="s">
        <v>19610</v>
      </c>
    </row>
    <row r="8427" spans="1:4" x14ac:dyDescent="0.25">
      <c r="A8427" s="139" t="s">
        <v>19611</v>
      </c>
      <c r="B8427" s="139" t="s">
        <v>19612</v>
      </c>
      <c r="C8427" s="139" t="s">
        <v>33</v>
      </c>
      <c r="D8427" s="139" t="s">
        <v>19613</v>
      </c>
    </row>
    <row r="8428" spans="1:4" x14ac:dyDescent="0.25">
      <c r="A8428" s="139" t="s">
        <v>19614</v>
      </c>
      <c r="B8428" s="139" t="s">
        <v>19615</v>
      </c>
      <c r="C8428" s="139" t="s">
        <v>33</v>
      </c>
      <c r="D8428" s="139" t="s">
        <v>19616</v>
      </c>
    </row>
    <row r="8429" spans="1:4" x14ac:dyDescent="0.25">
      <c r="A8429" s="139" t="s">
        <v>19617</v>
      </c>
      <c r="B8429" s="139" t="s">
        <v>19609</v>
      </c>
      <c r="C8429" s="139" t="s">
        <v>33</v>
      </c>
      <c r="D8429" s="139" t="s">
        <v>19618</v>
      </c>
    </row>
    <row r="8430" spans="1:4" x14ac:dyDescent="0.25">
      <c r="A8430" s="139" t="s">
        <v>19619</v>
      </c>
      <c r="B8430" s="139" t="s">
        <v>19612</v>
      </c>
      <c r="C8430" s="139" t="s">
        <v>33</v>
      </c>
      <c r="D8430" s="139" t="s">
        <v>19620</v>
      </c>
    </row>
    <row r="8431" spans="1:4" x14ac:dyDescent="0.25">
      <c r="A8431" s="139" t="s">
        <v>19621</v>
      </c>
      <c r="B8431" s="139" t="s">
        <v>19615</v>
      </c>
      <c r="C8431" s="139" t="s">
        <v>33</v>
      </c>
      <c r="D8431" s="139" t="s">
        <v>19622</v>
      </c>
    </row>
    <row r="8432" spans="1:4" x14ac:dyDescent="0.25">
      <c r="A8432" s="139" t="s">
        <v>19623</v>
      </c>
      <c r="B8432" s="139" t="s">
        <v>19624</v>
      </c>
      <c r="C8432" s="139" t="s">
        <v>65</v>
      </c>
      <c r="D8432" s="139" t="s">
        <v>19625</v>
      </c>
    </row>
    <row r="8433" spans="1:4" x14ac:dyDescent="0.25">
      <c r="A8433" s="139" t="s">
        <v>19626</v>
      </c>
      <c r="B8433" s="139" t="s">
        <v>19627</v>
      </c>
      <c r="C8433" s="139" t="s">
        <v>65</v>
      </c>
      <c r="D8433" s="139" t="s">
        <v>19628</v>
      </c>
    </row>
    <row r="8434" spans="1:4" x14ac:dyDescent="0.25">
      <c r="A8434" s="139" t="s">
        <v>19629</v>
      </c>
      <c r="B8434" s="139" t="s">
        <v>19630</v>
      </c>
      <c r="C8434" s="139" t="s">
        <v>65</v>
      </c>
      <c r="D8434" s="139" t="s">
        <v>19631</v>
      </c>
    </row>
    <row r="8435" spans="1:4" x14ac:dyDescent="0.25">
      <c r="A8435" s="139" t="s">
        <v>19632</v>
      </c>
      <c r="B8435" s="139" t="s">
        <v>19633</v>
      </c>
      <c r="C8435" s="139" t="s">
        <v>65</v>
      </c>
      <c r="D8435" s="139" t="s">
        <v>19634</v>
      </c>
    </row>
    <row r="8436" spans="1:4" x14ac:dyDescent="0.25">
      <c r="A8436" s="139" t="s">
        <v>19635</v>
      </c>
      <c r="B8436" s="139" t="s">
        <v>19636</v>
      </c>
      <c r="C8436" s="139" t="s">
        <v>65</v>
      </c>
      <c r="D8436" s="139" t="s">
        <v>19637</v>
      </c>
    </row>
    <row r="8437" spans="1:4" x14ac:dyDescent="0.25">
      <c r="A8437" s="139" t="s">
        <v>19638</v>
      </c>
      <c r="B8437" s="139" t="s">
        <v>18926</v>
      </c>
      <c r="C8437" s="139" t="s">
        <v>65</v>
      </c>
      <c r="D8437" s="139" t="s">
        <v>19639</v>
      </c>
    </row>
    <row r="8438" spans="1:4" x14ac:dyDescent="0.25">
      <c r="A8438" s="139" t="s">
        <v>19640</v>
      </c>
      <c r="B8438" s="139" t="s">
        <v>19624</v>
      </c>
      <c r="C8438" s="139" t="s">
        <v>65</v>
      </c>
      <c r="D8438" s="139" t="s">
        <v>19641</v>
      </c>
    </row>
    <row r="8439" spans="1:4" x14ac:dyDescent="0.25">
      <c r="A8439" s="139" t="s">
        <v>19642</v>
      </c>
      <c r="B8439" s="139" t="s">
        <v>19627</v>
      </c>
      <c r="C8439" s="139" t="s">
        <v>65</v>
      </c>
      <c r="D8439" s="139" t="s">
        <v>19643</v>
      </c>
    </row>
    <row r="8440" spans="1:4" x14ac:dyDescent="0.25">
      <c r="A8440" s="139" t="s">
        <v>19644</v>
      </c>
      <c r="B8440" s="139" t="s">
        <v>19630</v>
      </c>
      <c r="C8440" s="139" t="s">
        <v>65</v>
      </c>
      <c r="D8440" s="139" t="s">
        <v>19645</v>
      </c>
    </row>
    <row r="8441" spans="1:4" x14ac:dyDescent="0.25">
      <c r="A8441" s="139" t="s">
        <v>19646</v>
      </c>
      <c r="B8441" s="139" t="s">
        <v>19633</v>
      </c>
      <c r="C8441" s="139" t="s">
        <v>65</v>
      </c>
      <c r="D8441" s="139" t="s">
        <v>19647</v>
      </c>
    </row>
    <row r="8442" spans="1:4" x14ac:dyDescent="0.25">
      <c r="A8442" s="139" t="s">
        <v>19648</v>
      </c>
      <c r="B8442" s="139" t="s">
        <v>19636</v>
      </c>
      <c r="C8442" s="139" t="s">
        <v>65</v>
      </c>
      <c r="D8442" s="139" t="s">
        <v>19649</v>
      </c>
    </row>
    <row r="8443" spans="1:4" x14ac:dyDescent="0.25">
      <c r="A8443" s="139" t="s">
        <v>19650</v>
      </c>
      <c r="B8443" s="139" t="s">
        <v>18926</v>
      </c>
      <c r="C8443" s="139" t="s">
        <v>65</v>
      </c>
      <c r="D8443" s="139" t="s">
        <v>19651</v>
      </c>
    </row>
    <row r="8444" spans="1:4" x14ac:dyDescent="0.25">
      <c r="A8444" s="139" t="s">
        <v>19652</v>
      </c>
      <c r="B8444" s="139" t="s">
        <v>18921</v>
      </c>
      <c r="C8444" s="139" t="s">
        <v>65</v>
      </c>
      <c r="D8444" s="139" t="s">
        <v>19653</v>
      </c>
    </row>
    <row r="8445" spans="1:4" x14ac:dyDescent="0.25">
      <c r="A8445" s="139" t="s">
        <v>19654</v>
      </c>
      <c r="B8445" s="139" t="s">
        <v>19655</v>
      </c>
      <c r="C8445" s="139" t="s">
        <v>65</v>
      </c>
      <c r="D8445" s="139" t="s">
        <v>19656</v>
      </c>
    </row>
    <row r="8446" spans="1:4" x14ac:dyDescent="0.25">
      <c r="A8446" s="139" t="s">
        <v>19657</v>
      </c>
      <c r="B8446" s="139" t="s">
        <v>18921</v>
      </c>
      <c r="C8446" s="139" t="s">
        <v>65</v>
      </c>
      <c r="D8446" s="139" t="s">
        <v>19658</v>
      </c>
    </row>
    <row r="8447" spans="1:4" x14ac:dyDescent="0.25">
      <c r="A8447" s="139" t="s">
        <v>19659</v>
      </c>
      <c r="B8447" s="139" t="s">
        <v>19655</v>
      </c>
      <c r="C8447" s="139" t="s">
        <v>65</v>
      </c>
      <c r="D8447" s="139" t="s">
        <v>19660</v>
      </c>
    </row>
    <row r="8448" spans="1:4" x14ac:dyDescent="0.25">
      <c r="A8448" s="139" t="s">
        <v>19661</v>
      </c>
      <c r="B8448" s="139" t="s">
        <v>19662</v>
      </c>
      <c r="C8448" s="139" t="s">
        <v>65</v>
      </c>
      <c r="D8448" s="139" t="s">
        <v>19663</v>
      </c>
    </row>
    <row r="8449" spans="1:4" x14ac:dyDescent="0.25">
      <c r="A8449" s="139" t="s">
        <v>19664</v>
      </c>
      <c r="B8449" s="139" t="s">
        <v>18931</v>
      </c>
      <c r="C8449" s="139" t="s">
        <v>65</v>
      </c>
      <c r="D8449" s="139" t="s">
        <v>19665</v>
      </c>
    </row>
    <row r="8450" spans="1:4" x14ac:dyDescent="0.25">
      <c r="A8450" s="139" t="s">
        <v>19666</v>
      </c>
      <c r="B8450" s="139" t="s">
        <v>19143</v>
      </c>
      <c r="C8450" s="139" t="s">
        <v>65</v>
      </c>
      <c r="D8450" s="139" t="s">
        <v>19667</v>
      </c>
    </row>
    <row r="8451" spans="1:4" x14ac:dyDescent="0.25">
      <c r="A8451" s="139" t="s">
        <v>19668</v>
      </c>
      <c r="B8451" s="139" t="s">
        <v>13376</v>
      </c>
      <c r="C8451" s="139" t="s">
        <v>65</v>
      </c>
      <c r="D8451" s="139" t="s">
        <v>19669</v>
      </c>
    </row>
    <row r="8452" spans="1:4" x14ac:dyDescent="0.25">
      <c r="A8452" s="139" t="s">
        <v>19670</v>
      </c>
      <c r="B8452" s="139" t="s">
        <v>19123</v>
      </c>
      <c r="C8452" s="139" t="s">
        <v>65</v>
      </c>
      <c r="D8452" s="139" t="s">
        <v>19671</v>
      </c>
    </row>
    <row r="8453" spans="1:4" x14ac:dyDescent="0.25">
      <c r="A8453" s="139" t="s">
        <v>19672</v>
      </c>
      <c r="B8453" s="139" t="s">
        <v>19673</v>
      </c>
      <c r="C8453" s="139" t="s">
        <v>65</v>
      </c>
      <c r="D8453" s="139" t="s">
        <v>19674</v>
      </c>
    </row>
    <row r="8454" spans="1:4" x14ac:dyDescent="0.25">
      <c r="A8454" s="139" t="s">
        <v>19675</v>
      </c>
      <c r="B8454" s="139" t="s">
        <v>19662</v>
      </c>
      <c r="C8454" s="139" t="s">
        <v>65</v>
      </c>
      <c r="D8454" s="139" t="s">
        <v>19676</v>
      </c>
    </row>
    <row r="8455" spans="1:4" x14ac:dyDescent="0.25">
      <c r="A8455" s="139" t="s">
        <v>19677</v>
      </c>
      <c r="B8455" s="139" t="s">
        <v>18931</v>
      </c>
      <c r="C8455" s="139" t="s">
        <v>65</v>
      </c>
      <c r="D8455" s="139" t="s">
        <v>19678</v>
      </c>
    </row>
    <row r="8456" spans="1:4" x14ac:dyDescent="0.25">
      <c r="A8456" s="139" t="s">
        <v>19679</v>
      </c>
      <c r="B8456" s="139" t="s">
        <v>19143</v>
      </c>
      <c r="C8456" s="139" t="s">
        <v>65</v>
      </c>
      <c r="D8456" s="139" t="s">
        <v>19680</v>
      </c>
    </row>
    <row r="8457" spans="1:4" x14ac:dyDescent="0.25">
      <c r="A8457" s="139" t="s">
        <v>19668</v>
      </c>
      <c r="B8457" s="139" t="s">
        <v>13376</v>
      </c>
      <c r="C8457" s="139" t="s">
        <v>65</v>
      </c>
      <c r="D8457" s="139" t="s">
        <v>19681</v>
      </c>
    </row>
    <row r="8458" spans="1:4" x14ac:dyDescent="0.25">
      <c r="A8458" s="139" t="s">
        <v>19682</v>
      </c>
      <c r="B8458" s="139" t="s">
        <v>19123</v>
      </c>
      <c r="C8458" s="139" t="s">
        <v>65</v>
      </c>
      <c r="D8458" s="139" t="s">
        <v>19683</v>
      </c>
    </row>
    <row r="8459" spans="1:4" x14ac:dyDescent="0.25">
      <c r="A8459" s="139" t="s">
        <v>19684</v>
      </c>
      <c r="B8459" s="139" t="s">
        <v>19673</v>
      </c>
      <c r="C8459" s="139" t="s">
        <v>65</v>
      </c>
      <c r="D8459" s="139" t="s">
        <v>19685</v>
      </c>
    </row>
    <row r="8460" spans="1:4" x14ac:dyDescent="0.25">
      <c r="A8460" s="139" t="s">
        <v>19686</v>
      </c>
      <c r="B8460" s="139" t="s">
        <v>19687</v>
      </c>
      <c r="C8460" s="139" t="s">
        <v>65</v>
      </c>
      <c r="D8460" s="139" t="s">
        <v>19688</v>
      </c>
    </row>
    <row r="8461" spans="1:4" x14ac:dyDescent="0.25">
      <c r="A8461" s="139" t="s">
        <v>19689</v>
      </c>
      <c r="B8461" s="139" t="s">
        <v>19690</v>
      </c>
      <c r="C8461" s="139" t="s">
        <v>65</v>
      </c>
      <c r="D8461" s="139" t="s">
        <v>19691</v>
      </c>
    </row>
    <row r="8462" spans="1:4" x14ac:dyDescent="0.25">
      <c r="A8462" s="139" t="s">
        <v>19692</v>
      </c>
      <c r="B8462" s="139" t="s">
        <v>19693</v>
      </c>
      <c r="C8462" s="139" t="s">
        <v>65</v>
      </c>
      <c r="D8462" s="139" t="s">
        <v>19694</v>
      </c>
    </row>
    <row r="8463" spans="1:4" x14ac:dyDescent="0.25">
      <c r="A8463" s="139" t="s">
        <v>19695</v>
      </c>
      <c r="B8463" s="139" t="s">
        <v>9043</v>
      </c>
      <c r="C8463" s="139" t="s">
        <v>65</v>
      </c>
      <c r="D8463" s="139" t="s">
        <v>19696</v>
      </c>
    </row>
    <row r="8464" spans="1:4" x14ac:dyDescent="0.25">
      <c r="A8464" s="139" t="s">
        <v>19697</v>
      </c>
      <c r="B8464" s="139" t="s">
        <v>19698</v>
      </c>
      <c r="C8464" s="139" t="s">
        <v>65</v>
      </c>
      <c r="D8464" s="139" t="s">
        <v>19699</v>
      </c>
    </row>
    <row r="8465" spans="1:4" x14ac:dyDescent="0.25">
      <c r="A8465" s="139" t="s">
        <v>19700</v>
      </c>
      <c r="B8465" s="139" t="s">
        <v>19701</v>
      </c>
      <c r="C8465" s="139" t="s">
        <v>65</v>
      </c>
      <c r="D8465" s="139" t="s">
        <v>19702</v>
      </c>
    </row>
    <row r="8466" spans="1:4" x14ac:dyDescent="0.25">
      <c r="A8466" s="139" t="s">
        <v>19703</v>
      </c>
      <c r="B8466" s="139" t="s">
        <v>19687</v>
      </c>
      <c r="C8466" s="139" t="s">
        <v>65</v>
      </c>
      <c r="D8466" s="139" t="s">
        <v>19704</v>
      </c>
    </row>
    <row r="8467" spans="1:4" x14ac:dyDescent="0.25">
      <c r="A8467" s="139" t="s">
        <v>19705</v>
      </c>
      <c r="B8467" s="139" t="s">
        <v>19690</v>
      </c>
      <c r="C8467" s="139" t="s">
        <v>65</v>
      </c>
      <c r="D8467" s="139" t="s">
        <v>19706</v>
      </c>
    </row>
    <row r="8468" spans="1:4" x14ac:dyDescent="0.25">
      <c r="A8468" s="139" t="s">
        <v>19707</v>
      </c>
      <c r="B8468" s="139" t="s">
        <v>19693</v>
      </c>
      <c r="C8468" s="139" t="s">
        <v>65</v>
      </c>
      <c r="D8468" s="139" t="s">
        <v>19708</v>
      </c>
    </row>
    <row r="8469" spans="1:4" x14ac:dyDescent="0.25">
      <c r="A8469" s="139" t="s">
        <v>19709</v>
      </c>
      <c r="B8469" s="139" t="s">
        <v>9043</v>
      </c>
      <c r="C8469" s="139" t="s">
        <v>65</v>
      </c>
      <c r="D8469" s="139" t="s">
        <v>19710</v>
      </c>
    </row>
    <row r="8470" spans="1:4" x14ac:dyDescent="0.25">
      <c r="A8470" s="139" t="s">
        <v>19711</v>
      </c>
      <c r="B8470" s="139" t="s">
        <v>19698</v>
      </c>
      <c r="C8470" s="139" t="s">
        <v>65</v>
      </c>
      <c r="D8470" s="139" t="s">
        <v>19712</v>
      </c>
    </row>
    <row r="8471" spans="1:4" x14ac:dyDescent="0.25">
      <c r="A8471" s="139" t="s">
        <v>19713</v>
      </c>
      <c r="B8471" s="139" t="s">
        <v>19701</v>
      </c>
      <c r="C8471" s="139" t="s">
        <v>65</v>
      </c>
      <c r="D8471" s="139" t="s">
        <v>19714</v>
      </c>
    </row>
    <row r="8472" spans="1:4" x14ac:dyDescent="0.25">
      <c r="A8472" s="139" t="s">
        <v>19715</v>
      </c>
      <c r="B8472" s="139" t="s">
        <v>19716</v>
      </c>
      <c r="C8472" s="139" t="s">
        <v>19716</v>
      </c>
      <c r="D8472" s="139" t="s">
        <v>19717</v>
      </c>
    </row>
    <row r="8473" spans="1:4" x14ac:dyDescent="0.25">
      <c r="A8473" s="139" t="s">
        <v>19718</v>
      </c>
      <c r="B8473" s="139" t="s">
        <v>19374</v>
      </c>
      <c r="C8473" s="139" t="s">
        <v>65</v>
      </c>
      <c r="D8473" s="139" t="s">
        <v>19719</v>
      </c>
    </row>
    <row r="8474" spans="1:4" x14ac:dyDescent="0.25">
      <c r="A8474" s="139" t="s">
        <v>19720</v>
      </c>
      <c r="B8474" s="139" t="s">
        <v>19374</v>
      </c>
      <c r="C8474" s="139" t="s">
        <v>65</v>
      </c>
      <c r="D8474" s="139" t="s">
        <v>19721</v>
      </c>
    </row>
    <row r="8475" spans="1:4" x14ac:dyDescent="0.25">
      <c r="A8475" s="139" t="s">
        <v>19722</v>
      </c>
      <c r="B8475" s="139" t="s">
        <v>8041</v>
      </c>
      <c r="C8475" s="139" t="s">
        <v>33</v>
      </c>
      <c r="D8475" s="139" t="s">
        <v>19723</v>
      </c>
    </row>
    <row r="8476" spans="1:4" x14ac:dyDescent="0.25">
      <c r="A8476" s="139" t="s">
        <v>19724</v>
      </c>
      <c r="B8476" s="139" t="s">
        <v>8041</v>
      </c>
      <c r="C8476" s="139" t="s">
        <v>33</v>
      </c>
      <c r="D8476" s="139" t="s">
        <v>19725</v>
      </c>
    </row>
    <row r="8477" spans="1:4" x14ac:dyDescent="0.25">
      <c r="A8477" s="139" t="s">
        <v>19726</v>
      </c>
      <c r="B8477" s="139" t="s">
        <v>19727</v>
      </c>
      <c r="C8477" s="139" t="s">
        <v>33</v>
      </c>
      <c r="D8477" s="139" t="s">
        <v>19728</v>
      </c>
    </row>
    <row r="8478" spans="1:4" x14ac:dyDescent="0.25">
      <c r="A8478" s="139" t="s">
        <v>19729</v>
      </c>
      <c r="B8478" s="139" t="s">
        <v>19727</v>
      </c>
      <c r="C8478" s="139" t="s">
        <v>33</v>
      </c>
      <c r="D8478" s="139" t="s">
        <v>19730</v>
      </c>
    </row>
    <row r="8479" spans="1:4" x14ac:dyDescent="0.25">
      <c r="A8479" s="139" t="s">
        <v>19731</v>
      </c>
      <c r="B8479" s="139" t="s">
        <v>19732</v>
      </c>
      <c r="C8479" s="139" t="s">
        <v>33</v>
      </c>
      <c r="D8479" s="139" t="s">
        <v>19733</v>
      </c>
    </row>
    <row r="8480" spans="1:4" x14ac:dyDescent="0.25">
      <c r="A8480" s="139" t="s">
        <v>19734</v>
      </c>
      <c r="B8480" s="139" t="s">
        <v>19732</v>
      </c>
      <c r="C8480" s="139" t="s">
        <v>33</v>
      </c>
      <c r="D8480" s="139" t="s">
        <v>19735</v>
      </c>
    </row>
    <row r="8481" spans="1:4" x14ac:dyDescent="0.25">
      <c r="A8481" s="139" t="s">
        <v>19736</v>
      </c>
      <c r="B8481" s="139" t="s">
        <v>19737</v>
      </c>
      <c r="C8481" s="139" t="s">
        <v>33</v>
      </c>
      <c r="D8481" s="139" t="s">
        <v>19738</v>
      </c>
    </row>
    <row r="8482" spans="1:4" x14ac:dyDescent="0.25">
      <c r="A8482" s="139" t="s">
        <v>19739</v>
      </c>
      <c r="B8482" s="139" t="s">
        <v>19737</v>
      </c>
      <c r="C8482" s="139" t="s">
        <v>33</v>
      </c>
      <c r="D8482" s="139" t="s">
        <v>19740</v>
      </c>
    </row>
    <row r="8483" spans="1:4" x14ac:dyDescent="0.25">
      <c r="A8483" s="139" t="s">
        <v>19741</v>
      </c>
      <c r="B8483" s="139" t="s">
        <v>19742</v>
      </c>
      <c r="C8483" s="139" t="s">
        <v>33</v>
      </c>
      <c r="D8483" s="139" t="s">
        <v>19743</v>
      </c>
    </row>
    <row r="8484" spans="1:4" x14ac:dyDescent="0.25">
      <c r="A8484" s="139" t="s">
        <v>19744</v>
      </c>
      <c r="B8484" s="139" t="s">
        <v>19742</v>
      </c>
      <c r="C8484" s="139" t="s">
        <v>33</v>
      </c>
      <c r="D8484" s="139" t="s">
        <v>19745</v>
      </c>
    </row>
    <row r="8485" spans="1:4" x14ac:dyDescent="0.25">
      <c r="A8485" s="139" t="s">
        <v>19746</v>
      </c>
      <c r="B8485" s="139" t="s">
        <v>19747</v>
      </c>
      <c r="C8485" s="139" t="s">
        <v>33</v>
      </c>
      <c r="D8485" s="139" t="s">
        <v>19748</v>
      </c>
    </row>
    <row r="8486" spans="1:4" x14ac:dyDescent="0.25">
      <c r="A8486" s="139" t="s">
        <v>19749</v>
      </c>
      <c r="B8486" s="139" t="s">
        <v>19747</v>
      </c>
      <c r="C8486" s="139" t="s">
        <v>33</v>
      </c>
      <c r="D8486" s="139" t="s">
        <v>19750</v>
      </c>
    </row>
    <row r="8487" spans="1:4" x14ac:dyDescent="0.25">
      <c r="A8487" s="139" t="s">
        <v>19751</v>
      </c>
      <c r="B8487" s="139" t="s">
        <v>2018</v>
      </c>
      <c r="C8487" s="139" t="s">
        <v>33</v>
      </c>
      <c r="D8487" s="139" t="s">
        <v>19752</v>
      </c>
    </row>
    <row r="8488" spans="1:4" x14ac:dyDescent="0.25">
      <c r="A8488" s="139" t="s">
        <v>19753</v>
      </c>
      <c r="B8488" s="139" t="s">
        <v>2018</v>
      </c>
      <c r="C8488" s="139" t="s">
        <v>33</v>
      </c>
      <c r="D8488" s="139" t="s">
        <v>19754</v>
      </c>
    </row>
    <row r="8489" spans="1:4" x14ac:dyDescent="0.25">
      <c r="A8489" s="139" t="s">
        <v>19755</v>
      </c>
      <c r="B8489" s="139" t="s">
        <v>19756</v>
      </c>
      <c r="C8489" s="139" t="s">
        <v>65</v>
      </c>
      <c r="D8489" s="139" t="s">
        <v>19757</v>
      </c>
    </row>
    <row r="8490" spans="1:4" x14ac:dyDescent="0.25">
      <c r="A8490" s="139" t="s">
        <v>19758</v>
      </c>
      <c r="B8490" s="139" t="s">
        <v>19756</v>
      </c>
      <c r="C8490" s="139" t="s">
        <v>65</v>
      </c>
      <c r="D8490" s="139" t="s">
        <v>19759</v>
      </c>
    </row>
    <row r="8491" spans="1:4" x14ac:dyDescent="0.25">
      <c r="A8491" s="139" t="s">
        <v>19760</v>
      </c>
      <c r="B8491" s="139" t="s">
        <v>19761</v>
      </c>
      <c r="C8491" s="139" t="s">
        <v>65</v>
      </c>
      <c r="D8491" s="139" t="s">
        <v>19762</v>
      </c>
    </row>
    <row r="8492" spans="1:4" x14ac:dyDescent="0.25">
      <c r="A8492" s="139" t="s">
        <v>19763</v>
      </c>
      <c r="B8492" s="139" t="s">
        <v>19761</v>
      </c>
      <c r="C8492" s="139" t="s">
        <v>65</v>
      </c>
      <c r="D8492" s="139" t="s">
        <v>19764</v>
      </c>
    </row>
    <row r="8493" spans="1:4" x14ac:dyDescent="0.25">
      <c r="A8493" s="139" t="s">
        <v>19765</v>
      </c>
      <c r="B8493" s="139" t="s">
        <v>19766</v>
      </c>
      <c r="C8493" s="139" t="s">
        <v>65</v>
      </c>
      <c r="D8493" s="139" t="s">
        <v>19767</v>
      </c>
    </row>
    <row r="8494" spans="1:4" x14ac:dyDescent="0.25">
      <c r="A8494" s="139" t="s">
        <v>19768</v>
      </c>
      <c r="B8494" s="139" t="s">
        <v>19766</v>
      </c>
      <c r="C8494" s="139" t="s">
        <v>65</v>
      </c>
      <c r="D8494" s="139" t="s">
        <v>19769</v>
      </c>
    </row>
    <row r="8495" spans="1:4" x14ac:dyDescent="0.25">
      <c r="A8495" s="139" t="s">
        <v>19770</v>
      </c>
      <c r="B8495" s="139" t="s">
        <v>4039</v>
      </c>
      <c r="C8495" s="139" t="s">
        <v>65</v>
      </c>
      <c r="D8495" s="139" t="s">
        <v>19771</v>
      </c>
    </row>
    <row r="8496" spans="1:4" x14ac:dyDescent="0.25">
      <c r="A8496" s="139" t="s">
        <v>19772</v>
      </c>
      <c r="B8496" s="139" t="s">
        <v>4039</v>
      </c>
      <c r="C8496" s="139" t="s">
        <v>65</v>
      </c>
      <c r="D8496" s="139" t="s">
        <v>19773</v>
      </c>
    </row>
    <row r="8497" spans="1:4" x14ac:dyDescent="0.25">
      <c r="A8497" s="139" t="s">
        <v>19774</v>
      </c>
      <c r="B8497" s="139" t="s">
        <v>19775</v>
      </c>
      <c r="C8497" s="139" t="s">
        <v>65</v>
      </c>
      <c r="D8497" s="139" t="s">
        <v>19776</v>
      </c>
    </row>
    <row r="8498" spans="1:4" x14ac:dyDescent="0.25">
      <c r="A8498" s="139" t="s">
        <v>19777</v>
      </c>
      <c r="B8498" s="139" t="s">
        <v>19775</v>
      </c>
      <c r="C8498" s="139" t="s">
        <v>65</v>
      </c>
      <c r="D8498" s="139" t="s">
        <v>19778</v>
      </c>
    </row>
    <row r="8499" spans="1:4" x14ac:dyDescent="0.25">
      <c r="A8499" s="139" t="s">
        <v>19779</v>
      </c>
      <c r="B8499" s="139" t="s">
        <v>19780</v>
      </c>
      <c r="C8499" s="139" t="s">
        <v>65</v>
      </c>
      <c r="D8499" s="139" t="s">
        <v>19781</v>
      </c>
    </row>
    <row r="8500" spans="1:4" x14ac:dyDescent="0.25">
      <c r="A8500" s="139" t="s">
        <v>19782</v>
      </c>
      <c r="B8500" s="139" t="s">
        <v>19780</v>
      </c>
      <c r="C8500" s="139" t="s">
        <v>65</v>
      </c>
      <c r="D8500" s="139" t="s">
        <v>19783</v>
      </c>
    </row>
    <row r="8501" spans="1:4" x14ac:dyDescent="0.25">
      <c r="A8501" s="139" t="s">
        <v>19784</v>
      </c>
      <c r="B8501" s="139" t="s">
        <v>19785</v>
      </c>
      <c r="C8501" s="139" t="s">
        <v>65</v>
      </c>
      <c r="D8501" s="139" t="s">
        <v>19786</v>
      </c>
    </row>
    <row r="8502" spans="1:4" x14ac:dyDescent="0.25">
      <c r="A8502" s="139" t="s">
        <v>19787</v>
      </c>
      <c r="B8502" s="139" t="s">
        <v>19785</v>
      </c>
      <c r="C8502" s="139" t="s">
        <v>65</v>
      </c>
      <c r="D8502" s="139" t="s">
        <v>19788</v>
      </c>
    </row>
    <row r="8503" spans="1:4" x14ac:dyDescent="0.25">
      <c r="A8503" s="139" t="s">
        <v>19789</v>
      </c>
      <c r="B8503" s="139" t="s">
        <v>19790</v>
      </c>
      <c r="C8503" s="139" t="s">
        <v>65</v>
      </c>
      <c r="D8503" s="139" t="s">
        <v>19791</v>
      </c>
    </row>
    <row r="8504" spans="1:4" x14ac:dyDescent="0.25">
      <c r="A8504" s="139" t="s">
        <v>19792</v>
      </c>
      <c r="B8504" s="139" t="s">
        <v>19790</v>
      </c>
      <c r="C8504" s="139" t="s">
        <v>65</v>
      </c>
      <c r="D8504" s="139" t="s">
        <v>19793</v>
      </c>
    </row>
    <row r="8505" spans="1:4" x14ac:dyDescent="0.25">
      <c r="A8505" s="139" t="s">
        <v>19794</v>
      </c>
      <c r="B8505" s="139" t="s">
        <v>19795</v>
      </c>
      <c r="C8505" s="139" t="s">
        <v>65</v>
      </c>
      <c r="D8505" s="139" t="s">
        <v>19796</v>
      </c>
    </row>
    <row r="8506" spans="1:4" x14ac:dyDescent="0.25">
      <c r="A8506" s="139" t="s">
        <v>19797</v>
      </c>
      <c r="B8506" s="139" t="s">
        <v>19795</v>
      </c>
      <c r="C8506" s="139" t="s">
        <v>65</v>
      </c>
      <c r="D8506" s="139" t="s">
        <v>19798</v>
      </c>
    </row>
    <row r="8507" spans="1:4" x14ac:dyDescent="0.25">
      <c r="A8507" s="139" t="s">
        <v>19799</v>
      </c>
      <c r="B8507" s="139" t="s">
        <v>19800</v>
      </c>
      <c r="C8507" s="139" t="s">
        <v>65</v>
      </c>
      <c r="D8507" s="139" t="s">
        <v>19801</v>
      </c>
    </row>
    <row r="8508" spans="1:4" x14ac:dyDescent="0.25">
      <c r="A8508" s="139" t="s">
        <v>19802</v>
      </c>
      <c r="B8508" s="139" t="s">
        <v>19800</v>
      </c>
      <c r="C8508" s="139" t="s">
        <v>65</v>
      </c>
      <c r="D8508" s="139" t="s">
        <v>19803</v>
      </c>
    </row>
    <row r="8509" spans="1:4" x14ac:dyDescent="0.25">
      <c r="A8509" s="139" t="s">
        <v>19804</v>
      </c>
      <c r="B8509" s="139" t="s">
        <v>19805</v>
      </c>
      <c r="C8509" s="139" t="s">
        <v>65</v>
      </c>
      <c r="D8509" s="139" t="s">
        <v>19806</v>
      </c>
    </row>
    <row r="8510" spans="1:4" x14ac:dyDescent="0.25">
      <c r="A8510" s="139" t="s">
        <v>19807</v>
      </c>
      <c r="B8510" s="139" t="s">
        <v>19805</v>
      </c>
      <c r="C8510" s="139" t="s">
        <v>65</v>
      </c>
      <c r="D8510" s="139" t="s">
        <v>19808</v>
      </c>
    </row>
    <row r="8511" spans="1:4" x14ac:dyDescent="0.25">
      <c r="A8511" s="139" t="s">
        <v>19809</v>
      </c>
      <c r="B8511" s="139" t="s">
        <v>19810</v>
      </c>
      <c r="C8511" s="139" t="s">
        <v>65</v>
      </c>
      <c r="D8511" s="139" t="s">
        <v>19811</v>
      </c>
    </row>
    <row r="8512" spans="1:4" x14ac:dyDescent="0.25">
      <c r="A8512" s="139" t="s">
        <v>19812</v>
      </c>
      <c r="B8512" s="139" t="s">
        <v>19810</v>
      </c>
      <c r="C8512" s="139" t="s">
        <v>65</v>
      </c>
      <c r="D8512" s="139" t="s">
        <v>19813</v>
      </c>
    </row>
    <row r="8513" spans="1:4" x14ac:dyDescent="0.25">
      <c r="A8513" s="139" t="s">
        <v>19814</v>
      </c>
      <c r="B8513" s="139" t="s">
        <v>19815</v>
      </c>
      <c r="C8513" s="139" t="s">
        <v>65</v>
      </c>
      <c r="D8513" s="139" t="s">
        <v>19816</v>
      </c>
    </row>
    <row r="8514" spans="1:4" x14ac:dyDescent="0.25">
      <c r="A8514" s="139" t="s">
        <v>19817</v>
      </c>
      <c r="B8514" s="139" t="s">
        <v>19815</v>
      </c>
      <c r="C8514" s="139" t="s">
        <v>65</v>
      </c>
      <c r="D8514" s="139" t="s">
        <v>19818</v>
      </c>
    </row>
    <row r="8515" spans="1:4" x14ac:dyDescent="0.25">
      <c r="A8515" s="139" t="s">
        <v>19819</v>
      </c>
      <c r="B8515" s="139" t="s">
        <v>19820</v>
      </c>
      <c r="C8515" s="139" t="s">
        <v>65</v>
      </c>
      <c r="D8515" s="139" t="s">
        <v>19821</v>
      </c>
    </row>
    <row r="8516" spans="1:4" x14ac:dyDescent="0.25">
      <c r="A8516" s="139" t="s">
        <v>19822</v>
      </c>
      <c r="B8516" s="139" t="s">
        <v>19820</v>
      </c>
      <c r="C8516" s="139" t="s">
        <v>65</v>
      </c>
      <c r="D8516" s="139" t="s">
        <v>19823</v>
      </c>
    </row>
    <row r="8517" spans="1:4" x14ac:dyDescent="0.25">
      <c r="A8517" s="139" t="s">
        <v>19824</v>
      </c>
      <c r="B8517" s="139" t="s">
        <v>19825</v>
      </c>
      <c r="C8517" s="139" t="s">
        <v>65</v>
      </c>
      <c r="D8517" s="139" t="s">
        <v>19826</v>
      </c>
    </row>
    <row r="8518" spans="1:4" x14ac:dyDescent="0.25">
      <c r="A8518" s="139" t="s">
        <v>19827</v>
      </c>
      <c r="B8518" s="139" t="s">
        <v>19825</v>
      </c>
      <c r="C8518" s="139" t="s">
        <v>65</v>
      </c>
      <c r="D8518" s="139" t="s">
        <v>19828</v>
      </c>
    </row>
    <row r="8519" spans="1:4" x14ac:dyDescent="0.25">
      <c r="A8519" s="139" t="s">
        <v>19829</v>
      </c>
      <c r="B8519" s="139" t="s">
        <v>19830</v>
      </c>
      <c r="C8519" s="139" t="s">
        <v>65</v>
      </c>
      <c r="D8519" s="139" t="s">
        <v>19831</v>
      </c>
    </row>
    <row r="8520" spans="1:4" x14ac:dyDescent="0.25">
      <c r="A8520" s="139" t="s">
        <v>19832</v>
      </c>
      <c r="B8520" s="139" t="s">
        <v>19830</v>
      </c>
      <c r="C8520" s="139" t="s">
        <v>65</v>
      </c>
      <c r="D8520" s="139" t="s">
        <v>19833</v>
      </c>
    </row>
    <row r="8521" spans="1:4" x14ac:dyDescent="0.25">
      <c r="A8521" s="139" t="s">
        <v>19834</v>
      </c>
      <c r="B8521" s="139" t="s">
        <v>19835</v>
      </c>
      <c r="C8521" s="139" t="s">
        <v>65</v>
      </c>
      <c r="D8521" s="139" t="s">
        <v>19836</v>
      </c>
    </row>
    <row r="8522" spans="1:4" x14ac:dyDescent="0.25">
      <c r="A8522" s="139" t="s">
        <v>19837</v>
      </c>
      <c r="B8522" s="139" t="s">
        <v>19835</v>
      </c>
      <c r="C8522" s="139" t="s">
        <v>65</v>
      </c>
      <c r="D8522" s="139" t="s">
        <v>19838</v>
      </c>
    </row>
    <row r="8523" spans="1:4" x14ac:dyDescent="0.25">
      <c r="A8523" s="139" t="s">
        <v>19839</v>
      </c>
      <c r="B8523" s="139" t="s">
        <v>19840</v>
      </c>
      <c r="C8523" s="139" t="s">
        <v>65</v>
      </c>
      <c r="D8523" s="139" t="s">
        <v>19841</v>
      </c>
    </row>
    <row r="8524" spans="1:4" x14ac:dyDescent="0.25">
      <c r="A8524" s="139" t="s">
        <v>19842</v>
      </c>
      <c r="B8524" s="139" t="s">
        <v>19840</v>
      </c>
      <c r="C8524" s="139" t="s">
        <v>65</v>
      </c>
      <c r="D8524" s="139" t="s">
        <v>19843</v>
      </c>
    </row>
    <row r="8525" spans="1:4" x14ac:dyDescent="0.25">
      <c r="A8525" s="139" t="s">
        <v>19844</v>
      </c>
      <c r="B8525" s="139" t="s">
        <v>19845</v>
      </c>
      <c r="C8525" s="139" t="s">
        <v>65</v>
      </c>
      <c r="D8525" s="139" t="s">
        <v>19846</v>
      </c>
    </row>
    <row r="8526" spans="1:4" x14ac:dyDescent="0.25">
      <c r="A8526" s="139" t="s">
        <v>19847</v>
      </c>
      <c r="B8526" s="139" t="s">
        <v>19845</v>
      </c>
      <c r="C8526" s="139" t="s">
        <v>65</v>
      </c>
      <c r="D8526" s="139" t="s">
        <v>19848</v>
      </c>
    </row>
    <row r="8527" spans="1:4" x14ac:dyDescent="0.25">
      <c r="A8527" s="139" t="s">
        <v>19849</v>
      </c>
      <c r="B8527" s="139" t="s">
        <v>19850</v>
      </c>
      <c r="C8527" s="139" t="s">
        <v>65</v>
      </c>
      <c r="D8527" s="139" t="s">
        <v>19851</v>
      </c>
    </row>
    <row r="8528" spans="1:4" x14ac:dyDescent="0.25">
      <c r="A8528" s="139" t="s">
        <v>19852</v>
      </c>
      <c r="B8528" s="139" t="s">
        <v>19850</v>
      </c>
      <c r="C8528" s="139" t="s">
        <v>65</v>
      </c>
      <c r="D8528" s="139" t="s">
        <v>19853</v>
      </c>
    </row>
    <row r="8529" spans="1:4" x14ac:dyDescent="0.25">
      <c r="A8529" s="139" t="s">
        <v>19854</v>
      </c>
      <c r="B8529" s="139" t="s">
        <v>19855</v>
      </c>
      <c r="C8529" s="139" t="s">
        <v>65</v>
      </c>
      <c r="D8529" s="139" t="s">
        <v>19856</v>
      </c>
    </row>
    <row r="8530" spans="1:4" x14ac:dyDescent="0.25">
      <c r="A8530" s="139" t="s">
        <v>19857</v>
      </c>
      <c r="B8530" s="139" t="s">
        <v>19855</v>
      </c>
      <c r="C8530" s="139" t="s">
        <v>65</v>
      </c>
      <c r="D8530" s="139" t="s">
        <v>19858</v>
      </c>
    </row>
    <row r="8531" spans="1:4" x14ac:dyDescent="0.25">
      <c r="A8531" s="139" t="s">
        <v>19859</v>
      </c>
      <c r="B8531" s="139" t="s">
        <v>19860</v>
      </c>
      <c r="C8531" s="139" t="s">
        <v>65</v>
      </c>
      <c r="D8531" s="139" t="s">
        <v>19861</v>
      </c>
    </row>
    <row r="8532" spans="1:4" x14ac:dyDescent="0.25">
      <c r="A8532" s="139" t="s">
        <v>19862</v>
      </c>
      <c r="B8532" s="139" t="s">
        <v>19860</v>
      </c>
      <c r="C8532" s="139" t="s">
        <v>65</v>
      </c>
      <c r="D8532" s="139" t="s">
        <v>19863</v>
      </c>
    </row>
    <row r="8533" spans="1:4" x14ac:dyDescent="0.25">
      <c r="A8533" s="139" t="s">
        <v>19864</v>
      </c>
      <c r="B8533" s="139" t="s">
        <v>19865</v>
      </c>
      <c r="C8533" s="139" t="s">
        <v>33</v>
      </c>
      <c r="D8533" s="139" t="s">
        <v>19866</v>
      </c>
    </row>
    <row r="8534" spans="1:4" x14ac:dyDescent="0.25">
      <c r="A8534" s="139" t="s">
        <v>19867</v>
      </c>
      <c r="B8534" s="139" t="s">
        <v>19865</v>
      </c>
      <c r="C8534" s="139" t="s">
        <v>33</v>
      </c>
      <c r="D8534" s="139" t="s">
        <v>19868</v>
      </c>
    </row>
    <row r="8535" spans="1:4" x14ac:dyDescent="0.25">
      <c r="A8535" s="139" t="s">
        <v>19869</v>
      </c>
      <c r="B8535" s="139" t="s">
        <v>315</v>
      </c>
      <c r="C8535" s="139" t="s">
        <v>65</v>
      </c>
      <c r="D8535" s="139" t="s">
        <v>19870</v>
      </c>
    </row>
    <row r="8536" spans="1:4" x14ac:dyDescent="0.25">
      <c r="A8536" s="139" t="s">
        <v>19871</v>
      </c>
      <c r="B8536" s="139" t="s">
        <v>315</v>
      </c>
      <c r="C8536" s="139" t="s">
        <v>65</v>
      </c>
      <c r="D8536" s="139" t="s">
        <v>19872</v>
      </c>
    </row>
    <row r="8537" spans="1:4" x14ac:dyDescent="0.25">
      <c r="A8537" s="139" t="s">
        <v>19873</v>
      </c>
      <c r="B8537" s="139" t="s">
        <v>14582</v>
      </c>
      <c r="C8537" s="139" t="s">
        <v>33</v>
      </c>
      <c r="D8537" s="139" t="s">
        <v>19874</v>
      </c>
    </row>
    <row r="8538" spans="1:4" x14ac:dyDescent="0.25">
      <c r="A8538" s="139" t="s">
        <v>19875</v>
      </c>
      <c r="B8538" s="139" t="s">
        <v>14582</v>
      </c>
      <c r="C8538" s="139" t="s">
        <v>33</v>
      </c>
      <c r="D8538" s="139" t="s">
        <v>19876</v>
      </c>
    </row>
    <row r="8539" spans="1:4" x14ac:dyDescent="0.25">
      <c r="A8539" s="139" t="s">
        <v>19877</v>
      </c>
      <c r="B8539" s="139" t="s">
        <v>19878</v>
      </c>
      <c r="C8539" s="139" t="s">
        <v>33</v>
      </c>
      <c r="D8539" s="139" t="s">
        <v>19879</v>
      </c>
    </row>
    <row r="8540" spans="1:4" x14ac:dyDescent="0.25">
      <c r="A8540" s="139" t="s">
        <v>19880</v>
      </c>
      <c r="B8540" s="139" t="s">
        <v>19878</v>
      </c>
      <c r="C8540" s="139" t="s">
        <v>33</v>
      </c>
      <c r="D8540" s="139" t="s">
        <v>19881</v>
      </c>
    </row>
    <row r="8541" spans="1:4" x14ac:dyDescent="0.25">
      <c r="A8541" s="139" t="s">
        <v>19882</v>
      </c>
      <c r="B8541" s="139" t="s">
        <v>19883</v>
      </c>
      <c r="C8541" s="139" t="s">
        <v>33</v>
      </c>
      <c r="D8541" s="139" t="s">
        <v>19884</v>
      </c>
    </row>
    <row r="8542" spans="1:4" x14ac:dyDescent="0.25">
      <c r="A8542" s="139" t="s">
        <v>19885</v>
      </c>
      <c r="B8542" s="139" t="s">
        <v>19883</v>
      </c>
      <c r="C8542" s="139" t="s">
        <v>33</v>
      </c>
      <c r="D8542" s="139" t="s">
        <v>19886</v>
      </c>
    </row>
    <row r="8543" spans="1:4" x14ac:dyDescent="0.25">
      <c r="A8543" s="139" t="s">
        <v>19887</v>
      </c>
      <c r="B8543" s="139" t="s">
        <v>19888</v>
      </c>
      <c r="C8543" s="139" t="s">
        <v>33</v>
      </c>
      <c r="D8543" s="139" t="s">
        <v>19889</v>
      </c>
    </row>
    <row r="8544" spans="1:4" x14ac:dyDescent="0.25">
      <c r="A8544" s="139" t="s">
        <v>19890</v>
      </c>
      <c r="B8544" s="139" t="s">
        <v>19888</v>
      </c>
      <c r="C8544" s="139" t="s">
        <v>33</v>
      </c>
      <c r="D8544" s="139" t="s">
        <v>19891</v>
      </c>
    </row>
    <row r="8545" spans="1:4" x14ac:dyDescent="0.25">
      <c r="A8545" s="139" t="s">
        <v>19892</v>
      </c>
      <c r="B8545" s="139" t="s">
        <v>19893</v>
      </c>
      <c r="C8545" s="139" t="s">
        <v>33</v>
      </c>
      <c r="D8545" s="139" t="s">
        <v>19894</v>
      </c>
    </row>
    <row r="8546" spans="1:4" x14ac:dyDescent="0.25">
      <c r="A8546" s="139" t="s">
        <v>19895</v>
      </c>
      <c r="B8546" s="139" t="s">
        <v>19893</v>
      </c>
      <c r="C8546" s="139" t="s">
        <v>33</v>
      </c>
      <c r="D8546" s="139" t="s">
        <v>19896</v>
      </c>
    </row>
    <row r="8547" spans="1:4" x14ac:dyDescent="0.25">
      <c r="A8547" s="139" t="s">
        <v>19897</v>
      </c>
      <c r="B8547" s="139" t="s">
        <v>19898</v>
      </c>
      <c r="C8547" s="139" t="s">
        <v>65</v>
      </c>
      <c r="D8547" s="139" t="s">
        <v>19899</v>
      </c>
    </row>
    <row r="8548" spans="1:4" x14ac:dyDescent="0.25">
      <c r="A8548" s="139" t="s">
        <v>19900</v>
      </c>
      <c r="B8548" s="139" t="s">
        <v>19898</v>
      </c>
      <c r="C8548" s="139" t="s">
        <v>65</v>
      </c>
      <c r="D8548" s="139" t="s">
        <v>19901</v>
      </c>
    </row>
    <row r="8549" spans="1:4" x14ac:dyDescent="0.25">
      <c r="A8549" s="139" t="s">
        <v>19902</v>
      </c>
      <c r="B8549" s="139" t="s">
        <v>18816</v>
      </c>
      <c r="C8549" s="139" t="s">
        <v>65</v>
      </c>
      <c r="D8549" s="139" t="s">
        <v>19903</v>
      </c>
    </row>
    <row r="8550" spans="1:4" x14ac:dyDescent="0.25">
      <c r="A8550" s="139" t="s">
        <v>19904</v>
      </c>
      <c r="B8550" s="139" t="s">
        <v>18816</v>
      </c>
      <c r="C8550" s="139" t="s">
        <v>65</v>
      </c>
      <c r="D8550" s="139" t="s">
        <v>19905</v>
      </c>
    </row>
    <row r="8551" spans="1:4" x14ac:dyDescent="0.25">
      <c r="A8551" s="139" t="s">
        <v>19906</v>
      </c>
      <c r="B8551" s="139" t="s">
        <v>17594</v>
      </c>
      <c r="C8551" s="139" t="s">
        <v>65</v>
      </c>
      <c r="D8551" s="139" t="s">
        <v>19907</v>
      </c>
    </row>
    <row r="8552" spans="1:4" x14ac:dyDescent="0.25">
      <c r="A8552" s="139" t="s">
        <v>19908</v>
      </c>
      <c r="B8552" s="139" t="s">
        <v>17594</v>
      </c>
      <c r="C8552" s="139" t="s">
        <v>65</v>
      </c>
      <c r="D8552" s="139" t="s">
        <v>19909</v>
      </c>
    </row>
    <row r="8553" spans="1:4" x14ac:dyDescent="0.25">
      <c r="A8553" s="139" t="s">
        <v>19910</v>
      </c>
      <c r="B8553" s="139" t="s">
        <v>1688</v>
      </c>
      <c r="C8553" s="139" t="s">
        <v>65</v>
      </c>
      <c r="D8553" s="139" t="s">
        <v>19911</v>
      </c>
    </row>
    <row r="8554" spans="1:4" x14ac:dyDescent="0.25">
      <c r="A8554" s="139" t="s">
        <v>19912</v>
      </c>
      <c r="B8554" s="139" t="s">
        <v>1688</v>
      </c>
      <c r="C8554" s="139" t="s">
        <v>65</v>
      </c>
      <c r="D8554" s="139" t="s">
        <v>19913</v>
      </c>
    </row>
    <row r="8555" spans="1:4" x14ac:dyDescent="0.25">
      <c r="A8555" s="139" t="s">
        <v>19914</v>
      </c>
      <c r="B8555" s="139" t="s">
        <v>17432</v>
      </c>
      <c r="C8555" s="139" t="s">
        <v>44</v>
      </c>
      <c r="D8555" s="139" t="s">
        <v>19915</v>
      </c>
    </row>
    <row r="8556" spans="1:4" x14ac:dyDescent="0.25">
      <c r="A8556" s="139" t="s">
        <v>19916</v>
      </c>
      <c r="B8556" s="139" t="s">
        <v>17432</v>
      </c>
      <c r="C8556" s="139" t="s">
        <v>44</v>
      </c>
      <c r="D8556" s="139" t="s">
        <v>19917</v>
      </c>
    </row>
    <row r="8557" spans="1:4" x14ac:dyDescent="0.25">
      <c r="A8557" s="139" t="s">
        <v>19918</v>
      </c>
      <c r="B8557" s="139" t="s">
        <v>19919</v>
      </c>
      <c r="C8557" s="139" t="s">
        <v>44</v>
      </c>
      <c r="D8557" s="139" t="s">
        <v>19920</v>
      </c>
    </row>
    <row r="8558" spans="1:4" x14ac:dyDescent="0.25">
      <c r="A8558" s="139" t="s">
        <v>19921</v>
      </c>
      <c r="B8558" s="139" t="s">
        <v>19919</v>
      </c>
      <c r="C8558" s="139" t="s">
        <v>44</v>
      </c>
      <c r="D8558" s="139" t="s">
        <v>19922</v>
      </c>
    </row>
    <row r="8559" spans="1:4" x14ac:dyDescent="0.25">
      <c r="A8559" s="139" t="s">
        <v>19923</v>
      </c>
      <c r="B8559" s="139" t="s">
        <v>10101</v>
      </c>
      <c r="C8559" s="139" t="s">
        <v>44</v>
      </c>
      <c r="D8559" s="139" t="s">
        <v>19924</v>
      </c>
    </row>
    <row r="8560" spans="1:4" x14ac:dyDescent="0.25">
      <c r="A8560" s="139" t="s">
        <v>19925</v>
      </c>
      <c r="B8560" s="139" t="s">
        <v>10101</v>
      </c>
      <c r="C8560" s="139" t="s">
        <v>44</v>
      </c>
      <c r="D8560" s="139" t="s">
        <v>19926</v>
      </c>
    </row>
    <row r="8561" spans="1:4" x14ac:dyDescent="0.25">
      <c r="A8561" s="139" t="s">
        <v>19927</v>
      </c>
      <c r="B8561" s="139" t="s">
        <v>3034</v>
      </c>
      <c r="C8561" s="139" t="s">
        <v>44</v>
      </c>
      <c r="D8561" s="139" t="s">
        <v>19928</v>
      </c>
    </row>
    <row r="8562" spans="1:4" x14ac:dyDescent="0.25">
      <c r="A8562" s="139" t="s">
        <v>19929</v>
      </c>
      <c r="B8562" s="139" t="s">
        <v>3034</v>
      </c>
      <c r="C8562" s="139" t="s">
        <v>44</v>
      </c>
      <c r="D8562" s="139" t="s">
        <v>19930</v>
      </c>
    </row>
    <row r="8563" spans="1:4" x14ac:dyDescent="0.25">
      <c r="A8563" s="139" t="s">
        <v>19931</v>
      </c>
      <c r="B8563" s="139" t="s">
        <v>19932</v>
      </c>
      <c r="C8563" s="139" t="s">
        <v>44</v>
      </c>
      <c r="D8563" s="139" t="s">
        <v>19933</v>
      </c>
    </row>
    <row r="8564" spans="1:4" x14ac:dyDescent="0.25">
      <c r="A8564" s="139" t="s">
        <v>19934</v>
      </c>
      <c r="B8564" s="139" t="s">
        <v>19932</v>
      </c>
      <c r="C8564" s="139" t="s">
        <v>44</v>
      </c>
      <c r="D8564" s="139" t="s">
        <v>19935</v>
      </c>
    </row>
    <row r="8565" spans="1:4" x14ac:dyDescent="0.25">
      <c r="A8565" s="139" t="s">
        <v>19936</v>
      </c>
      <c r="B8565" s="139" t="s">
        <v>19550</v>
      </c>
      <c r="C8565" s="139" t="s">
        <v>33</v>
      </c>
      <c r="D8565" s="139" t="s">
        <v>19937</v>
      </c>
    </row>
    <row r="8566" spans="1:4" x14ac:dyDescent="0.25">
      <c r="A8566" s="139" t="s">
        <v>19938</v>
      </c>
      <c r="B8566" s="139" t="s">
        <v>19550</v>
      </c>
      <c r="C8566" s="139" t="s">
        <v>33</v>
      </c>
      <c r="D8566" s="139" t="s">
        <v>19939</v>
      </c>
    </row>
    <row r="8567" spans="1:4" x14ac:dyDescent="0.25">
      <c r="A8567" s="139" t="s">
        <v>19940</v>
      </c>
      <c r="B8567" s="139" t="s">
        <v>19553</v>
      </c>
      <c r="C8567" s="139" t="s">
        <v>33</v>
      </c>
      <c r="D8567" s="139" t="s">
        <v>19941</v>
      </c>
    </row>
    <row r="8568" spans="1:4" x14ac:dyDescent="0.25">
      <c r="A8568" s="139" t="s">
        <v>19942</v>
      </c>
      <c r="B8568" s="139" t="s">
        <v>19553</v>
      </c>
      <c r="C8568" s="139" t="s">
        <v>33</v>
      </c>
      <c r="D8568" s="139" t="s">
        <v>19943</v>
      </c>
    </row>
    <row r="8569" spans="1:4" x14ac:dyDescent="0.25">
      <c r="A8569" s="139" t="s">
        <v>19944</v>
      </c>
      <c r="B8569" s="139" t="s">
        <v>19559</v>
      </c>
      <c r="C8569" s="139" t="s">
        <v>33</v>
      </c>
      <c r="D8569" s="139" t="s">
        <v>19945</v>
      </c>
    </row>
    <row r="8570" spans="1:4" x14ac:dyDescent="0.25">
      <c r="A8570" s="139" t="s">
        <v>19946</v>
      </c>
      <c r="B8570" s="139" t="s">
        <v>19559</v>
      </c>
      <c r="C8570" s="139" t="s">
        <v>33</v>
      </c>
      <c r="D8570" s="139" t="s">
        <v>19947</v>
      </c>
    </row>
    <row r="8571" spans="1:4" x14ac:dyDescent="0.25">
      <c r="A8571" s="139" t="s">
        <v>19948</v>
      </c>
      <c r="B8571" s="139" t="s">
        <v>19565</v>
      </c>
      <c r="C8571" s="139" t="s">
        <v>33</v>
      </c>
      <c r="D8571" s="139" t="s">
        <v>19949</v>
      </c>
    </row>
    <row r="8572" spans="1:4" x14ac:dyDescent="0.25">
      <c r="A8572" s="139" t="s">
        <v>19950</v>
      </c>
      <c r="B8572" s="139" t="s">
        <v>19565</v>
      </c>
      <c r="C8572" s="139" t="s">
        <v>33</v>
      </c>
      <c r="D8572" s="139" t="s">
        <v>19951</v>
      </c>
    </row>
    <row r="8573" spans="1:4" x14ac:dyDescent="0.25">
      <c r="A8573" s="139" t="s">
        <v>19952</v>
      </c>
      <c r="B8573" s="139" t="s">
        <v>19953</v>
      </c>
      <c r="C8573" s="139" t="s">
        <v>33</v>
      </c>
      <c r="D8573" s="139" t="s">
        <v>19954</v>
      </c>
    </row>
    <row r="8574" spans="1:4" x14ac:dyDescent="0.25">
      <c r="A8574" s="139" t="s">
        <v>19955</v>
      </c>
      <c r="B8574" s="139" t="s">
        <v>19953</v>
      </c>
      <c r="C8574" s="139" t="s">
        <v>33</v>
      </c>
      <c r="D8574" s="139" t="s">
        <v>19956</v>
      </c>
    </row>
    <row r="8575" spans="1:4" x14ac:dyDescent="0.25">
      <c r="A8575" s="139" t="s">
        <v>19957</v>
      </c>
      <c r="B8575" s="139" t="s">
        <v>19958</v>
      </c>
      <c r="C8575" s="139" t="s">
        <v>65</v>
      </c>
      <c r="D8575" s="139" t="s">
        <v>19959</v>
      </c>
    </row>
    <row r="8576" spans="1:4" x14ac:dyDescent="0.25">
      <c r="A8576" s="139" t="s">
        <v>19960</v>
      </c>
      <c r="B8576" s="139" t="s">
        <v>19958</v>
      </c>
      <c r="C8576" s="139" t="s">
        <v>65</v>
      </c>
      <c r="D8576" s="139" t="s">
        <v>19961</v>
      </c>
    </row>
    <row r="8577" spans="1:4" x14ac:dyDescent="0.25">
      <c r="A8577" s="139" t="s">
        <v>19962</v>
      </c>
      <c r="B8577" s="139" t="s">
        <v>19963</v>
      </c>
      <c r="C8577" s="139" t="s">
        <v>65</v>
      </c>
      <c r="D8577" s="139" t="s">
        <v>19964</v>
      </c>
    </row>
    <row r="8578" spans="1:4" x14ac:dyDescent="0.25">
      <c r="A8578" s="139" t="s">
        <v>19965</v>
      </c>
      <c r="B8578" s="139" t="s">
        <v>19963</v>
      </c>
      <c r="C8578" s="139" t="s">
        <v>65</v>
      </c>
      <c r="D8578" s="139" t="s">
        <v>19966</v>
      </c>
    </row>
    <row r="8579" spans="1:4" x14ac:dyDescent="0.25">
      <c r="A8579" s="139" t="s">
        <v>19967</v>
      </c>
      <c r="B8579" s="139" t="s">
        <v>19968</v>
      </c>
      <c r="C8579" s="139" t="s">
        <v>65</v>
      </c>
      <c r="D8579" s="139" t="s">
        <v>19969</v>
      </c>
    </row>
    <row r="8580" spans="1:4" x14ac:dyDescent="0.25">
      <c r="A8580" s="139" t="s">
        <v>19970</v>
      </c>
      <c r="B8580" s="139" t="s">
        <v>19968</v>
      </c>
      <c r="C8580" s="139" t="s">
        <v>65</v>
      </c>
      <c r="D8580" s="139" t="s">
        <v>19971</v>
      </c>
    </row>
    <row r="8581" spans="1:4" x14ac:dyDescent="0.25">
      <c r="A8581" s="139" t="s">
        <v>19972</v>
      </c>
      <c r="B8581" s="139" t="s">
        <v>19973</v>
      </c>
      <c r="C8581" s="139" t="s">
        <v>65</v>
      </c>
      <c r="D8581" s="139" t="s">
        <v>19974</v>
      </c>
    </row>
    <row r="8582" spans="1:4" x14ac:dyDescent="0.25">
      <c r="A8582" s="139" t="s">
        <v>19975</v>
      </c>
      <c r="B8582" s="139" t="s">
        <v>19973</v>
      </c>
      <c r="C8582" s="139" t="s">
        <v>65</v>
      </c>
      <c r="D8582" s="139" t="s">
        <v>19976</v>
      </c>
    </row>
    <row r="8583" spans="1:4" x14ac:dyDescent="0.25">
      <c r="A8583" s="139" t="s">
        <v>19977</v>
      </c>
      <c r="B8583" s="139" t="s">
        <v>371</v>
      </c>
      <c r="C8583" s="139" t="s">
        <v>65</v>
      </c>
      <c r="D8583" s="139" t="s">
        <v>19978</v>
      </c>
    </row>
    <row r="8584" spans="1:4" x14ac:dyDescent="0.25">
      <c r="A8584" s="139" t="s">
        <v>19979</v>
      </c>
      <c r="B8584" s="139" t="s">
        <v>371</v>
      </c>
      <c r="C8584" s="139" t="s">
        <v>65</v>
      </c>
      <c r="D8584" s="139" t="s">
        <v>19980</v>
      </c>
    </row>
    <row r="8585" spans="1:4" x14ac:dyDescent="0.25">
      <c r="A8585" s="139" t="s">
        <v>19981</v>
      </c>
      <c r="B8585" s="139" t="s">
        <v>38</v>
      </c>
      <c r="C8585" s="139" t="s">
        <v>65</v>
      </c>
      <c r="D8585" s="139" t="s">
        <v>19982</v>
      </c>
    </row>
    <row r="8586" spans="1:4" x14ac:dyDescent="0.25">
      <c r="A8586" s="139" t="s">
        <v>19983</v>
      </c>
      <c r="B8586" s="139" t="s">
        <v>38</v>
      </c>
      <c r="C8586" s="139" t="s">
        <v>65</v>
      </c>
      <c r="D8586" s="139" t="s">
        <v>19984</v>
      </c>
    </row>
    <row r="8587" spans="1:4" x14ac:dyDescent="0.25">
      <c r="A8587" s="139" t="s">
        <v>19985</v>
      </c>
      <c r="B8587" s="139" t="s">
        <v>5797</v>
      </c>
      <c r="C8587" s="139" t="s">
        <v>65</v>
      </c>
      <c r="D8587" s="139" t="s">
        <v>19986</v>
      </c>
    </row>
    <row r="8588" spans="1:4" x14ac:dyDescent="0.25">
      <c r="A8588" s="139" t="s">
        <v>19987</v>
      </c>
      <c r="B8588" s="139" t="s">
        <v>5797</v>
      </c>
      <c r="C8588" s="139" t="s">
        <v>65</v>
      </c>
      <c r="D8588" s="139" t="s">
        <v>19988</v>
      </c>
    </row>
    <row r="8589" spans="1:4" x14ac:dyDescent="0.25">
      <c r="A8589" s="139" t="s">
        <v>19989</v>
      </c>
      <c r="B8589" s="139" t="s">
        <v>541</v>
      </c>
      <c r="C8589" s="139" t="s">
        <v>65</v>
      </c>
      <c r="D8589" s="139" t="s">
        <v>19990</v>
      </c>
    </row>
    <row r="8590" spans="1:4" x14ac:dyDescent="0.25">
      <c r="A8590" s="139" t="s">
        <v>19991</v>
      </c>
      <c r="B8590" s="139" t="s">
        <v>541</v>
      </c>
      <c r="C8590" s="139" t="s">
        <v>65</v>
      </c>
      <c r="D8590" s="139" t="s">
        <v>19992</v>
      </c>
    </row>
    <row r="8591" spans="1:4" x14ac:dyDescent="0.25">
      <c r="A8591" s="139" t="s">
        <v>19993</v>
      </c>
      <c r="B8591" s="139" t="s">
        <v>19994</v>
      </c>
      <c r="C8591" s="139" t="s">
        <v>33</v>
      </c>
      <c r="D8591" s="139" t="s">
        <v>19995</v>
      </c>
    </row>
    <row r="8592" spans="1:4" x14ac:dyDescent="0.25">
      <c r="A8592" s="139" t="s">
        <v>19996</v>
      </c>
      <c r="B8592" s="139" t="s">
        <v>19994</v>
      </c>
      <c r="C8592" s="139" t="s">
        <v>33</v>
      </c>
      <c r="D8592" s="139" t="s">
        <v>19997</v>
      </c>
    </row>
    <row r="8593" spans="1:4" x14ac:dyDescent="0.25">
      <c r="A8593" s="139" t="s">
        <v>19998</v>
      </c>
      <c r="B8593" s="139" t="s">
        <v>19999</v>
      </c>
      <c r="C8593" s="139" t="s">
        <v>33</v>
      </c>
      <c r="D8593" s="139" t="s">
        <v>20000</v>
      </c>
    </row>
    <row r="8594" spans="1:4" x14ac:dyDescent="0.25">
      <c r="A8594" s="139" t="s">
        <v>20001</v>
      </c>
      <c r="B8594" s="139" t="s">
        <v>19999</v>
      </c>
      <c r="C8594" s="139" t="s">
        <v>33</v>
      </c>
      <c r="D8594" s="139" t="s">
        <v>20002</v>
      </c>
    </row>
    <row r="8595" spans="1:4" x14ac:dyDescent="0.25">
      <c r="A8595" s="139" t="s">
        <v>20003</v>
      </c>
      <c r="B8595" s="139" t="s">
        <v>20004</v>
      </c>
      <c r="C8595" s="139" t="s">
        <v>33</v>
      </c>
      <c r="D8595" s="139" t="s">
        <v>20005</v>
      </c>
    </row>
    <row r="8596" spans="1:4" x14ac:dyDescent="0.25">
      <c r="A8596" s="139" t="s">
        <v>20006</v>
      </c>
      <c r="B8596" s="139" t="s">
        <v>20004</v>
      </c>
      <c r="C8596" s="139" t="s">
        <v>33</v>
      </c>
      <c r="D8596" s="139" t="s">
        <v>20007</v>
      </c>
    </row>
    <row r="8597" spans="1:4" x14ac:dyDescent="0.25">
      <c r="A8597" s="139" t="s">
        <v>20008</v>
      </c>
      <c r="B8597" s="139" t="s">
        <v>20009</v>
      </c>
      <c r="C8597" s="139" t="s">
        <v>33</v>
      </c>
      <c r="D8597" s="139" t="s">
        <v>20010</v>
      </c>
    </row>
    <row r="8598" spans="1:4" x14ac:dyDescent="0.25">
      <c r="A8598" s="139" t="s">
        <v>20011</v>
      </c>
      <c r="B8598" s="139" t="s">
        <v>20009</v>
      </c>
      <c r="C8598" s="139" t="s">
        <v>33</v>
      </c>
      <c r="D8598" s="139" t="s">
        <v>20012</v>
      </c>
    </row>
    <row r="8599" spans="1:4" x14ac:dyDescent="0.25">
      <c r="A8599" s="139" t="s">
        <v>20013</v>
      </c>
      <c r="B8599" s="139" t="s">
        <v>20014</v>
      </c>
      <c r="C8599" s="139" t="s">
        <v>33</v>
      </c>
      <c r="D8599" s="139" t="s">
        <v>20015</v>
      </c>
    </row>
    <row r="8600" spans="1:4" x14ac:dyDescent="0.25">
      <c r="A8600" s="139" t="s">
        <v>20016</v>
      </c>
      <c r="B8600" s="139" t="s">
        <v>20014</v>
      </c>
      <c r="C8600" s="139" t="s">
        <v>33</v>
      </c>
      <c r="D8600" s="139" t="s">
        <v>20017</v>
      </c>
    </row>
    <row r="8601" spans="1:4" x14ac:dyDescent="0.25">
      <c r="A8601" s="139" t="s">
        <v>20018</v>
      </c>
      <c r="B8601" s="139" t="s">
        <v>20019</v>
      </c>
      <c r="C8601" s="139" t="s">
        <v>33</v>
      </c>
      <c r="D8601" s="139" t="s">
        <v>20020</v>
      </c>
    </row>
    <row r="8602" spans="1:4" x14ac:dyDescent="0.25">
      <c r="A8602" s="139" t="s">
        <v>20021</v>
      </c>
      <c r="B8602" s="139" t="s">
        <v>20019</v>
      </c>
      <c r="C8602" s="139" t="s">
        <v>33</v>
      </c>
      <c r="D8602" s="139" t="s">
        <v>20022</v>
      </c>
    </row>
    <row r="8603" spans="1:4" x14ac:dyDescent="0.25">
      <c r="A8603" s="139" t="s">
        <v>20023</v>
      </c>
      <c r="B8603" s="139" t="s">
        <v>11079</v>
      </c>
      <c r="C8603" s="139" t="s">
        <v>33</v>
      </c>
      <c r="D8603" s="139" t="s">
        <v>20024</v>
      </c>
    </row>
    <row r="8604" spans="1:4" x14ac:dyDescent="0.25">
      <c r="A8604" s="139" t="s">
        <v>20025</v>
      </c>
      <c r="B8604" s="139" t="s">
        <v>11079</v>
      </c>
      <c r="C8604" s="139" t="s">
        <v>33</v>
      </c>
      <c r="D8604" s="139" t="s">
        <v>20026</v>
      </c>
    </row>
    <row r="8605" spans="1:4" x14ac:dyDescent="0.25">
      <c r="A8605" s="139" t="s">
        <v>20027</v>
      </c>
      <c r="B8605" s="139" t="s">
        <v>11084</v>
      </c>
      <c r="C8605" s="139" t="s">
        <v>33</v>
      </c>
      <c r="D8605" s="139" t="s">
        <v>20028</v>
      </c>
    </row>
    <row r="8606" spans="1:4" x14ac:dyDescent="0.25">
      <c r="A8606" s="139" t="s">
        <v>20029</v>
      </c>
      <c r="B8606" s="139" t="s">
        <v>11084</v>
      </c>
      <c r="C8606" s="139" t="s">
        <v>33</v>
      </c>
      <c r="D8606" s="139" t="s">
        <v>20030</v>
      </c>
    </row>
    <row r="8607" spans="1:4" x14ac:dyDescent="0.25">
      <c r="A8607" s="139" t="s">
        <v>20031</v>
      </c>
      <c r="B8607" s="139" t="s">
        <v>14923</v>
      </c>
      <c r="C8607" s="139" t="s">
        <v>33</v>
      </c>
      <c r="D8607" s="139" t="s">
        <v>20032</v>
      </c>
    </row>
    <row r="8608" spans="1:4" x14ac:dyDescent="0.25">
      <c r="A8608" s="139" t="s">
        <v>20033</v>
      </c>
      <c r="B8608" s="139" t="s">
        <v>14923</v>
      </c>
      <c r="C8608" s="139" t="s">
        <v>33</v>
      </c>
      <c r="D8608" s="139" t="s">
        <v>20034</v>
      </c>
    </row>
    <row r="8609" spans="1:4" x14ac:dyDescent="0.25">
      <c r="A8609" s="139" t="s">
        <v>20035</v>
      </c>
      <c r="B8609" s="139" t="s">
        <v>2989</v>
      </c>
      <c r="C8609" s="139" t="s">
        <v>33</v>
      </c>
      <c r="D8609" s="139" t="s">
        <v>20036</v>
      </c>
    </row>
    <row r="8610" spans="1:4" x14ac:dyDescent="0.25">
      <c r="A8610" s="139" t="s">
        <v>20037</v>
      </c>
      <c r="B8610" s="139" t="s">
        <v>2989</v>
      </c>
      <c r="C8610" s="139" t="s">
        <v>33</v>
      </c>
      <c r="D8610" s="139" t="s">
        <v>20038</v>
      </c>
    </row>
    <row r="8611" spans="1:4" x14ac:dyDescent="0.25">
      <c r="A8611" s="139" t="s">
        <v>20039</v>
      </c>
      <c r="B8611" s="139" t="s">
        <v>13273</v>
      </c>
      <c r="C8611" s="139" t="s">
        <v>33</v>
      </c>
      <c r="D8611" s="139" t="s">
        <v>20040</v>
      </c>
    </row>
    <row r="8612" spans="1:4" x14ac:dyDescent="0.25">
      <c r="A8612" s="139" t="s">
        <v>20041</v>
      </c>
      <c r="B8612" s="139" t="s">
        <v>13273</v>
      </c>
      <c r="C8612" s="139" t="s">
        <v>33</v>
      </c>
      <c r="D8612" s="139" t="s">
        <v>20042</v>
      </c>
    </row>
    <row r="8613" spans="1:4" x14ac:dyDescent="0.25">
      <c r="A8613" s="139" t="s">
        <v>20043</v>
      </c>
      <c r="B8613" s="139" t="s">
        <v>20044</v>
      </c>
      <c r="C8613" s="139" t="s">
        <v>33</v>
      </c>
      <c r="D8613" s="139" t="s">
        <v>20045</v>
      </c>
    </row>
    <row r="8614" spans="1:4" x14ac:dyDescent="0.25">
      <c r="A8614" s="139" t="s">
        <v>20046</v>
      </c>
      <c r="B8614" s="139" t="s">
        <v>20044</v>
      </c>
      <c r="C8614" s="139" t="s">
        <v>33</v>
      </c>
      <c r="D8614" s="139" t="s">
        <v>20047</v>
      </c>
    </row>
    <row r="8615" spans="1:4" x14ac:dyDescent="0.25">
      <c r="A8615" s="139" t="s">
        <v>20048</v>
      </c>
      <c r="B8615" s="139" t="s">
        <v>1662</v>
      </c>
      <c r="C8615" s="139" t="s">
        <v>33</v>
      </c>
      <c r="D8615" s="139" t="s">
        <v>20049</v>
      </c>
    </row>
    <row r="8616" spans="1:4" x14ac:dyDescent="0.25">
      <c r="A8616" s="139" t="s">
        <v>20050</v>
      </c>
      <c r="B8616" s="139" t="s">
        <v>1662</v>
      </c>
      <c r="C8616" s="139" t="s">
        <v>33</v>
      </c>
      <c r="D8616" s="139" t="s">
        <v>20051</v>
      </c>
    </row>
    <row r="8617" spans="1:4" x14ac:dyDescent="0.25">
      <c r="A8617" s="139" t="s">
        <v>20052</v>
      </c>
      <c r="B8617" s="139" t="s">
        <v>371</v>
      </c>
      <c r="C8617" s="139" t="s">
        <v>33</v>
      </c>
      <c r="D8617" s="139" t="s">
        <v>20053</v>
      </c>
    </row>
    <row r="8618" spans="1:4" x14ac:dyDescent="0.25">
      <c r="A8618" s="139" t="s">
        <v>20054</v>
      </c>
      <c r="B8618" s="139" t="s">
        <v>371</v>
      </c>
      <c r="C8618" s="139" t="s">
        <v>33</v>
      </c>
      <c r="D8618" s="139" t="s">
        <v>20055</v>
      </c>
    </row>
    <row r="8619" spans="1:4" x14ac:dyDescent="0.25">
      <c r="A8619" s="139" t="s">
        <v>20056</v>
      </c>
      <c r="B8619" s="139" t="s">
        <v>19545</v>
      </c>
      <c r="C8619" s="139" t="s">
        <v>33</v>
      </c>
      <c r="D8619" s="139" t="s">
        <v>20057</v>
      </c>
    </row>
    <row r="8620" spans="1:4" x14ac:dyDescent="0.25">
      <c r="A8620" s="139" t="s">
        <v>20058</v>
      </c>
      <c r="B8620" s="139" t="s">
        <v>19545</v>
      </c>
      <c r="C8620" s="139" t="s">
        <v>33</v>
      </c>
      <c r="D8620" s="139" t="s">
        <v>20059</v>
      </c>
    </row>
    <row r="8621" spans="1:4" x14ac:dyDescent="0.25">
      <c r="A8621" s="139" t="s">
        <v>20060</v>
      </c>
      <c r="B8621" s="139" t="s">
        <v>20061</v>
      </c>
      <c r="C8621" s="139" t="s">
        <v>33</v>
      </c>
      <c r="D8621" s="139" t="s">
        <v>20062</v>
      </c>
    </row>
    <row r="8622" spans="1:4" x14ac:dyDescent="0.25">
      <c r="A8622" s="139" t="s">
        <v>20063</v>
      </c>
      <c r="B8622" s="139" t="s">
        <v>20061</v>
      </c>
      <c r="C8622" s="139" t="s">
        <v>33</v>
      </c>
      <c r="D8622" s="139" t="s">
        <v>20064</v>
      </c>
    </row>
    <row r="8623" spans="1:4" x14ac:dyDescent="0.25">
      <c r="A8623" s="139" t="s">
        <v>20065</v>
      </c>
      <c r="B8623" s="139" t="s">
        <v>20066</v>
      </c>
      <c r="C8623" s="139" t="s">
        <v>33</v>
      </c>
      <c r="D8623" s="139" t="s">
        <v>20067</v>
      </c>
    </row>
    <row r="8624" spans="1:4" x14ac:dyDescent="0.25">
      <c r="A8624" s="139" t="s">
        <v>20068</v>
      </c>
      <c r="B8624" s="139" t="s">
        <v>20066</v>
      </c>
      <c r="C8624" s="139" t="s">
        <v>33</v>
      </c>
      <c r="D8624" s="139" t="s">
        <v>20069</v>
      </c>
    </row>
    <row r="8625" spans="1:4" x14ac:dyDescent="0.25">
      <c r="A8625" s="139" t="s">
        <v>20070</v>
      </c>
      <c r="B8625" s="139" t="s">
        <v>13895</v>
      </c>
      <c r="C8625" s="139" t="s">
        <v>65</v>
      </c>
      <c r="D8625" s="139" t="s">
        <v>20071</v>
      </c>
    </row>
    <row r="8626" spans="1:4" x14ac:dyDescent="0.25">
      <c r="A8626" s="139" t="s">
        <v>20072</v>
      </c>
      <c r="B8626" s="139" t="s">
        <v>13895</v>
      </c>
      <c r="C8626" s="139" t="s">
        <v>65</v>
      </c>
      <c r="D8626" s="139" t="s">
        <v>20073</v>
      </c>
    </row>
    <row r="8627" spans="1:4" x14ac:dyDescent="0.25">
      <c r="A8627" s="139" t="s">
        <v>20074</v>
      </c>
      <c r="B8627" s="139" t="s">
        <v>2455</v>
      </c>
      <c r="C8627" s="139" t="s">
        <v>65</v>
      </c>
      <c r="D8627" s="139" t="s">
        <v>20075</v>
      </c>
    </row>
    <row r="8628" spans="1:4" x14ac:dyDescent="0.25">
      <c r="A8628" s="139" t="s">
        <v>20076</v>
      </c>
      <c r="B8628" s="139" t="s">
        <v>2455</v>
      </c>
      <c r="C8628" s="139" t="s">
        <v>65</v>
      </c>
      <c r="D8628" s="139" t="s">
        <v>20077</v>
      </c>
    </row>
    <row r="8629" spans="1:4" x14ac:dyDescent="0.25">
      <c r="A8629" s="139" t="s">
        <v>20078</v>
      </c>
      <c r="B8629" s="139" t="s">
        <v>20079</v>
      </c>
      <c r="C8629" s="139" t="s">
        <v>33</v>
      </c>
      <c r="D8629" s="139" t="s">
        <v>20080</v>
      </c>
    </row>
    <row r="8630" spans="1:4" x14ac:dyDescent="0.25">
      <c r="A8630" s="139" t="s">
        <v>20081</v>
      </c>
      <c r="B8630" s="139" t="s">
        <v>20079</v>
      </c>
      <c r="C8630" s="139" t="s">
        <v>33</v>
      </c>
      <c r="D8630" s="139" t="s">
        <v>20082</v>
      </c>
    </row>
    <row r="8631" spans="1:4" x14ac:dyDescent="0.25">
      <c r="A8631" s="139" t="s">
        <v>20083</v>
      </c>
      <c r="B8631" s="139" t="s">
        <v>4769</v>
      </c>
      <c r="C8631" s="139" t="s">
        <v>65</v>
      </c>
      <c r="D8631" s="139" t="s">
        <v>20084</v>
      </c>
    </row>
    <row r="8632" spans="1:4" x14ac:dyDescent="0.25">
      <c r="A8632" s="139" t="s">
        <v>20085</v>
      </c>
      <c r="B8632" s="139" t="s">
        <v>4769</v>
      </c>
      <c r="C8632" s="139" t="s">
        <v>65</v>
      </c>
      <c r="D8632" s="139" t="s">
        <v>20086</v>
      </c>
    </row>
    <row r="8633" spans="1:4" x14ac:dyDescent="0.25">
      <c r="A8633" s="139" t="s">
        <v>20087</v>
      </c>
      <c r="B8633" s="139" t="s">
        <v>20088</v>
      </c>
      <c r="C8633" s="139" t="s">
        <v>33</v>
      </c>
      <c r="D8633" s="139" t="s">
        <v>20089</v>
      </c>
    </row>
    <row r="8634" spans="1:4" x14ac:dyDescent="0.25">
      <c r="A8634" s="139" t="s">
        <v>20090</v>
      </c>
      <c r="B8634" s="139" t="s">
        <v>20088</v>
      </c>
      <c r="C8634" s="139" t="s">
        <v>33</v>
      </c>
      <c r="D8634" s="139" t="s">
        <v>20091</v>
      </c>
    </row>
    <row r="8635" spans="1:4" x14ac:dyDescent="0.25">
      <c r="A8635" s="139" t="s">
        <v>20092</v>
      </c>
      <c r="B8635" s="139" t="s">
        <v>20093</v>
      </c>
      <c r="C8635" s="139" t="s">
        <v>33</v>
      </c>
      <c r="D8635" s="139" t="s">
        <v>20094</v>
      </c>
    </row>
    <row r="8636" spans="1:4" x14ac:dyDescent="0.25">
      <c r="A8636" s="139" t="s">
        <v>20095</v>
      </c>
      <c r="B8636" s="139" t="s">
        <v>20093</v>
      </c>
      <c r="C8636" s="139" t="s">
        <v>33</v>
      </c>
      <c r="D8636" s="139" t="s">
        <v>20096</v>
      </c>
    </row>
    <row r="8637" spans="1:4" x14ac:dyDescent="0.25">
      <c r="A8637" s="139" t="s">
        <v>20097</v>
      </c>
      <c r="B8637" s="139" t="s">
        <v>20098</v>
      </c>
      <c r="C8637" s="139" t="s">
        <v>65</v>
      </c>
      <c r="D8637" s="139" t="s">
        <v>20099</v>
      </c>
    </row>
    <row r="8638" spans="1:4" x14ac:dyDescent="0.25">
      <c r="A8638" s="139" t="s">
        <v>20100</v>
      </c>
      <c r="B8638" s="139" t="s">
        <v>20098</v>
      </c>
      <c r="C8638" s="139" t="s">
        <v>65</v>
      </c>
      <c r="D8638" s="139" t="s">
        <v>20101</v>
      </c>
    </row>
    <row r="8639" spans="1:4" x14ac:dyDescent="0.25">
      <c r="A8639" s="139" t="s">
        <v>20102</v>
      </c>
      <c r="B8639" s="139" t="s">
        <v>20103</v>
      </c>
      <c r="C8639" s="139" t="s">
        <v>65</v>
      </c>
      <c r="D8639" s="139" t="s">
        <v>20104</v>
      </c>
    </row>
    <row r="8640" spans="1:4" x14ac:dyDescent="0.25">
      <c r="A8640" s="139" t="s">
        <v>20105</v>
      </c>
      <c r="B8640" s="139" t="s">
        <v>20103</v>
      </c>
      <c r="C8640" s="139" t="s">
        <v>65</v>
      </c>
      <c r="D8640" s="139" t="s">
        <v>20106</v>
      </c>
    </row>
    <row r="8641" spans="1:4" x14ac:dyDescent="0.25">
      <c r="A8641" s="139" t="s">
        <v>20107</v>
      </c>
      <c r="B8641" s="139" t="s">
        <v>357</v>
      </c>
      <c r="C8641" s="139" t="s">
        <v>65</v>
      </c>
      <c r="D8641" s="139" t="s">
        <v>20108</v>
      </c>
    </row>
    <row r="8642" spans="1:4" x14ac:dyDescent="0.25">
      <c r="A8642" s="139" t="s">
        <v>20109</v>
      </c>
      <c r="B8642" s="139" t="s">
        <v>357</v>
      </c>
      <c r="C8642" s="139" t="s">
        <v>65</v>
      </c>
      <c r="D8642" s="139" t="s">
        <v>20110</v>
      </c>
    </row>
    <row r="8643" spans="1:4" x14ac:dyDescent="0.25">
      <c r="A8643" s="139" t="s">
        <v>20111</v>
      </c>
      <c r="B8643" s="139" t="s">
        <v>20112</v>
      </c>
      <c r="C8643" s="139" t="s">
        <v>65</v>
      </c>
      <c r="D8643" s="139" t="s">
        <v>20113</v>
      </c>
    </row>
    <row r="8644" spans="1:4" x14ac:dyDescent="0.25">
      <c r="A8644" s="139" t="s">
        <v>20114</v>
      </c>
      <c r="B8644" s="139" t="s">
        <v>20112</v>
      </c>
      <c r="C8644" s="139" t="s">
        <v>65</v>
      </c>
      <c r="D8644" s="139" t="s">
        <v>20115</v>
      </c>
    </row>
    <row r="8645" spans="1:4" x14ac:dyDescent="0.25">
      <c r="A8645" s="139" t="s">
        <v>20116</v>
      </c>
      <c r="B8645" s="139" t="s">
        <v>20117</v>
      </c>
      <c r="C8645" s="139" t="s">
        <v>65</v>
      </c>
      <c r="D8645" s="139" t="s">
        <v>20118</v>
      </c>
    </row>
    <row r="8646" spans="1:4" x14ac:dyDescent="0.25">
      <c r="A8646" s="139" t="s">
        <v>20119</v>
      </c>
      <c r="B8646" s="139" t="s">
        <v>20117</v>
      </c>
      <c r="C8646" s="139" t="s">
        <v>65</v>
      </c>
      <c r="D8646" s="139" t="s">
        <v>20120</v>
      </c>
    </row>
    <row r="8647" spans="1:4" x14ac:dyDescent="0.25">
      <c r="A8647" s="139" t="s">
        <v>20121</v>
      </c>
      <c r="B8647" s="139" t="s">
        <v>20122</v>
      </c>
      <c r="C8647" s="139" t="s">
        <v>65</v>
      </c>
      <c r="D8647" s="139" t="s">
        <v>20123</v>
      </c>
    </row>
    <row r="8648" spans="1:4" x14ac:dyDescent="0.25">
      <c r="A8648" s="139" t="s">
        <v>20124</v>
      </c>
      <c r="B8648" s="139" t="s">
        <v>20122</v>
      </c>
      <c r="C8648" s="139" t="s">
        <v>65</v>
      </c>
      <c r="D8648" s="139" t="s">
        <v>20125</v>
      </c>
    </row>
    <row r="8649" spans="1:4" x14ac:dyDescent="0.25">
      <c r="A8649" s="139" t="s">
        <v>20126</v>
      </c>
      <c r="B8649" s="139" t="s">
        <v>20127</v>
      </c>
      <c r="C8649" s="139" t="s">
        <v>33</v>
      </c>
      <c r="D8649" s="139" t="s">
        <v>20128</v>
      </c>
    </row>
    <row r="8650" spans="1:4" x14ac:dyDescent="0.25">
      <c r="A8650" s="139" t="s">
        <v>20129</v>
      </c>
      <c r="B8650" s="139" t="s">
        <v>20127</v>
      </c>
      <c r="C8650" s="139" t="s">
        <v>33</v>
      </c>
      <c r="D8650" s="139" t="s">
        <v>20130</v>
      </c>
    </row>
    <row r="8651" spans="1:4" x14ac:dyDescent="0.25">
      <c r="A8651" s="139" t="s">
        <v>20131</v>
      </c>
      <c r="B8651" s="139" t="s">
        <v>20132</v>
      </c>
      <c r="C8651" s="139" t="s">
        <v>33</v>
      </c>
      <c r="D8651" s="139" t="s">
        <v>20133</v>
      </c>
    </row>
    <row r="8652" spans="1:4" x14ac:dyDescent="0.25">
      <c r="A8652" s="139" t="s">
        <v>20134</v>
      </c>
      <c r="B8652" s="139" t="s">
        <v>20132</v>
      </c>
      <c r="C8652" s="139" t="s">
        <v>33</v>
      </c>
      <c r="D8652" s="139" t="s">
        <v>20135</v>
      </c>
    </row>
    <row r="8653" spans="1:4" x14ac:dyDescent="0.25">
      <c r="A8653" s="139" t="s">
        <v>20136</v>
      </c>
      <c r="B8653" s="139" t="s">
        <v>20137</v>
      </c>
      <c r="C8653" s="139" t="s">
        <v>33</v>
      </c>
      <c r="D8653" s="139" t="s">
        <v>20138</v>
      </c>
    </row>
    <row r="8654" spans="1:4" x14ac:dyDescent="0.25">
      <c r="A8654" s="139" t="s">
        <v>20139</v>
      </c>
      <c r="B8654" s="139" t="s">
        <v>20137</v>
      </c>
      <c r="C8654" s="139" t="s">
        <v>33</v>
      </c>
      <c r="D8654" s="139" t="s">
        <v>20140</v>
      </c>
    </row>
    <row r="8655" spans="1:4" x14ac:dyDescent="0.25">
      <c r="A8655" s="139" t="s">
        <v>20141</v>
      </c>
      <c r="B8655" s="139" t="s">
        <v>15716</v>
      </c>
      <c r="C8655" s="139" t="s">
        <v>33</v>
      </c>
      <c r="D8655" s="139" t="s">
        <v>20142</v>
      </c>
    </row>
    <row r="8656" spans="1:4" x14ac:dyDescent="0.25">
      <c r="A8656" s="139" t="s">
        <v>20143</v>
      </c>
      <c r="B8656" s="139" t="s">
        <v>15716</v>
      </c>
      <c r="C8656" s="139" t="s">
        <v>33</v>
      </c>
      <c r="D8656" s="139" t="s">
        <v>20144</v>
      </c>
    </row>
    <row r="8657" spans="1:4" x14ac:dyDescent="0.25">
      <c r="A8657" s="139" t="s">
        <v>20145</v>
      </c>
      <c r="B8657" s="139" t="s">
        <v>20146</v>
      </c>
      <c r="C8657" s="139" t="s">
        <v>33</v>
      </c>
      <c r="D8657" s="139" t="s">
        <v>20147</v>
      </c>
    </row>
    <row r="8658" spans="1:4" x14ac:dyDescent="0.25">
      <c r="A8658" s="139" t="s">
        <v>20148</v>
      </c>
      <c r="B8658" s="139" t="s">
        <v>20146</v>
      </c>
      <c r="C8658" s="139" t="s">
        <v>33</v>
      </c>
      <c r="D8658" s="139" t="s">
        <v>20149</v>
      </c>
    </row>
    <row r="8659" spans="1:4" x14ac:dyDescent="0.25">
      <c r="A8659" s="139" t="s">
        <v>20150</v>
      </c>
      <c r="B8659" s="139" t="s">
        <v>14655</v>
      </c>
      <c r="C8659" s="139" t="s">
        <v>33</v>
      </c>
      <c r="D8659" s="139" t="s">
        <v>20151</v>
      </c>
    </row>
    <row r="8660" spans="1:4" x14ac:dyDescent="0.25">
      <c r="A8660" s="139" t="s">
        <v>20152</v>
      </c>
      <c r="B8660" s="139" t="s">
        <v>14655</v>
      </c>
      <c r="C8660" s="139" t="s">
        <v>33</v>
      </c>
      <c r="D8660" s="139" t="s">
        <v>20153</v>
      </c>
    </row>
    <row r="8661" spans="1:4" x14ac:dyDescent="0.25">
      <c r="A8661" s="139" t="s">
        <v>20154</v>
      </c>
      <c r="B8661" s="139" t="s">
        <v>20155</v>
      </c>
      <c r="C8661" s="139" t="s">
        <v>33</v>
      </c>
      <c r="D8661" s="139" t="s">
        <v>20156</v>
      </c>
    </row>
    <row r="8662" spans="1:4" x14ac:dyDescent="0.25">
      <c r="A8662" s="139" t="s">
        <v>20157</v>
      </c>
      <c r="B8662" s="139" t="s">
        <v>20155</v>
      </c>
      <c r="C8662" s="139" t="s">
        <v>33</v>
      </c>
      <c r="D8662" s="139" t="s">
        <v>20158</v>
      </c>
    </row>
    <row r="8663" spans="1:4" x14ac:dyDescent="0.25">
      <c r="A8663" s="139" t="s">
        <v>20159</v>
      </c>
      <c r="B8663" s="139" t="s">
        <v>20160</v>
      </c>
      <c r="C8663" s="139" t="s">
        <v>33</v>
      </c>
      <c r="D8663" s="139" t="s">
        <v>20161</v>
      </c>
    </row>
    <row r="8664" spans="1:4" x14ac:dyDescent="0.25">
      <c r="A8664" s="139" t="s">
        <v>20162</v>
      </c>
      <c r="B8664" s="139" t="s">
        <v>20160</v>
      </c>
      <c r="C8664" s="139" t="s">
        <v>33</v>
      </c>
      <c r="D8664" s="139" t="s">
        <v>20163</v>
      </c>
    </row>
    <row r="8665" spans="1:4" x14ac:dyDescent="0.25">
      <c r="A8665" s="139" t="s">
        <v>20164</v>
      </c>
      <c r="B8665" s="139" t="s">
        <v>16986</v>
      </c>
      <c r="C8665" s="139" t="s">
        <v>33</v>
      </c>
      <c r="D8665" s="139" t="s">
        <v>20165</v>
      </c>
    </row>
    <row r="8666" spans="1:4" x14ac:dyDescent="0.25">
      <c r="A8666" s="139" t="s">
        <v>20166</v>
      </c>
      <c r="B8666" s="139" t="s">
        <v>16986</v>
      </c>
      <c r="C8666" s="139" t="s">
        <v>33</v>
      </c>
      <c r="D8666" s="139" t="s">
        <v>20167</v>
      </c>
    </row>
    <row r="8667" spans="1:4" x14ac:dyDescent="0.25">
      <c r="A8667" s="139" t="s">
        <v>20168</v>
      </c>
      <c r="B8667" s="139" t="s">
        <v>11217</v>
      </c>
      <c r="C8667" s="139" t="s">
        <v>33</v>
      </c>
      <c r="D8667" s="139" t="s">
        <v>20169</v>
      </c>
    </row>
    <row r="8668" spans="1:4" x14ac:dyDescent="0.25">
      <c r="A8668" s="139" t="s">
        <v>20170</v>
      </c>
      <c r="B8668" s="139" t="s">
        <v>11217</v>
      </c>
      <c r="C8668" s="139" t="s">
        <v>33</v>
      </c>
      <c r="D8668" s="139" t="s">
        <v>20171</v>
      </c>
    </row>
    <row r="8669" spans="1:4" x14ac:dyDescent="0.25">
      <c r="A8669" s="139" t="s">
        <v>20172</v>
      </c>
      <c r="B8669" s="139" t="s">
        <v>11124</v>
      </c>
      <c r="C8669" s="139" t="s">
        <v>33</v>
      </c>
      <c r="D8669" s="139" t="s">
        <v>20173</v>
      </c>
    </row>
    <row r="8670" spans="1:4" x14ac:dyDescent="0.25">
      <c r="A8670" s="139" t="s">
        <v>20174</v>
      </c>
      <c r="B8670" s="139" t="s">
        <v>11124</v>
      </c>
      <c r="C8670" s="139" t="s">
        <v>33</v>
      </c>
      <c r="D8670" s="139" t="s">
        <v>20175</v>
      </c>
    </row>
    <row r="8671" spans="1:4" x14ac:dyDescent="0.25">
      <c r="A8671" s="139" t="s">
        <v>20176</v>
      </c>
      <c r="B8671" s="139" t="s">
        <v>1817</v>
      </c>
      <c r="C8671" s="139" t="s">
        <v>316</v>
      </c>
      <c r="D8671" s="139" t="s">
        <v>20177</v>
      </c>
    </row>
    <row r="8672" spans="1:4" x14ac:dyDescent="0.25">
      <c r="A8672" s="139" t="s">
        <v>20178</v>
      </c>
      <c r="B8672" s="139" t="s">
        <v>1817</v>
      </c>
      <c r="C8672" s="139" t="s">
        <v>316</v>
      </c>
      <c r="D8672" s="139" t="s">
        <v>20179</v>
      </c>
    </row>
    <row r="8673" spans="1:4" x14ac:dyDescent="0.25">
      <c r="A8673" s="139" t="s">
        <v>20180</v>
      </c>
      <c r="B8673" s="139" t="s">
        <v>18718</v>
      </c>
      <c r="C8673" s="139" t="s">
        <v>316</v>
      </c>
      <c r="D8673" s="139" t="s">
        <v>20181</v>
      </c>
    </row>
    <row r="8674" spans="1:4" x14ac:dyDescent="0.25">
      <c r="A8674" s="139" t="s">
        <v>20182</v>
      </c>
      <c r="B8674" s="139" t="s">
        <v>18718</v>
      </c>
      <c r="C8674" s="139" t="s">
        <v>316</v>
      </c>
      <c r="D8674" s="139" t="s">
        <v>20183</v>
      </c>
    </row>
    <row r="8675" spans="1:4" x14ac:dyDescent="0.25">
      <c r="A8675" s="139" t="s">
        <v>20184</v>
      </c>
      <c r="B8675" s="139" t="s">
        <v>19919</v>
      </c>
      <c r="C8675" s="139" t="s">
        <v>33</v>
      </c>
      <c r="D8675" s="139" t="s">
        <v>20185</v>
      </c>
    </row>
    <row r="8676" spans="1:4" x14ac:dyDescent="0.25">
      <c r="A8676" s="139" t="s">
        <v>20186</v>
      </c>
      <c r="B8676" s="139" t="s">
        <v>19919</v>
      </c>
      <c r="C8676" s="139" t="s">
        <v>33</v>
      </c>
      <c r="D8676" s="139" t="s">
        <v>20187</v>
      </c>
    </row>
    <row r="8677" spans="1:4" x14ac:dyDescent="0.25">
      <c r="A8677" s="139" t="s">
        <v>20188</v>
      </c>
      <c r="B8677" s="139" t="s">
        <v>20189</v>
      </c>
      <c r="C8677" s="139" t="s">
        <v>316</v>
      </c>
      <c r="D8677" s="139" t="s">
        <v>20190</v>
      </c>
    </row>
    <row r="8678" spans="1:4" x14ac:dyDescent="0.25">
      <c r="A8678" s="139" t="s">
        <v>20191</v>
      </c>
      <c r="B8678" s="139" t="s">
        <v>20189</v>
      </c>
      <c r="C8678" s="139" t="s">
        <v>316</v>
      </c>
      <c r="D8678" s="139" t="s">
        <v>20192</v>
      </c>
    </row>
    <row r="8679" spans="1:4" x14ac:dyDescent="0.25">
      <c r="A8679" s="139" t="s">
        <v>20193</v>
      </c>
      <c r="B8679" s="139" t="s">
        <v>18872</v>
      </c>
      <c r="C8679" s="139" t="s">
        <v>316</v>
      </c>
      <c r="D8679" s="139" t="s">
        <v>20194</v>
      </c>
    </row>
    <row r="8680" spans="1:4" x14ac:dyDescent="0.25">
      <c r="A8680" s="139" t="s">
        <v>20195</v>
      </c>
      <c r="B8680" s="139" t="s">
        <v>18872</v>
      </c>
      <c r="C8680" s="139" t="s">
        <v>316</v>
      </c>
      <c r="D8680" s="139" t="s">
        <v>20196</v>
      </c>
    </row>
    <row r="8681" spans="1:4" x14ac:dyDescent="0.25">
      <c r="A8681" s="139" t="s">
        <v>20197</v>
      </c>
      <c r="B8681" s="139" t="s">
        <v>10092</v>
      </c>
      <c r="C8681" s="139" t="s">
        <v>316</v>
      </c>
      <c r="D8681" s="139" t="s">
        <v>20198</v>
      </c>
    </row>
    <row r="8682" spans="1:4" x14ac:dyDescent="0.25">
      <c r="A8682" s="139" t="s">
        <v>20199</v>
      </c>
      <c r="B8682" s="139" t="s">
        <v>10092</v>
      </c>
      <c r="C8682" s="139" t="s">
        <v>316</v>
      </c>
      <c r="D8682" s="139" t="s">
        <v>20200</v>
      </c>
    </row>
    <row r="8683" spans="1:4" x14ac:dyDescent="0.25">
      <c r="A8683" s="139" t="s">
        <v>20201</v>
      </c>
      <c r="B8683" s="139" t="s">
        <v>11064</v>
      </c>
      <c r="C8683" s="139" t="s">
        <v>316</v>
      </c>
      <c r="D8683" s="139" t="s">
        <v>20202</v>
      </c>
    </row>
    <row r="8684" spans="1:4" x14ac:dyDescent="0.25">
      <c r="A8684" s="139" t="s">
        <v>20203</v>
      </c>
      <c r="B8684" s="139" t="s">
        <v>11064</v>
      </c>
      <c r="C8684" s="139" t="s">
        <v>316</v>
      </c>
      <c r="D8684" s="139" t="s">
        <v>20204</v>
      </c>
    </row>
    <row r="8685" spans="1:4" x14ac:dyDescent="0.25">
      <c r="A8685" s="139" t="s">
        <v>20205</v>
      </c>
      <c r="B8685" s="139" t="s">
        <v>2003</v>
      </c>
      <c r="C8685" s="139" t="s">
        <v>316</v>
      </c>
      <c r="D8685" s="139" t="s">
        <v>20206</v>
      </c>
    </row>
    <row r="8686" spans="1:4" x14ac:dyDescent="0.25">
      <c r="A8686" s="139" t="s">
        <v>20207</v>
      </c>
      <c r="B8686" s="139" t="s">
        <v>2003</v>
      </c>
      <c r="C8686" s="139" t="s">
        <v>316</v>
      </c>
      <c r="D8686" s="139" t="s">
        <v>20208</v>
      </c>
    </row>
    <row r="8687" spans="1:4" x14ac:dyDescent="0.25">
      <c r="A8687" s="139" t="s">
        <v>20209</v>
      </c>
      <c r="B8687" s="139" t="s">
        <v>20210</v>
      </c>
      <c r="C8687" s="139" t="s">
        <v>65</v>
      </c>
      <c r="D8687" s="139" t="s">
        <v>20211</v>
      </c>
    </row>
    <row r="8688" spans="1:4" x14ac:dyDescent="0.25">
      <c r="A8688" s="139" t="s">
        <v>20212</v>
      </c>
      <c r="B8688" s="139" t="s">
        <v>20210</v>
      </c>
      <c r="C8688" s="139" t="s">
        <v>65</v>
      </c>
      <c r="D8688" s="139" t="s">
        <v>20213</v>
      </c>
    </row>
    <row r="8689" spans="1:4" x14ac:dyDescent="0.25">
      <c r="A8689" s="139" t="s">
        <v>20214</v>
      </c>
      <c r="B8689" s="139" t="s">
        <v>19133</v>
      </c>
      <c r="C8689" s="139" t="s">
        <v>65</v>
      </c>
      <c r="D8689" s="139" t="s">
        <v>20215</v>
      </c>
    </row>
    <row r="8690" spans="1:4" x14ac:dyDescent="0.25">
      <c r="A8690" s="139" t="s">
        <v>20216</v>
      </c>
      <c r="B8690" s="139" t="s">
        <v>19133</v>
      </c>
      <c r="C8690" s="139" t="s">
        <v>65</v>
      </c>
      <c r="D8690" s="139" t="s">
        <v>20217</v>
      </c>
    </row>
    <row r="8691" spans="1:4" x14ac:dyDescent="0.25">
      <c r="A8691" s="139" t="s">
        <v>20218</v>
      </c>
      <c r="B8691" s="139" t="s">
        <v>4144</v>
      </c>
      <c r="C8691" s="139" t="s">
        <v>65</v>
      </c>
      <c r="D8691" s="139" t="s">
        <v>20219</v>
      </c>
    </row>
    <row r="8692" spans="1:4" x14ac:dyDescent="0.25">
      <c r="A8692" s="139" t="s">
        <v>20220</v>
      </c>
      <c r="B8692" s="139" t="s">
        <v>4144</v>
      </c>
      <c r="C8692" s="139" t="s">
        <v>65</v>
      </c>
      <c r="D8692" s="139" t="s">
        <v>20221</v>
      </c>
    </row>
    <row r="8693" spans="1:4" x14ac:dyDescent="0.25">
      <c r="A8693" s="139" t="s">
        <v>20222</v>
      </c>
      <c r="B8693" s="139" t="s">
        <v>17348</v>
      </c>
      <c r="C8693" s="139" t="s">
        <v>33</v>
      </c>
      <c r="D8693" s="139" t="s">
        <v>20223</v>
      </c>
    </row>
    <row r="8694" spans="1:4" x14ac:dyDescent="0.25">
      <c r="A8694" s="139" t="s">
        <v>20224</v>
      </c>
      <c r="B8694" s="139" t="s">
        <v>17348</v>
      </c>
      <c r="C8694" s="139" t="s">
        <v>33</v>
      </c>
      <c r="D8694" s="139" t="s">
        <v>20225</v>
      </c>
    </row>
    <row r="8695" spans="1:4" x14ac:dyDescent="0.25">
      <c r="A8695" s="139" t="s">
        <v>20226</v>
      </c>
      <c r="B8695" s="139" t="s">
        <v>310</v>
      </c>
      <c r="C8695" s="139" t="s">
        <v>65</v>
      </c>
      <c r="D8695" s="139" t="s">
        <v>20227</v>
      </c>
    </row>
    <row r="8696" spans="1:4" x14ac:dyDescent="0.25">
      <c r="A8696" s="139" t="s">
        <v>20228</v>
      </c>
      <c r="B8696" s="139" t="s">
        <v>310</v>
      </c>
      <c r="C8696" s="139" t="s">
        <v>65</v>
      </c>
      <c r="D8696" s="139" t="s">
        <v>20229</v>
      </c>
    </row>
    <row r="8697" spans="1:4" x14ac:dyDescent="0.25">
      <c r="A8697" s="139" t="s">
        <v>20230</v>
      </c>
      <c r="B8697" s="139" t="s">
        <v>17129</v>
      </c>
      <c r="C8697" s="139" t="s">
        <v>33</v>
      </c>
      <c r="D8697" s="139" t="s">
        <v>20231</v>
      </c>
    </row>
    <row r="8698" spans="1:4" x14ac:dyDescent="0.25">
      <c r="A8698" s="139" t="s">
        <v>20232</v>
      </c>
      <c r="B8698" s="139" t="s">
        <v>17129</v>
      </c>
      <c r="C8698" s="139" t="s">
        <v>33</v>
      </c>
      <c r="D8698" s="139" t="s">
        <v>20233</v>
      </c>
    </row>
    <row r="8699" spans="1:4" x14ac:dyDescent="0.25">
      <c r="A8699" s="139" t="s">
        <v>20234</v>
      </c>
      <c r="B8699" s="139" t="s">
        <v>1194</v>
      </c>
      <c r="C8699" s="139" t="s">
        <v>65</v>
      </c>
      <c r="D8699" s="139" t="s">
        <v>20235</v>
      </c>
    </row>
    <row r="8700" spans="1:4" x14ac:dyDescent="0.25">
      <c r="A8700" s="139" t="s">
        <v>20236</v>
      </c>
      <c r="B8700" s="139" t="s">
        <v>1194</v>
      </c>
      <c r="C8700" s="139" t="s">
        <v>65</v>
      </c>
      <c r="D8700" s="139" t="s">
        <v>20237</v>
      </c>
    </row>
    <row r="8701" spans="1:4" x14ac:dyDescent="0.25">
      <c r="A8701" s="139" t="s">
        <v>20238</v>
      </c>
      <c r="B8701" s="139" t="s">
        <v>2284</v>
      </c>
      <c r="C8701" s="139" t="s">
        <v>65</v>
      </c>
      <c r="D8701" s="139" t="s">
        <v>20239</v>
      </c>
    </row>
    <row r="8702" spans="1:4" x14ac:dyDescent="0.25">
      <c r="A8702" s="139" t="s">
        <v>20240</v>
      </c>
      <c r="B8702" s="139" t="s">
        <v>2284</v>
      </c>
      <c r="C8702" s="139" t="s">
        <v>65</v>
      </c>
      <c r="D8702" s="139" t="s">
        <v>20241</v>
      </c>
    </row>
    <row r="8703" spans="1:4" x14ac:dyDescent="0.25">
      <c r="A8703" s="139" t="s">
        <v>20242</v>
      </c>
      <c r="B8703" s="139" t="s">
        <v>20243</v>
      </c>
      <c r="C8703" s="139" t="s">
        <v>65</v>
      </c>
      <c r="D8703" s="139" t="s">
        <v>20244</v>
      </c>
    </row>
    <row r="8704" spans="1:4" x14ac:dyDescent="0.25">
      <c r="A8704" s="139" t="s">
        <v>20245</v>
      </c>
      <c r="B8704" s="139" t="s">
        <v>20243</v>
      </c>
      <c r="C8704" s="139" t="s">
        <v>65</v>
      </c>
      <c r="D8704" s="139" t="s">
        <v>20246</v>
      </c>
    </row>
    <row r="8705" spans="1:4" x14ac:dyDescent="0.25">
      <c r="A8705" s="139" t="s">
        <v>20247</v>
      </c>
      <c r="B8705" s="139" t="s">
        <v>2218</v>
      </c>
      <c r="C8705" s="139" t="s">
        <v>65</v>
      </c>
      <c r="D8705" s="139" t="s">
        <v>20248</v>
      </c>
    </row>
    <row r="8706" spans="1:4" x14ac:dyDescent="0.25">
      <c r="A8706" s="139" t="s">
        <v>20249</v>
      </c>
      <c r="B8706" s="139" t="s">
        <v>2218</v>
      </c>
      <c r="C8706" s="139" t="s">
        <v>65</v>
      </c>
      <c r="D8706" s="139" t="s">
        <v>20250</v>
      </c>
    </row>
    <row r="8707" spans="1:4" x14ac:dyDescent="0.25">
      <c r="A8707" s="139" t="s">
        <v>20251</v>
      </c>
      <c r="B8707" s="139" t="s">
        <v>20252</v>
      </c>
      <c r="C8707" s="139" t="s">
        <v>65</v>
      </c>
      <c r="D8707" s="139" t="s">
        <v>20253</v>
      </c>
    </row>
    <row r="8708" spans="1:4" x14ac:dyDescent="0.25">
      <c r="A8708" s="139" t="s">
        <v>20254</v>
      </c>
      <c r="B8708" s="139" t="s">
        <v>20252</v>
      </c>
      <c r="C8708" s="139" t="s">
        <v>65</v>
      </c>
      <c r="D8708" s="139" t="s">
        <v>20255</v>
      </c>
    </row>
    <row r="8709" spans="1:4" x14ac:dyDescent="0.25">
      <c r="A8709" s="139" t="s">
        <v>20256</v>
      </c>
      <c r="B8709" s="139" t="s">
        <v>20257</v>
      </c>
      <c r="C8709" s="139" t="s">
        <v>65</v>
      </c>
      <c r="D8709" s="139" t="s">
        <v>20258</v>
      </c>
    </row>
    <row r="8710" spans="1:4" x14ac:dyDescent="0.25">
      <c r="A8710" s="139" t="s">
        <v>20259</v>
      </c>
      <c r="B8710" s="139" t="s">
        <v>20257</v>
      </c>
      <c r="C8710" s="139" t="s">
        <v>65</v>
      </c>
      <c r="D8710" s="139" t="s">
        <v>20260</v>
      </c>
    </row>
    <row r="8711" spans="1:4" x14ac:dyDescent="0.25">
      <c r="A8711" s="139" t="s">
        <v>20261</v>
      </c>
      <c r="B8711" s="139" t="s">
        <v>20262</v>
      </c>
      <c r="C8711" s="139" t="s">
        <v>65</v>
      </c>
      <c r="D8711" s="139" t="s">
        <v>20263</v>
      </c>
    </row>
    <row r="8712" spans="1:4" x14ac:dyDescent="0.25">
      <c r="A8712" s="139" t="s">
        <v>20264</v>
      </c>
      <c r="B8712" s="139" t="s">
        <v>20262</v>
      </c>
      <c r="C8712" s="139" t="s">
        <v>65</v>
      </c>
      <c r="D8712" s="139" t="s">
        <v>20265</v>
      </c>
    </row>
    <row r="8713" spans="1:4" x14ac:dyDescent="0.25">
      <c r="A8713" s="139" t="s">
        <v>20266</v>
      </c>
      <c r="B8713" s="139" t="s">
        <v>20267</v>
      </c>
      <c r="C8713" s="139" t="s">
        <v>65</v>
      </c>
      <c r="D8713" s="139" t="s">
        <v>20268</v>
      </c>
    </row>
    <row r="8714" spans="1:4" x14ac:dyDescent="0.25">
      <c r="A8714" s="139" t="s">
        <v>20269</v>
      </c>
      <c r="B8714" s="139" t="s">
        <v>20267</v>
      </c>
      <c r="C8714" s="139" t="s">
        <v>65</v>
      </c>
      <c r="D8714" s="139" t="s">
        <v>20270</v>
      </c>
    </row>
    <row r="8715" spans="1:4" x14ac:dyDescent="0.25">
      <c r="A8715" s="139" t="s">
        <v>20271</v>
      </c>
      <c r="B8715" s="139" t="s">
        <v>3380</v>
      </c>
      <c r="C8715" s="139" t="s">
        <v>65</v>
      </c>
      <c r="D8715" s="139" t="s">
        <v>20272</v>
      </c>
    </row>
    <row r="8716" spans="1:4" x14ac:dyDescent="0.25">
      <c r="A8716" s="139" t="s">
        <v>20273</v>
      </c>
      <c r="B8716" s="139" t="s">
        <v>3380</v>
      </c>
      <c r="C8716" s="139" t="s">
        <v>65</v>
      </c>
      <c r="D8716" s="139" t="s">
        <v>20274</v>
      </c>
    </row>
    <row r="8717" spans="1:4" x14ac:dyDescent="0.25">
      <c r="A8717" s="139" t="s">
        <v>20275</v>
      </c>
      <c r="B8717" s="139" t="s">
        <v>8078</v>
      </c>
      <c r="C8717" s="139" t="s">
        <v>65</v>
      </c>
      <c r="D8717" s="139" t="s">
        <v>20276</v>
      </c>
    </row>
    <row r="8718" spans="1:4" x14ac:dyDescent="0.25">
      <c r="A8718" s="139" t="s">
        <v>20277</v>
      </c>
      <c r="B8718" s="139" t="s">
        <v>8078</v>
      </c>
      <c r="C8718" s="139" t="s">
        <v>65</v>
      </c>
      <c r="D8718" s="139" t="s">
        <v>20278</v>
      </c>
    </row>
    <row r="8719" spans="1:4" x14ac:dyDescent="0.25">
      <c r="A8719" s="139" t="s">
        <v>20279</v>
      </c>
      <c r="B8719" s="139" t="s">
        <v>538</v>
      </c>
      <c r="C8719" s="139" t="s">
        <v>65</v>
      </c>
      <c r="D8719" s="139" t="s">
        <v>20280</v>
      </c>
    </row>
    <row r="8720" spans="1:4" x14ac:dyDescent="0.25">
      <c r="A8720" s="139" t="s">
        <v>20281</v>
      </c>
      <c r="B8720" s="139" t="s">
        <v>538</v>
      </c>
      <c r="C8720" s="139" t="s">
        <v>65</v>
      </c>
      <c r="D8720" s="139" t="s">
        <v>20282</v>
      </c>
    </row>
    <row r="8721" spans="1:4" x14ac:dyDescent="0.25">
      <c r="A8721" s="139" t="s">
        <v>20283</v>
      </c>
      <c r="B8721" s="139" t="s">
        <v>19226</v>
      </c>
      <c r="C8721" s="139" t="s">
        <v>65</v>
      </c>
      <c r="D8721" s="139" t="s">
        <v>20284</v>
      </c>
    </row>
    <row r="8722" spans="1:4" x14ac:dyDescent="0.25">
      <c r="A8722" s="139" t="s">
        <v>20285</v>
      </c>
      <c r="B8722" s="139" t="s">
        <v>19226</v>
      </c>
      <c r="C8722" s="139" t="s">
        <v>65</v>
      </c>
      <c r="D8722" s="139" t="s">
        <v>20286</v>
      </c>
    </row>
    <row r="8723" spans="1:4" x14ac:dyDescent="0.25">
      <c r="A8723" s="139" t="s">
        <v>20287</v>
      </c>
      <c r="B8723" s="139" t="s">
        <v>20288</v>
      </c>
      <c r="C8723" s="139" t="s">
        <v>33</v>
      </c>
      <c r="D8723" s="139" t="s">
        <v>20289</v>
      </c>
    </row>
    <row r="8724" spans="1:4" x14ac:dyDescent="0.25">
      <c r="A8724" s="139" t="s">
        <v>20290</v>
      </c>
      <c r="B8724" s="139" t="s">
        <v>20288</v>
      </c>
      <c r="C8724" s="139" t="s">
        <v>33</v>
      </c>
      <c r="D8724" s="139" t="s">
        <v>20291</v>
      </c>
    </row>
    <row r="8725" spans="1:4" x14ac:dyDescent="0.25">
      <c r="A8725" s="139" t="s">
        <v>20292</v>
      </c>
      <c r="B8725" s="139" t="s">
        <v>15177</v>
      </c>
      <c r="C8725" s="139" t="s">
        <v>65</v>
      </c>
      <c r="D8725" s="139" t="s">
        <v>20293</v>
      </c>
    </row>
    <row r="8726" spans="1:4" x14ac:dyDescent="0.25">
      <c r="A8726" s="139" t="s">
        <v>20294</v>
      </c>
      <c r="B8726" s="139" t="s">
        <v>15177</v>
      </c>
      <c r="C8726" s="139" t="s">
        <v>65</v>
      </c>
      <c r="D8726" s="139" t="s">
        <v>20295</v>
      </c>
    </row>
    <row r="8727" spans="1:4" x14ac:dyDescent="0.25">
      <c r="A8727" s="139" t="s">
        <v>20296</v>
      </c>
      <c r="B8727" s="139" t="s">
        <v>2123</v>
      </c>
      <c r="C8727" s="139" t="s">
        <v>65</v>
      </c>
      <c r="D8727" s="139" t="s">
        <v>20297</v>
      </c>
    </row>
    <row r="8728" spans="1:4" x14ac:dyDescent="0.25">
      <c r="A8728" s="139" t="s">
        <v>20298</v>
      </c>
      <c r="B8728" s="139" t="s">
        <v>2123</v>
      </c>
      <c r="C8728" s="139" t="s">
        <v>65</v>
      </c>
      <c r="D8728" s="139" t="s">
        <v>20299</v>
      </c>
    </row>
    <row r="8729" spans="1:4" x14ac:dyDescent="0.25">
      <c r="A8729" s="139" t="s">
        <v>20300</v>
      </c>
      <c r="B8729" s="139" t="s">
        <v>20301</v>
      </c>
      <c r="C8729" s="139" t="s">
        <v>65</v>
      </c>
      <c r="D8729" s="139" t="s">
        <v>20302</v>
      </c>
    </row>
    <row r="8730" spans="1:4" x14ac:dyDescent="0.25">
      <c r="A8730" s="139" t="s">
        <v>20303</v>
      </c>
      <c r="B8730" s="139" t="s">
        <v>20301</v>
      </c>
      <c r="C8730" s="139" t="s">
        <v>65</v>
      </c>
      <c r="D8730" s="139" t="s">
        <v>20304</v>
      </c>
    </row>
    <row r="8731" spans="1:4" x14ac:dyDescent="0.25">
      <c r="A8731" s="139" t="s">
        <v>20305</v>
      </c>
      <c r="B8731" s="139" t="s">
        <v>11168</v>
      </c>
      <c r="C8731" s="139" t="s">
        <v>33</v>
      </c>
      <c r="D8731" s="139" t="s">
        <v>20306</v>
      </c>
    </row>
    <row r="8732" spans="1:4" x14ac:dyDescent="0.25">
      <c r="A8732" s="139" t="s">
        <v>20307</v>
      </c>
      <c r="B8732" s="139" t="s">
        <v>11168</v>
      </c>
      <c r="C8732" s="139" t="s">
        <v>33</v>
      </c>
      <c r="D8732" s="139" t="s">
        <v>20308</v>
      </c>
    </row>
    <row r="8733" spans="1:4" x14ac:dyDescent="0.25">
      <c r="A8733" s="139" t="s">
        <v>20309</v>
      </c>
      <c r="B8733" s="139" t="s">
        <v>11188</v>
      </c>
      <c r="C8733" s="139" t="s">
        <v>33</v>
      </c>
      <c r="D8733" s="139" t="s">
        <v>20310</v>
      </c>
    </row>
    <row r="8734" spans="1:4" x14ac:dyDescent="0.25">
      <c r="A8734" s="139" t="s">
        <v>20311</v>
      </c>
      <c r="B8734" s="139" t="s">
        <v>11188</v>
      </c>
      <c r="C8734" s="139" t="s">
        <v>33</v>
      </c>
      <c r="D8734" s="139" t="s">
        <v>20312</v>
      </c>
    </row>
    <row r="8735" spans="1:4" x14ac:dyDescent="0.25">
      <c r="A8735" s="139" t="s">
        <v>20313</v>
      </c>
      <c r="B8735" s="139" t="s">
        <v>7797</v>
      </c>
      <c r="C8735" s="139" t="s">
        <v>65</v>
      </c>
      <c r="D8735" s="139" t="s">
        <v>20314</v>
      </c>
    </row>
    <row r="8736" spans="1:4" x14ac:dyDescent="0.25">
      <c r="A8736" s="139" t="s">
        <v>20315</v>
      </c>
      <c r="B8736" s="139" t="s">
        <v>7797</v>
      </c>
      <c r="C8736" s="139" t="s">
        <v>65</v>
      </c>
      <c r="D8736" s="139" t="s">
        <v>20316</v>
      </c>
    </row>
    <row r="8737" spans="1:4" x14ac:dyDescent="0.25">
      <c r="A8737" s="139" t="s">
        <v>20317</v>
      </c>
      <c r="B8737" s="139" t="s">
        <v>4522</v>
      </c>
      <c r="C8737" s="139" t="s">
        <v>65</v>
      </c>
      <c r="D8737" s="139" t="s">
        <v>20318</v>
      </c>
    </row>
    <row r="8738" spans="1:4" x14ac:dyDescent="0.25">
      <c r="A8738" s="139" t="s">
        <v>20319</v>
      </c>
      <c r="B8738" s="139" t="s">
        <v>4522</v>
      </c>
      <c r="C8738" s="139" t="s">
        <v>65</v>
      </c>
      <c r="D8738" s="139" t="s">
        <v>20320</v>
      </c>
    </row>
    <row r="8739" spans="1:4" x14ac:dyDescent="0.25">
      <c r="A8739" s="139" t="s">
        <v>20321</v>
      </c>
      <c r="B8739" s="139" t="s">
        <v>20322</v>
      </c>
      <c r="C8739" s="139" t="s">
        <v>65</v>
      </c>
      <c r="D8739" s="139" t="s">
        <v>20323</v>
      </c>
    </row>
    <row r="8740" spans="1:4" x14ac:dyDescent="0.25">
      <c r="A8740" s="139" t="s">
        <v>20324</v>
      </c>
      <c r="B8740" s="139" t="s">
        <v>20322</v>
      </c>
      <c r="C8740" s="139" t="s">
        <v>65</v>
      </c>
      <c r="D8740" s="139" t="s">
        <v>20325</v>
      </c>
    </row>
    <row r="8741" spans="1:4" x14ac:dyDescent="0.25">
      <c r="A8741" s="139" t="s">
        <v>20326</v>
      </c>
      <c r="B8741" s="139" t="s">
        <v>18994</v>
      </c>
      <c r="C8741" s="139" t="s">
        <v>65</v>
      </c>
      <c r="D8741" s="139" t="s">
        <v>20327</v>
      </c>
    </row>
    <row r="8742" spans="1:4" x14ac:dyDescent="0.25">
      <c r="A8742" s="139" t="s">
        <v>20328</v>
      </c>
      <c r="B8742" s="139" t="s">
        <v>18994</v>
      </c>
      <c r="C8742" s="139" t="s">
        <v>65</v>
      </c>
      <c r="D8742" s="139" t="s">
        <v>20329</v>
      </c>
    </row>
    <row r="8743" spans="1:4" x14ac:dyDescent="0.25">
      <c r="A8743" s="139" t="s">
        <v>20330</v>
      </c>
      <c r="B8743" s="139" t="s">
        <v>20331</v>
      </c>
      <c r="C8743" s="139" t="s">
        <v>65</v>
      </c>
      <c r="D8743" s="139" t="s">
        <v>20332</v>
      </c>
    </row>
    <row r="8744" spans="1:4" x14ac:dyDescent="0.25">
      <c r="A8744" s="139" t="s">
        <v>20333</v>
      </c>
      <c r="B8744" s="139" t="s">
        <v>20331</v>
      </c>
      <c r="C8744" s="139" t="s">
        <v>65</v>
      </c>
      <c r="D8744" s="139" t="s">
        <v>20334</v>
      </c>
    </row>
    <row r="8745" spans="1:4" x14ac:dyDescent="0.25">
      <c r="A8745" s="139" t="s">
        <v>20335</v>
      </c>
      <c r="B8745" s="139" t="s">
        <v>20336</v>
      </c>
      <c r="C8745" s="139" t="s">
        <v>65</v>
      </c>
      <c r="D8745" s="139" t="s">
        <v>20337</v>
      </c>
    </row>
    <row r="8746" spans="1:4" x14ac:dyDescent="0.25">
      <c r="A8746" s="139" t="s">
        <v>20338</v>
      </c>
      <c r="B8746" s="139" t="s">
        <v>20336</v>
      </c>
      <c r="C8746" s="139" t="s">
        <v>65</v>
      </c>
      <c r="D8746" s="139" t="s">
        <v>20339</v>
      </c>
    </row>
    <row r="8747" spans="1:4" x14ac:dyDescent="0.25">
      <c r="A8747" s="139" t="s">
        <v>20340</v>
      </c>
      <c r="B8747" s="139" t="s">
        <v>20341</v>
      </c>
      <c r="C8747" s="139" t="s">
        <v>65</v>
      </c>
      <c r="D8747" s="139" t="s">
        <v>20342</v>
      </c>
    </row>
    <row r="8748" spans="1:4" x14ac:dyDescent="0.25">
      <c r="A8748" s="139" t="s">
        <v>20343</v>
      </c>
      <c r="B8748" s="139" t="s">
        <v>20341</v>
      </c>
      <c r="C8748" s="139" t="s">
        <v>65</v>
      </c>
      <c r="D8748" s="139" t="s">
        <v>20344</v>
      </c>
    </row>
    <row r="8749" spans="1:4" x14ac:dyDescent="0.25">
      <c r="A8749" s="139" t="s">
        <v>20345</v>
      </c>
      <c r="B8749" s="139" t="s">
        <v>20346</v>
      </c>
      <c r="C8749" s="139" t="s">
        <v>65</v>
      </c>
      <c r="D8749" s="139" t="s">
        <v>20347</v>
      </c>
    </row>
    <row r="8750" spans="1:4" x14ac:dyDescent="0.25">
      <c r="A8750" s="139" t="s">
        <v>20348</v>
      </c>
      <c r="B8750" s="139" t="s">
        <v>20346</v>
      </c>
      <c r="C8750" s="139" t="s">
        <v>65</v>
      </c>
      <c r="D8750" s="139" t="s">
        <v>20349</v>
      </c>
    </row>
    <row r="8751" spans="1:4" x14ac:dyDescent="0.25">
      <c r="A8751" s="139" t="s">
        <v>20350</v>
      </c>
      <c r="B8751" s="139" t="s">
        <v>6249</v>
      </c>
      <c r="C8751" s="139" t="s">
        <v>65</v>
      </c>
      <c r="D8751" s="139" t="s">
        <v>20351</v>
      </c>
    </row>
    <row r="8752" spans="1:4" x14ac:dyDescent="0.25">
      <c r="A8752" s="139" t="s">
        <v>20352</v>
      </c>
      <c r="B8752" s="139" t="s">
        <v>6249</v>
      </c>
      <c r="C8752" s="139" t="s">
        <v>65</v>
      </c>
      <c r="D8752" s="139" t="s">
        <v>20353</v>
      </c>
    </row>
    <row r="8753" spans="1:4" x14ac:dyDescent="0.25">
      <c r="A8753" s="139" t="s">
        <v>20354</v>
      </c>
      <c r="B8753" s="139" t="s">
        <v>18718</v>
      </c>
      <c r="C8753" s="139" t="s">
        <v>33</v>
      </c>
      <c r="D8753" s="139" t="s">
        <v>20355</v>
      </c>
    </row>
    <row r="8754" spans="1:4" x14ac:dyDescent="0.25">
      <c r="A8754" s="139" t="s">
        <v>20356</v>
      </c>
      <c r="B8754" s="139" t="s">
        <v>18718</v>
      </c>
      <c r="C8754" s="139" t="s">
        <v>33</v>
      </c>
      <c r="D8754" s="139" t="s">
        <v>20357</v>
      </c>
    </row>
    <row r="8755" spans="1:4" x14ac:dyDescent="0.25">
      <c r="A8755" s="139" t="s">
        <v>20358</v>
      </c>
      <c r="B8755" s="139" t="s">
        <v>6249</v>
      </c>
      <c r="C8755" s="139" t="s">
        <v>33</v>
      </c>
      <c r="D8755" s="139" t="s">
        <v>20359</v>
      </c>
    </row>
    <row r="8756" spans="1:4" x14ac:dyDescent="0.25">
      <c r="A8756" s="139" t="s">
        <v>20360</v>
      </c>
      <c r="B8756" s="139" t="s">
        <v>6249</v>
      </c>
      <c r="C8756" s="139" t="s">
        <v>33</v>
      </c>
      <c r="D8756" s="139" t="s">
        <v>20361</v>
      </c>
    </row>
    <row r="8757" spans="1:4" x14ac:dyDescent="0.25">
      <c r="A8757" s="139" t="s">
        <v>20362</v>
      </c>
      <c r="B8757" s="139" t="s">
        <v>20363</v>
      </c>
      <c r="C8757" s="139" t="s">
        <v>65</v>
      </c>
      <c r="D8757" s="139" t="s">
        <v>20364</v>
      </c>
    </row>
    <row r="8758" spans="1:4" x14ac:dyDescent="0.25">
      <c r="A8758" s="139" t="s">
        <v>20365</v>
      </c>
      <c r="B8758" s="139" t="s">
        <v>20363</v>
      </c>
      <c r="C8758" s="139" t="s">
        <v>65</v>
      </c>
      <c r="D8758" s="139" t="s">
        <v>20366</v>
      </c>
    </row>
    <row r="8759" spans="1:4" x14ac:dyDescent="0.25">
      <c r="A8759" s="139" t="s">
        <v>20367</v>
      </c>
      <c r="B8759" s="139" t="s">
        <v>14346</v>
      </c>
      <c r="C8759" s="139" t="s">
        <v>65</v>
      </c>
      <c r="D8759" s="139" t="s">
        <v>20368</v>
      </c>
    </row>
    <row r="8760" spans="1:4" x14ac:dyDescent="0.25">
      <c r="A8760" s="139" t="s">
        <v>20369</v>
      </c>
      <c r="B8760" s="139" t="s">
        <v>14346</v>
      </c>
      <c r="C8760" s="139" t="s">
        <v>65</v>
      </c>
      <c r="D8760" s="139" t="s">
        <v>20370</v>
      </c>
    </row>
    <row r="8761" spans="1:4" x14ac:dyDescent="0.25">
      <c r="A8761" s="139" t="s">
        <v>20371</v>
      </c>
      <c r="B8761" s="139" t="s">
        <v>18584</v>
      </c>
      <c r="C8761" s="139" t="s">
        <v>65</v>
      </c>
      <c r="D8761" s="139" t="s">
        <v>20372</v>
      </c>
    </row>
    <row r="8762" spans="1:4" x14ac:dyDescent="0.25">
      <c r="A8762" s="139" t="s">
        <v>20373</v>
      </c>
      <c r="B8762" s="139" t="s">
        <v>18584</v>
      </c>
      <c r="C8762" s="139" t="s">
        <v>65</v>
      </c>
      <c r="D8762" s="139" t="s">
        <v>20374</v>
      </c>
    </row>
    <row r="8763" spans="1:4" x14ac:dyDescent="0.25">
      <c r="A8763" s="139" t="s">
        <v>20375</v>
      </c>
      <c r="B8763" s="139" t="s">
        <v>20376</v>
      </c>
      <c r="C8763" s="139" t="s">
        <v>33</v>
      </c>
      <c r="D8763" s="139" t="s">
        <v>20377</v>
      </c>
    </row>
    <row r="8764" spans="1:4" x14ac:dyDescent="0.25">
      <c r="A8764" s="139" t="s">
        <v>20378</v>
      </c>
      <c r="B8764" s="139" t="s">
        <v>7763</v>
      </c>
      <c r="C8764" s="139" t="s">
        <v>65</v>
      </c>
      <c r="D8764" s="139" t="s">
        <v>20379</v>
      </c>
    </row>
    <row r="8765" spans="1:4" x14ac:dyDescent="0.25">
      <c r="A8765" s="139" t="s">
        <v>20380</v>
      </c>
      <c r="B8765" s="139" t="s">
        <v>13413</v>
      </c>
      <c r="C8765" s="139" t="s">
        <v>65</v>
      </c>
      <c r="D8765" s="139" t="s">
        <v>20381</v>
      </c>
    </row>
    <row r="8766" spans="1:4" x14ac:dyDescent="0.25">
      <c r="A8766" s="139" t="s">
        <v>20382</v>
      </c>
      <c r="B8766" s="139" t="s">
        <v>13448</v>
      </c>
      <c r="C8766" s="139" t="s">
        <v>65</v>
      </c>
      <c r="D8766" s="139" t="s">
        <v>20383</v>
      </c>
    </row>
    <row r="8767" spans="1:4" x14ac:dyDescent="0.25">
      <c r="A8767" s="139" t="s">
        <v>20384</v>
      </c>
      <c r="B8767" s="139" t="s">
        <v>18462</v>
      </c>
      <c r="C8767" s="139" t="s">
        <v>65</v>
      </c>
      <c r="D8767" s="139" t="s">
        <v>20385</v>
      </c>
    </row>
    <row r="8768" spans="1:4" x14ac:dyDescent="0.25">
      <c r="A8768" s="139" t="s">
        <v>20386</v>
      </c>
      <c r="B8768" s="139" t="s">
        <v>20376</v>
      </c>
      <c r="C8768" s="139" t="s">
        <v>33</v>
      </c>
      <c r="D8768" s="139" t="s">
        <v>20387</v>
      </c>
    </row>
    <row r="8769" spans="1:4" x14ac:dyDescent="0.25">
      <c r="A8769" s="139" t="s">
        <v>20388</v>
      </c>
      <c r="B8769" s="139" t="s">
        <v>7763</v>
      </c>
      <c r="C8769" s="139" t="s">
        <v>65</v>
      </c>
      <c r="D8769" s="139" t="s">
        <v>20389</v>
      </c>
    </row>
    <row r="8770" spans="1:4" x14ac:dyDescent="0.25">
      <c r="A8770" s="139" t="s">
        <v>20390</v>
      </c>
      <c r="B8770" s="139" t="s">
        <v>13413</v>
      </c>
      <c r="C8770" s="139" t="s">
        <v>65</v>
      </c>
      <c r="D8770" s="139" t="s">
        <v>20391</v>
      </c>
    </row>
    <row r="8771" spans="1:4" x14ac:dyDescent="0.25">
      <c r="A8771" s="139" t="s">
        <v>20392</v>
      </c>
      <c r="B8771" s="139" t="s">
        <v>13448</v>
      </c>
      <c r="C8771" s="139" t="s">
        <v>65</v>
      </c>
      <c r="D8771" s="139" t="s">
        <v>20393</v>
      </c>
    </row>
    <row r="8772" spans="1:4" x14ac:dyDescent="0.25">
      <c r="A8772" s="139" t="s">
        <v>20394</v>
      </c>
      <c r="B8772" s="139" t="s">
        <v>18462</v>
      </c>
      <c r="C8772" s="139" t="s">
        <v>65</v>
      </c>
      <c r="D8772" s="139" t="s">
        <v>20395</v>
      </c>
    </row>
    <row r="8773" spans="1:4" x14ac:dyDescent="0.25">
      <c r="A8773" s="139" t="s">
        <v>20396</v>
      </c>
      <c r="B8773" s="139" t="s">
        <v>20397</v>
      </c>
      <c r="C8773" s="139" t="s">
        <v>65</v>
      </c>
      <c r="D8773" s="139" t="s">
        <v>20398</v>
      </c>
    </row>
    <row r="8774" spans="1:4" x14ac:dyDescent="0.25">
      <c r="A8774" s="139" t="s">
        <v>20399</v>
      </c>
      <c r="B8774" s="139" t="s">
        <v>20376</v>
      </c>
      <c r="C8774" s="139" t="s">
        <v>65</v>
      </c>
      <c r="D8774" s="139" t="s">
        <v>20400</v>
      </c>
    </row>
    <row r="8775" spans="1:4" x14ac:dyDescent="0.25">
      <c r="A8775" s="139" t="s">
        <v>20401</v>
      </c>
      <c r="B8775" s="139" t="s">
        <v>10116</v>
      </c>
      <c r="C8775" s="139" t="s">
        <v>65</v>
      </c>
      <c r="D8775" s="139" t="s">
        <v>20402</v>
      </c>
    </row>
    <row r="8776" spans="1:4" x14ac:dyDescent="0.25">
      <c r="A8776" s="139" t="s">
        <v>20403</v>
      </c>
      <c r="B8776" s="139" t="s">
        <v>20404</v>
      </c>
      <c r="C8776" s="139" t="s">
        <v>65</v>
      </c>
      <c r="D8776" s="139" t="s">
        <v>20405</v>
      </c>
    </row>
    <row r="8777" spans="1:4" x14ac:dyDescent="0.25">
      <c r="A8777" s="139" t="s">
        <v>20406</v>
      </c>
      <c r="B8777" s="139" t="s">
        <v>1907</v>
      </c>
      <c r="C8777" s="139" t="s">
        <v>65</v>
      </c>
      <c r="D8777" s="139" t="s">
        <v>20407</v>
      </c>
    </row>
    <row r="8778" spans="1:4" x14ac:dyDescent="0.25">
      <c r="A8778" s="139" t="s">
        <v>20408</v>
      </c>
      <c r="B8778" s="139" t="s">
        <v>20409</v>
      </c>
      <c r="C8778" s="139" t="s">
        <v>65</v>
      </c>
      <c r="D8778" s="139" t="s">
        <v>20410</v>
      </c>
    </row>
    <row r="8779" spans="1:4" x14ac:dyDescent="0.25">
      <c r="A8779" s="139" t="s">
        <v>20411</v>
      </c>
      <c r="B8779" s="139" t="s">
        <v>13322</v>
      </c>
      <c r="C8779" s="139" t="s">
        <v>65</v>
      </c>
      <c r="D8779" s="139" t="s">
        <v>20412</v>
      </c>
    </row>
    <row r="8780" spans="1:4" x14ac:dyDescent="0.25">
      <c r="A8780" s="139" t="s">
        <v>20413</v>
      </c>
      <c r="B8780" s="139" t="s">
        <v>11124</v>
      </c>
      <c r="C8780" s="139" t="s">
        <v>65</v>
      </c>
      <c r="D8780" s="139" t="s">
        <v>20414</v>
      </c>
    </row>
    <row r="8781" spans="1:4" x14ac:dyDescent="0.25">
      <c r="A8781" s="139" t="s">
        <v>20415</v>
      </c>
      <c r="B8781" s="139" t="s">
        <v>7986</v>
      </c>
      <c r="C8781" s="139" t="s">
        <v>65</v>
      </c>
      <c r="D8781" s="139" t="s">
        <v>20416</v>
      </c>
    </row>
    <row r="8782" spans="1:4" x14ac:dyDescent="0.25">
      <c r="A8782" s="139" t="s">
        <v>20417</v>
      </c>
      <c r="B8782" s="139" t="s">
        <v>3189</v>
      </c>
      <c r="C8782" s="139" t="s">
        <v>65</v>
      </c>
      <c r="D8782" s="139" t="s">
        <v>20418</v>
      </c>
    </row>
    <row r="8783" spans="1:4" x14ac:dyDescent="0.25">
      <c r="A8783" s="139" t="s">
        <v>20419</v>
      </c>
      <c r="B8783" s="139" t="s">
        <v>7792</v>
      </c>
      <c r="C8783" s="139" t="s">
        <v>65</v>
      </c>
      <c r="D8783" s="139" t="s">
        <v>20420</v>
      </c>
    </row>
    <row r="8784" spans="1:4" x14ac:dyDescent="0.25">
      <c r="A8784" s="139" t="s">
        <v>20421</v>
      </c>
      <c r="B8784" s="139" t="s">
        <v>20422</v>
      </c>
      <c r="C8784" s="139" t="s">
        <v>65</v>
      </c>
      <c r="D8784" s="139" t="s">
        <v>20423</v>
      </c>
    </row>
    <row r="8785" spans="1:4" x14ac:dyDescent="0.25">
      <c r="A8785" s="139" t="s">
        <v>20424</v>
      </c>
      <c r="B8785" s="139" t="s">
        <v>20425</v>
      </c>
      <c r="C8785" s="139" t="s">
        <v>65</v>
      </c>
      <c r="D8785" s="139" t="s">
        <v>20426</v>
      </c>
    </row>
    <row r="8786" spans="1:4" x14ac:dyDescent="0.25">
      <c r="A8786" s="139" t="s">
        <v>20427</v>
      </c>
      <c r="B8786" s="139" t="s">
        <v>20428</v>
      </c>
      <c r="C8786" s="139" t="s">
        <v>65</v>
      </c>
      <c r="D8786" s="139" t="s">
        <v>20429</v>
      </c>
    </row>
    <row r="8787" spans="1:4" x14ac:dyDescent="0.25">
      <c r="A8787" s="139" t="s">
        <v>20430</v>
      </c>
      <c r="B8787" s="139" t="s">
        <v>20431</v>
      </c>
      <c r="C8787" s="139" t="s">
        <v>65</v>
      </c>
      <c r="D8787" s="139" t="s">
        <v>20432</v>
      </c>
    </row>
    <row r="8788" spans="1:4" x14ac:dyDescent="0.25">
      <c r="A8788" s="139" t="s">
        <v>20433</v>
      </c>
      <c r="B8788" s="139" t="s">
        <v>7836</v>
      </c>
      <c r="C8788" s="139" t="s">
        <v>65</v>
      </c>
      <c r="D8788" s="139" t="s">
        <v>20434</v>
      </c>
    </row>
    <row r="8789" spans="1:4" x14ac:dyDescent="0.25">
      <c r="A8789" s="139" t="s">
        <v>20435</v>
      </c>
      <c r="B8789" s="139" t="s">
        <v>20436</v>
      </c>
      <c r="C8789" s="139" t="s">
        <v>65</v>
      </c>
      <c r="D8789" s="139" t="s">
        <v>20437</v>
      </c>
    </row>
    <row r="8790" spans="1:4" x14ac:dyDescent="0.25">
      <c r="A8790" s="139" t="s">
        <v>20438</v>
      </c>
      <c r="B8790" s="139" t="s">
        <v>20439</v>
      </c>
      <c r="C8790" s="139" t="s">
        <v>65</v>
      </c>
      <c r="D8790" s="139" t="s">
        <v>20440</v>
      </c>
    </row>
    <row r="8791" spans="1:4" x14ac:dyDescent="0.25">
      <c r="A8791" s="139" t="s">
        <v>20441</v>
      </c>
      <c r="B8791" s="139" t="s">
        <v>20442</v>
      </c>
      <c r="C8791" s="139" t="s">
        <v>65</v>
      </c>
      <c r="D8791" s="139" t="s">
        <v>20443</v>
      </c>
    </row>
    <row r="8792" spans="1:4" x14ac:dyDescent="0.25">
      <c r="A8792" s="139" t="s">
        <v>20444</v>
      </c>
      <c r="B8792" s="139" t="s">
        <v>20445</v>
      </c>
      <c r="C8792" s="139" t="s">
        <v>65</v>
      </c>
      <c r="D8792" s="139" t="s">
        <v>20446</v>
      </c>
    </row>
    <row r="8793" spans="1:4" x14ac:dyDescent="0.25">
      <c r="A8793" s="139" t="s">
        <v>20447</v>
      </c>
      <c r="B8793" s="139" t="s">
        <v>20448</v>
      </c>
      <c r="C8793" s="139" t="s">
        <v>65</v>
      </c>
      <c r="D8793" s="139" t="s">
        <v>20449</v>
      </c>
    </row>
    <row r="8794" spans="1:4" x14ac:dyDescent="0.25">
      <c r="A8794" s="139" t="s">
        <v>20450</v>
      </c>
      <c r="B8794" s="139" t="s">
        <v>11178</v>
      </c>
      <c r="C8794" s="139" t="s">
        <v>33</v>
      </c>
      <c r="D8794" s="139" t="s">
        <v>20451</v>
      </c>
    </row>
    <row r="8795" spans="1:4" x14ac:dyDescent="0.25">
      <c r="A8795" s="139" t="s">
        <v>20452</v>
      </c>
      <c r="B8795" s="139" t="s">
        <v>1993</v>
      </c>
      <c r="C8795" s="139" t="s">
        <v>33</v>
      </c>
      <c r="D8795" s="139" t="s">
        <v>20453</v>
      </c>
    </row>
    <row r="8796" spans="1:4" x14ac:dyDescent="0.25">
      <c r="A8796" s="139" t="s">
        <v>20454</v>
      </c>
      <c r="B8796" s="139" t="s">
        <v>2994</v>
      </c>
      <c r="C8796" s="139" t="s">
        <v>33</v>
      </c>
      <c r="D8796" s="139" t="s">
        <v>20455</v>
      </c>
    </row>
    <row r="8797" spans="1:4" x14ac:dyDescent="0.25">
      <c r="A8797" s="139" t="s">
        <v>20456</v>
      </c>
      <c r="B8797" s="139" t="s">
        <v>11069</v>
      </c>
      <c r="C8797" s="139" t="s">
        <v>33</v>
      </c>
      <c r="D8797" s="139" t="s">
        <v>20457</v>
      </c>
    </row>
    <row r="8798" spans="1:4" x14ac:dyDescent="0.25">
      <c r="A8798" s="139" t="s">
        <v>20458</v>
      </c>
      <c r="B8798" s="139" t="s">
        <v>20459</v>
      </c>
      <c r="C8798" s="139" t="s">
        <v>33</v>
      </c>
      <c r="D8798" s="139" t="s">
        <v>20460</v>
      </c>
    </row>
    <row r="8799" spans="1:4" x14ac:dyDescent="0.25">
      <c r="A8799" s="139" t="s">
        <v>20461</v>
      </c>
      <c r="B8799" s="139" t="s">
        <v>11163</v>
      </c>
      <c r="C8799" s="139" t="s">
        <v>33</v>
      </c>
      <c r="D8799" s="139" t="s">
        <v>20462</v>
      </c>
    </row>
    <row r="8800" spans="1:4" x14ac:dyDescent="0.25">
      <c r="A8800" s="139" t="s">
        <v>20463</v>
      </c>
      <c r="B8800" s="139" t="s">
        <v>11144</v>
      </c>
      <c r="C8800" s="139" t="s">
        <v>33</v>
      </c>
      <c r="D8800" s="139" t="s">
        <v>20464</v>
      </c>
    </row>
    <row r="8801" spans="1:4" x14ac:dyDescent="0.25">
      <c r="A8801" s="139" t="s">
        <v>20465</v>
      </c>
      <c r="B8801" s="139" t="s">
        <v>11148</v>
      </c>
      <c r="C8801" s="139" t="s">
        <v>33</v>
      </c>
      <c r="D8801" s="139" t="s">
        <v>20466</v>
      </c>
    </row>
    <row r="8802" spans="1:4" x14ac:dyDescent="0.25">
      <c r="A8802" s="139" t="s">
        <v>20467</v>
      </c>
      <c r="B8802" s="139" t="s">
        <v>11410</v>
      </c>
      <c r="C8802" s="139" t="s">
        <v>33</v>
      </c>
      <c r="D8802" s="139" t="s">
        <v>20468</v>
      </c>
    </row>
    <row r="8803" spans="1:4" x14ac:dyDescent="0.25">
      <c r="A8803" s="139" t="s">
        <v>20469</v>
      </c>
      <c r="B8803" s="139" t="s">
        <v>15182</v>
      </c>
      <c r="C8803" s="139" t="s">
        <v>33</v>
      </c>
      <c r="D8803" s="139" t="s">
        <v>20470</v>
      </c>
    </row>
    <row r="8804" spans="1:4" x14ac:dyDescent="0.25">
      <c r="A8804" s="139" t="s">
        <v>20471</v>
      </c>
      <c r="B8804" s="139" t="s">
        <v>13088</v>
      </c>
      <c r="C8804" s="139" t="s">
        <v>33</v>
      </c>
      <c r="D8804" s="139" t="s">
        <v>20472</v>
      </c>
    </row>
    <row r="8805" spans="1:4" x14ac:dyDescent="0.25">
      <c r="A8805" s="139" t="s">
        <v>20473</v>
      </c>
      <c r="B8805" s="139" t="s">
        <v>2999</v>
      </c>
      <c r="C8805" s="139" t="s">
        <v>33</v>
      </c>
      <c r="D8805" s="139" t="s">
        <v>20474</v>
      </c>
    </row>
    <row r="8806" spans="1:4" x14ac:dyDescent="0.25">
      <c r="A8806" s="139" t="s">
        <v>20475</v>
      </c>
      <c r="B8806" s="139" t="s">
        <v>20476</v>
      </c>
      <c r="C8806" s="139" t="s">
        <v>33</v>
      </c>
      <c r="D8806" s="139" t="s">
        <v>20477</v>
      </c>
    </row>
    <row r="8807" spans="1:4" x14ac:dyDescent="0.25">
      <c r="A8807" s="139" t="s">
        <v>20478</v>
      </c>
      <c r="B8807" s="139" t="s">
        <v>13307</v>
      </c>
      <c r="C8807" s="139" t="s">
        <v>33</v>
      </c>
      <c r="D8807" s="139" t="s">
        <v>20479</v>
      </c>
    </row>
    <row r="8808" spans="1:4" x14ac:dyDescent="0.25">
      <c r="A8808" s="139" t="s">
        <v>20480</v>
      </c>
      <c r="B8808" s="139" t="s">
        <v>20481</v>
      </c>
      <c r="C8808" s="139" t="s">
        <v>33</v>
      </c>
      <c r="D8808" s="139" t="s">
        <v>20482</v>
      </c>
    </row>
    <row r="8809" spans="1:4" x14ac:dyDescent="0.25">
      <c r="A8809" s="139" t="s">
        <v>20483</v>
      </c>
      <c r="B8809" s="139" t="s">
        <v>17339</v>
      </c>
      <c r="C8809" s="139" t="s">
        <v>33</v>
      </c>
      <c r="D8809" s="139" t="s">
        <v>20484</v>
      </c>
    </row>
    <row r="8810" spans="1:4" x14ac:dyDescent="0.25">
      <c r="A8810" s="139" t="s">
        <v>20485</v>
      </c>
      <c r="B8810" s="139" t="s">
        <v>15100</v>
      </c>
      <c r="C8810" s="139" t="s">
        <v>33</v>
      </c>
      <c r="D8810" s="139" t="s">
        <v>20486</v>
      </c>
    </row>
    <row r="8811" spans="1:4" x14ac:dyDescent="0.25">
      <c r="A8811" s="139" t="s">
        <v>20487</v>
      </c>
      <c r="B8811" s="139" t="s">
        <v>17334</v>
      </c>
      <c r="C8811" s="139" t="s">
        <v>33</v>
      </c>
      <c r="D8811" s="139" t="s">
        <v>20488</v>
      </c>
    </row>
    <row r="8812" spans="1:4" x14ac:dyDescent="0.25">
      <c r="A8812" s="139" t="s">
        <v>20489</v>
      </c>
      <c r="B8812" s="139" t="s">
        <v>15090</v>
      </c>
      <c r="C8812" s="139" t="s">
        <v>33</v>
      </c>
      <c r="D8812" s="139" t="s">
        <v>20490</v>
      </c>
    </row>
    <row r="8813" spans="1:4" x14ac:dyDescent="0.25">
      <c r="A8813" s="139" t="s">
        <v>20491</v>
      </c>
      <c r="B8813" s="139" t="s">
        <v>17329</v>
      </c>
      <c r="C8813" s="139" t="s">
        <v>33</v>
      </c>
      <c r="D8813" s="139" t="s">
        <v>20492</v>
      </c>
    </row>
    <row r="8814" spans="1:4" x14ac:dyDescent="0.25">
      <c r="A8814" s="139" t="s">
        <v>20493</v>
      </c>
      <c r="B8814" s="139" t="s">
        <v>11099</v>
      </c>
      <c r="C8814" s="139" t="s">
        <v>33</v>
      </c>
      <c r="D8814" s="139" t="s">
        <v>20494</v>
      </c>
    </row>
    <row r="8815" spans="1:4" x14ac:dyDescent="0.25">
      <c r="A8815" s="139" t="s">
        <v>20495</v>
      </c>
      <c r="B8815" s="139" t="s">
        <v>17757</v>
      </c>
      <c r="C8815" s="139" t="s">
        <v>33</v>
      </c>
      <c r="D8815" s="139" t="s">
        <v>20496</v>
      </c>
    </row>
    <row r="8816" spans="1:4" x14ac:dyDescent="0.25">
      <c r="A8816" s="139" t="s">
        <v>20497</v>
      </c>
      <c r="B8816" s="139" t="s">
        <v>20498</v>
      </c>
      <c r="C8816" s="139" t="s">
        <v>33</v>
      </c>
      <c r="D8816" s="139" t="s">
        <v>20499</v>
      </c>
    </row>
    <row r="8817" spans="1:4" x14ac:dyDescent="0.25">
      <c r="A8817" s="139" t="s">
        <v>20500</v>
      </c>
      <c r="B8817" s="139" t="s">
        <v>17752</v>
      </c>
      <c r="C8817" s="139" t="s">
        <v>33</v>
      </c>
      <c r="D8817" s="139" t="s">
        <v>20501</v>
      </c>
    </row>
    <row r="8818" spans="1:4" x14ac:dyDescent="0.25">
      <c r="A8818" s="139" t="s">
        <v>20502</v>
      </c>
      <c r="B8818" s="139" t="s">
        <v>17324</v>
      </c>
      <c r="C8818" s="139" t="s">
        <v>33</v>
      </c>
      <c r="D8818" s="139" t="s">
        <v>20503</v>
      </c>
    </row>
    <row r="8819" spans="1:4" x14ac:dyDescent="0.25">
      <c r="A8819" s="139" t="s">
        <v>20504</v>
      </c>
      <c r="B8819" s="139" t="s">
        <v>1199</v>
      </c>
      <c r="C8819" s="139" t="s">
        <v>65</v>
      </c>
      <c r="D8819" s="139" t="s">
        <v>20505</v>
      </c>
    </row>
    <row r="8820" spans="1:4" x14ac:dyDescent="0.25">
      <c r="A8820" s="139" t="s">
        <v>20506</v>
      </c>
      <c r="B8820" s="139" t="s">
        <v>20507</v>
      </c>
      <c r="C8820" s="139" t="s">
        <v>33</v>
      </c>
      <c r="D8820" s="139" t="s">
        <v>20508</v>
      </c>
    </row>
    <row r="8821" spans="1:4" x14ac:dyDescent="0.25">
      <c r="A8821" s="139" t="s">
        <v>20509</v>
      </c>
      <c r="B8821" s="139" t="s">
        <v>20510</v>
      </c>
      <c r="C8821" s="139" t="s">
        <v>33</v>
      </c>
      <c r="D8821" s="139" t="s">
        <v>20511</v>
      </c>
    </row>
    <row r="8822" spans="1:4" x14ac:dyDescent="0.25">
      <c r="A8822" s="139" t="s">
        <v>20512</v>
      </c>
      <c r="B8822" s="139" t="s">
        <v>20513</v>
      </c>
      <c r="C8822" s="139" t="s">
        <v>33</v>
      </c>
      <c r="D8822" s="139" t="s">
        <v>20514</v>
      </c>
    </row>
    <row r="8823" spans="1:4" x14ac:dyDescent="0.25">
      <c r="A8823" s="139" t="s">
        <v>20515</v>
      </c>
      <c r="B8823" s="139" t="s">
        <v>20507</v>
      </c>
      <c r="C8823" s="139" t="s">
        <v>33</v>
      </c>
      <c r="D8823" s="139" t="s">
        <v>20516</v>
      </c>
    </row>
    <row r="8824" spans="1:4" x14ac:dyDescent="0.25">
      <c r="A8824" s="139" t="s">
        <v>20517</v>
      </c>
      <c r="B8824" s="139" t="s">
        <v>20510</v>
      </c>
      <c r="C8824" s="139" t="s">
        <v>33</v>
      </c>
      <c r="D8824" s="139" t="s">
        <v>20518</v>
      </c>
    </row>
    <row r="8825" spans="1:4" x14ac:dyDescent="0.25">
      <c r="A8825" s="139" t="s">
        <v>20519</v>
      </c>
      <c r="B8825" s="139" t="s">
        <v>20513</v>
      </c>
      <c r="C8825" s="139" t="s">
        <v>33</v>
      </c>
      <c r="D8825" s="139" t="s">
        <v>20520</v>
      </c>
    </row>
    <row r="8826" spans="1:4" x14ac:dyDescent="0.25">
      <c r="A8826" s="139" t="s">
        <v>20521</v>
      </c>
      <c r="B8826" s="139" t="s">
        <v>20522</v>
      </c>
      <c r="C8826" s="139" t="s">
        <v>65</v>
      </c>
      <c r="D8826" s="139" t="s">
        <v>20523</v>
      </c>
    </row>
    <row r="8827" spans="1:4" x14ac:dyDescent="0.25">
      <c r="A8827" s="139" t="s">
        <v>20524</v>
      </c>
      <c r="B8827" s="139" t="s">
        <v>14888</v>
      </c>
      <c r="C8827" s="139" t="s">
        <v>65</v>
      </c>
      <c r="D8827" s="139" t="s">
        <v>20525</v>
      </c>
    </row>
    <row r="8828" spans="1:4" x14ac:dyDescent="0.25">
      <c r="A8828" s="139" t="s">
        <v>20526</v>
      </c>
      <c r="B8828" s="139" t="s">
        <v>20522</v>
      </c>
      <c r="C8828" s="139" t="s">
        <v>65</v>
      </c>
      <c r="D8828" s="139" t="s">
        <v>20527</v>
      </c>
    </row>
    <row r="8829" spans="1:4" x14ac:dyDescent="0.25">
      <c r="A8829" s="139" t="s">
        <v>20528</v>
      </c>
      <c r="B8829" s="139" t="s">
        <v>14888</v>
      </c>
      <c r="C8829" s="139" t="s">
        <v>65</v>
      </c>
      <c r="D8829" s="139" t="s">
        <v>20529</v>
      </c>
    </row>
    <row r="8830" spans="1:4" x14ac:dyDescent="0.25">
      <c r="A8830" s="139" t="s">
        <v>20530</v>
      </c>
      <c r="B8830" s="139" t="s">
        <v>20531</v>
      </c>
      <c r="C8830" s="139" t="s">
        <v>65</v>
      </c>
      <c r="D8830" s="139" t="s">
        <v>20532</v>
      </c>
    </row>
    <row r="8831" spans="1:4" x14ac:dyDescent="0.25">
      <c r="A8831" s="139" t="s">
        <v>20533</v>
      </c>
      <c r="B8831" s="139" t="s">
        <v>20534</v>
      </c>
      <c r="C8831" s="139" t="s">
        <v>65</v>
      </c>
      <c r="D8831" s="139" t="s">
        <v>20535</v>
      </c>
    </row>
    <row r="8832" spans="1:4" x14ac:dyDescent="0.25">
      <c r="A8832" s="139" t="s">
        <v>20536</v>
      </c>
      <c r="B8832" s="139" t="s">
        <v>20537</v>
      </c>
      <c r="C8832" s="139" t="s">
        <v>65</v>
      </c>
      <c r="D8832" s="139" t="s">
        <v>20538</v>
      </c>
    </row>
    <row r="8833" spans="1:4" x14ac:dyDescent="0.25">
      <c r="A8833" s="139" t="s">
        <v>20539</v>
      </c>
      <c r="B8833" s="139" t="s">
        <v>20531</v>
      </c>
      <c r="C8833" s="139" t="s">
        <v>65</v>
      </c>
      <c r="D8833" s="139" t="s">
        <v>20540</v>
      </c>
    </row>
    <row r="8834" spans="1:4" x14ac:dyDescent="0.25">
      <c r="A8834" s="139" t="s">
        <v>20541</v>
      </c>
      <c r="B8834" s="139" t="s">
        <v>20534</v>
      </c>
      <c r="C8834" s="139" t="s">
        <v>65</v>
      </c>
      <c r="D8834" s="139" t="s">
        <v>20542</v>
      </c>
    </row>
    <row r="8835" spans="1:4" x14ac:dyDescent="0.25">
      <c r="A8835" s="139" t="s">
        <v>20543</v>
      </c>
      <c r="B8835" s="139" t="s">
        <v>20537</v>
      </c>
      <c r="C8835" s="139" t="s">
        <v>65</v>
      </c>
      <c r="D8835" s="139" t="s">
        <v>20544</v>
      </c>
    </row>
    <row r="8836" spans="1:4" x14ac:dyDescent="0.25">
      <c r="A8836" s="139" t="s">
        <v>20545</v>
      </c>
      <c r="B8836" s="139" t="s">
        <v>10038</v>
      </c>
      <c r="C8836" s="139" t="s">
        <v>65</v>
      </c>
      <c r="D8836" s="139" t="s">
        <v>20546</v>
      </c>
    </row>
    <row r="8837" spans="1:4" x14ac:dyDescent="0.25">
      <c r="A8837" s="139" t="s">
        <v>20547</v>
      </c>
      <c r="B8837" s="139" t="s">
        <v>20548</v>
      </c>
      <c r="C8837" s="139" t="s">
        <v>65</v>
      </c>
      <c r="D8837" s="139" t="s">
        <v>20549</v>
      </c>
    </row>
    <row r="8838" spans="1:4" x14ac:dyDescent="0.25">
      <c r="A8838" s="139" t="s">
        <v>20550</v>
      </c>
      <c r="B8838" s="139" t="s">
        <v>20551</v>
      </c>
      <c r="C8838" s="139" t="s">
        <v>65</v>
      </c>
      <c r="D8838" s="139" t="s">
        <v>20552</v>
      </c>
    </row>
    <row r="8839" spans="1:4" x14ac:dyDescent="0.25">
      <c r="A8839" s="139" t="s">
        <v>20553</v>
      </c>
      <c r="B8839" s="139" t="s">
        <v>10038</v>
      </c>
      <c r="C8839" s="139" t="s">
        <v>65</v>
      </c>
      <c r="D8839" s="139" t="s">
        <v>20554</v>
      </c>
    </row>
    <row r="8840" spans="1:4" x14ac:dyDescent="0.25">
      <c r="A8840" s="139" t="s">
        <v>20555</v>
      </c>
      <c r="B8840" s="139" t="s">
        <v>20548</v>
      </c>
      <c r="C8840" s="139" t="s">
        <v>65</v>
      </c>
      <c r="D8840" s="139" t="s">
        <v>20556</v>
      </c>
    </row>
    <row r="8841" spans="1:4" x14ac:dyDescent="0.25">
      <c r="A8841" s="139" t="s">
        <v>20557</v>
      </c>
      <c r="B8841" s="139" t="s">
        <v>20551</v>
      </c>
      <c r="C8841" s="139" t="s">
        <v>65</v>
      </c>
      <c r="D8841" s="139" t="s">
        <v>20558</v>
      </c>
    </row>
    <row r="8842" spans="1:4" x14ac:dyDescent="0.25">
      <c r="A8842" s="139" t="s">
        <v>20559</v>
      </c>
      <c r="B8842" s="139" t="s">
        <v>20560</v>
      </c>
      <c r="C8842" s="139" t="s">
        <v>65</v>
      </c>
      <c r="D8842" s="139" t="s">
        <v>20561</v>
      </c>
    </row>
    <row r="8843" spans="1:4" x14ac:dyDescent="0.25">
      <c r="A8843" s="139" t="s">
        <v>20562</v>
      </c>
      <c r="B8843" s="139" t="s">
        <v>20560</v>
      </c>
      <c r="C8843" s="139" t="s">
        <v>65</v>
      </c>
      <c r="D8843" s="139" t="s">
        <v>20563</v>
      </c>
    </row>
    <row r="8844" spans="1:4" x14ac:dyDescent="0.25">
      <c r="A8844" s="139" t="s">
        <v>20564</v>
      </c>
      <c r="B8844" s="139" t="s">
        <v>13283</v>
      </c>
      <c r="C8844" s="139" t="s">
        <v>33</v>
      </c>
      <c r="D8844" s="139" t="s">
        <v>20565</v>
      </c>
    </row>
    <row r="8845" spans="1:4" x14ac:dyDescent="0.25">
      <c r="A8845" s="139" t="s">
        <v>20566</v>
      </c>
      <c r="B8845" s="139" t="s">
        <v>13288</v>
      </c>
      <c r="C8845" s="139" t="s">
        <v>33</v>
      </c>
      <c r="D8845" s="139" t="s">
        <v>20567</v>
      </c>
    </row>
    <row r="8846" spans="1:4" x14ac:dyDescent="0.25">
      <c r="A8846" s="139" t="s">
        <v>20568</v>
      </c>
      <c r="B8846" s="139" t="s">
        <v>13293</v>
      </c>
      <c r="C8846" s="139" t="s">
        <v>33</v>
      </c>
      <c r="D8846" s="139" t="s">
        <v>20569</v>
      </c>
    </row>
    <row r="8847" spans="1:4" x14ac:dyDescent="0.25">
      <c r="A8847" s="139" t="s">
        <v>20570</v>
      </c>
      <c r="B8847" s="139" t="s">
        <v>13283</v>
      </c>
      <c r="C8847" s="139" t="s">
        <v>33</v>
      </c>
      <c r="D8847" s="139" t="s">
        <v>20571</v>
      </c>
    </row>
    <row r="8848" spans="1:4" x14ac:dyDescent="0.25">
      <c r="A8848" s="139" t="s">
        <v>20572</v>
      </c>
      <c r="B8848" s="139" t="s">
        <v>13288</v>
      </c>
      <c r="C8848" s="139" t="s">
        <v>33</v>
      </c>
      <c r="D8848" s="139" t="s">
        <v>20573</v>
      </c>
    </row>
    <row r="8849" spans="1:4" x14ac:dyDescent="0.25">
      <c r="A8849" s="139" t="s">
        <v>20574</v>
      </c>
      <c r="B8849" s="139" t="s">
        <v>13293</v>
      </c>
      <c r="C8849" s="139" t="s">
        <v>33</v>
      </c>
      <c r="D8849" s="139" t="s">
        <v>20575</v>
      </c>
    </row>
    <row r="8850" spans="1:4" x14ac:dyDescent="0.25">
      <c r="A8850" s="139" t="s">
        <v>20576</v>
      </c>
      <c r="B8850" s="139" t="s">
        <v>20577</v>
      </c>
      <c r="C8850" s="139" t="s">
        <v>65</v>
      </c>
      <c r="D8850" s="139" t="s">
        <v>20578</v>
      </c>
    </row>
    <row r="8851" spans="1:4" x14ac:dyDescent="0.25">
      <c r="A8851" s="139" t="s">
        <v>20579</v>
      </c>
      <c r="B8851" s="139" t="s">
        <v>20580</v>
      </c>
      <c r="C8851" s="139" t="s">
        <v>65</v>
      </c>
      <c r="D8851" s="139" t="s">
        <v>20581</v>
      </c>
    </row>
    <row r="8852" spans="1:4" x14ac:dyDescent="0.25">
      <c r="A8852" s="139" t="s">
        <v>20582</v>
      </c>
      <c r="B8852" s="139" t="s">
        <v>13371</v>
      </c>
      <c r="C8852" s="139" t="s">
        <v>65</v>
      </c>
      <c r="D8852" s="139" t="s">
        <v>20583</v>
      </c>
    </row>
    <row r="8853" spans="1:4" x14ac:dyDescent="0.25">
      <c r="A8853" s="139" t="s">
        <v>20584</v>
      </c>
      <c r="B8853" s="139" t="s">
        <v>20585</v>
      </c>
      <c r="C8853" s="139" t="s">
        <v>65</v>
      </c>
      <c r="D8853" s="139" t="s">
        <v>20586</v>
      </c>
    </row>
    <row r="8854" spans="1:4" x14ac:dyDescent="0.25">
      <c r="A8854" s="139" t="s">
        <v>20587</v>
      </c>
      <c r="B8854" s="139" t="s">
        <v>20588</v>
      </c>
      <c r="C8854" s="139" t="s">
        <v>65</v>
      </c>
      <c r="D8854" s="139" t="s">
        <v>20589</v>
      </c>
    </row>
    <row r="8855" spans="1:4" x14ac:dyDescent="0.25">
      <c r="A8855" s="139" t="s">
        <v>20590</v>
      </c>
      <c r="B8855" s="139" t="s">
        <v>19128</v>
      </c>
      <c r="C8855" s="139" t="s">
        <v>65</v>
      </c>
      <c r="D8855" s="139" t="s">
        <v>20591</v>
      </c>
    </row>
    <row r="8856" spans="1:4" x14ac:dyDescent="0.25">
      <c r="A8856" s="139" t="s">
        <v>20592</v>
      </c>
      <c r="B8856" s="139" t="s">
        <v>13108</v>
      </c>
      <c r="C8856" s="139" t="s">
        <v>65</v>
      </c>
      <c r="D8856" s="139" t="s">
        <v>20593</v>
      </c>
    </row>
    <row r="8857" spans="1:4" x14ac:dyDescent="0.25">
      <c r="A8857" s="139" t="s">
        <v>20594</v>
      </c>
      <c r="B8857" s="139" t="s">
        <v>20577</v>
      </c>
      <c r="C8857" s="139" t="s">
        <v>65</v>
      </c>
      <c r="D8857" s="139" t="s">
        <v>20595</v>
      </c>
    </row>
    <row r="8858" spans="1:4" x14ac:dyDescent="0.25">
      <c r="A8858" s="139" t="s">
        <v>20596</v>
      </c>
      <c r="B8858" s="139" t="s">
        <v>20580</v>
      </c>
      <c r="C8858" s="139" t="s">
        <v>65</v>
      </c>
      <c r="D8858" s="139" t="s">
        <v>20597</v>
      </c>
    </row>
    <row r="8859" spans="1:4" x14ac:dyDescent="0.25">
      <c r="A8859" s="139" t="s">
        <v>20598</v>
      </c>
      <c r="B8859" s="139" t="s">
        <v>13371</v>
      </c>
      <c r="C8859" s="139" t="s">
        <v>65</v>
      </c>
      <c r="D8859" s="139" t="s">
        <v>20599</v>
      </c>
    </row>
    <row r="8860" spans="1:4" x14ac:dyDescent="0.25">
      <c r="A8860" s="139" t="s">
        <v>20600</v>
      </c>
      <c r="B8860" s="139" t="s">
        <v>20585</v>
      </c>
      <c r="C8860" s="139" t="s">
        <v>65</v>
      </c>
      <c r="D8860" s="139" t="s">
        <v>20601</v>
      </c>
    </row>
    <row r="8861" spans="1:4" x14ac:dyDescent="0.25">
      <c r="A8861" s="139" t="s">
        <v>20602</v>
      </c>
      <c r="B8861" s="139" t="s">
        <v>20588</v>
      </c>
      <c r="C8861" s="139" t="s">
        <v>65</v>
      </c>
      <c r="D8861" s="139" t="s">
        <v>20603</v>
      </c>
    </row>
    <row r="8862" spans="1:4" x14ac:dyDescent="0.25">
      <c r="A8862" s="139" t="s">
        <v>20604</v>
      </c>
      <c r="B8862" s="139" t="s">
        <v>19128</v>
      </c>
      <c r="C8862" s="139" t="s">
        <v>65</v>
      </c>
      <c r="D8862" s="139" t="s">
        <v>20605</v>
      </c>
    </row>
    <row r="8863" spans="1:4" x14ac:dyDescent="0.25">
      <c r="A8863" s="139" t="s">
        <v>20606</v>
      </c>
      <c r="B8863" s="139" t="s">
        <v>13108</v>
      </c>
      <c r="C8863" s="139" t="s">
        <v>65</v>
      </c>
      <c r="D8863" s="139" t="s">
        <v>20607</v>
      </c>
    </row>
    <row r="8864" spans="1:4" x14ac:dyDescent="0.25">
      <c r="A8864" s="139" t="s">
        <v>20608</v>
      </c>
      <c r="B8864" s="139" t="s">
        <v>20609</v>
      </c>
      <c r="C8864" s="139" t="s">
        <v>33</v>
      </c>
      <c r="D8864" s="139" t="s">
        <v>20610</v>
      </c>
    </row>
    <row r="8865" spans="1:4" x14ac:dyDescent="0.25">
      <c r="A8865" s="139" t="s">
        <v>20611</v>
      </c>
      <c r="B8865" s="139" t="s">
        <v>20609</v>
      </c>
      <c r="C8865" s="139" t="s">
        <v>33</v>
      </c>
      <c r="D8865" s="139" t="s">
        <v>20612</v>
      </c>
    </row>
    <row r="8866" spans="1:4" x14ac:dyDescent="0.25">
      <c r="A8866" s="139" t="s">
        <v>20613</v>
      </c>
      <c r="B8866" s="139" t="s">
        <v>20614</v>
      </c>
      <c r="C8866" s="139" t="s">
        <v>65</v>
      </c>
      <c r="D8866" s="139" t="s">
        <v>20615</v>
      </c>
    </row>
    <row r="8867" spans="1:4" x14ac:dyDescent="0.25">
      <c r="A8867" s="139" t="s">
        <v>20616</v>
      </c>
      <c r="B8867" s="139" t="s">
        <v>13317</v>
      </c>
      <c r="C8867" s="139" t="s">
        <v>65</v>
      </c>
      <c r="D8867" s="139" t="s">
        <v>20617</v>
      </c>
    </row>
    <row r="8868" spans="1:4" x14ac:dyDescent="0.25">
      <c r="A8868" s="139" t="s">
        <v>20618</v>
      </c>
      <c r="B8868" s="139" t="s">
        <v>11153</v>
      </c>
      <c r="C8868" s="139" t="s">
        <v>65</v>
      </c>
      <c r="D8868" s="139" t="s">
        <v>20619</v>
      </c>
    </row>
    <row r="8869" spans="1:4" x14ac:dyDescent="0.25">
      <c r="A8869" s="139" t="s">
        <v>20620</v>
      </c>
      <c r="B8869" s="139" t="s">
        <v>20621</v>
      </c>
      <c r="C8869" s="139" t="s">
        <v>65</v>
      </c>
      <c r="D8869" s="139" t="s">
        <v>20622</v>
      </c>
    </row>
    <row r="8870" spans="1:4" x14ac:dyDescent="0.25">
      <c r="A8870" s="139" t="s">
        <v>20623</v>
      </c>
      <c r="B8870" s="139" t="s">
        <v>20614</v>
      </c>
      <c r="C8870" s="139" t="s">
        <v>65</v>
      </c>
      <c r="D8870" s="139" t="s">
        <v>20624</v>
      </c>
    </row>
    <row r="8871" spans="1:4" x14ac:dyDescent="0.25">
      <c r="A8871" s="139" t="s">
        <v>20625</v>
      </c>
      <c r="B8871" s="139" t="s">
        <v>13317</v>
      </c>
      <c r="C8871" s="139" t="s">
        <v>65</v>
      </c>
      <c r="D8871" s="139" t="s">
        <v>20626</v>
      </c>
    </row>
    <row r="8872" spans="1:4" x14ac:dyDescent="0.25">
      <c r="A8872" s="139" t="s">
        <v>20627</v>
      </c>
      <c r="B8872" s="139" t="s">
        <v>11153</v>
      </c>
      <c r="C8872" s="139" t="s">
        <v>65</v>
      </c>
      <c r="D8872" s="139" t="s">
        <v>20628</v>
      </c>
    </row>
    <row r="8873" spans="1:4" x14ac:dyDescent="0.25">
      <c r="A8873" s="139" t="s">
        <v>20629</v>
      </c>
      <c r="B8873" s="139" t="s">
        <v>20621</v>
      </c>
      <c r="C8873" s="139" t="s">
        <v>65</v>
      </c>
      <c r="D8873" s="139" t="s">
        <v>20630</v>
      </c>
    </row>
    <row r="8874" spans="1:4" x14ac:dyDescent="0.25">
      <c r="A8874" s="139" t="s">
        <v>20631</v>
      </c>
      <c r="B8874" s="139" t="s">
        <v>20614</v>
      </c>
      <c r="C8874" s="139" t="s">
        <v>33</v>
      </c>
      <c r="D8874" s="139" t="s">
        <v>20632</v>
      </c>
    </row>
    <row r="8875" spans="1:4" x14ac:dyDescent="0.25">
      <c r="A8875" s="139" t="s">
        <v>20633</v>
      </c>
      <c r="B8875" s="139" t="s">
        <v>20621</v>
      </c>
      <c r="C8875" s="139" t="s">
        <v>33</v>
      </c>
      <c r="D8875" s="139" t="s">
        <v>20634</v>
      </c>
    </row>
    <row r="8876" spans="1:4" x14ac:dyDescent="0.25">
      <c r="A8876" s="139" t="s">
        <v>20635</v>
      </c>
      <c r="B8876" s="139" t="s">
        <v>20189</v>
      </c>
      <c r="C8876" s="139" t="s">
        <v>33</v>
      </c>
      <c r="D8876" s="139" t="s">
        <v>20636</v>
      </c>
    </row>
    <row r="8877" spans="1:4" x14ac:dyDescent="0.25">
      <c r="A8877" s="139" t="s">
        <v>20637</v>
      </c>
      <c r="B8877" s="139" t="s">
        <v>18872</v>
      </c>
      <c r="C8877" s="139" t="s">
        <v>33</v>
      </c>
      <c r="D8877" s="139" t="s">
        <v>20638</v>
      </c>
    </row>
    <row r="8878" spans="1:4" x14ac:dyDescent="0.25">
      <c r="A8878" s="139" t="s">
        <v>20639</v>
      </c>
      <c r="B8878" s="139" t="s">
        <v>2228</v>
      </c>
      <c r="C8878" s="139" t="s">
        <v>33</v>
      </c>
      <c r="D8878" s="139" t="s">
        <v>20640</v>
      </c>
    </row>
    <row r="8879" spans="1:4" x14ac:dyDescent="0.25">
      <c r="A8879" s="139" t="s">
        <v>20641</v>
      </c>
      <c r="B8879" s="139" t="s">
        <v>18867</v>
      </c>
      <c r="C8879" s="139" t="s">
        <v>33</v>
      </c>
      <c r="D8879" s="139" t="s">
        <v>20642</v>
      </c>
    </row>
    <row r="8880" spans="1:4" x14ac:dyDescent="0.25">
      <c r="A8880" s="139" t="s">
        <v>20643</v>
      </c>
      <c r="B8880" s="139" t="s">
        <v>20644</v>
      </c>
      <c r="C8880" s="139" t="s">
        <v>33</v>
      </c>
      <c r="D8880" s="139" t="s">
        <v>20645</v>
      </c>
    </row>
    <row r="8881" spans="1:4" x14ac:dyDescent="0.25">
      <c r="A8881" s="139" t="s">
        <v>20646</v>
      </c>
      <c r="B8881" s="139" t="s">
        <v>10092</v>
      </c>
      <c r="C8881" s="139" t="s">
        <v>33</v>
      </c>
      <c r="D8881" s="139" t="s">
        <v>20647</v>
      </c>
    </row>
    <row r="8882" spans="1:4" x14ac:dyDescent="0.25">
      <c r="A8882" s="139" t="s">
        <v>20648</v>
      </c>
      <c r="B8882" s="139" t="s">
        <v>17068</v>
      </c>
      <c r="C8882" s="139" t="s">
        <v>33</v>
      </c>
      <c r="D8882" s="139" t="s">
        <v>20649</v>
      </c>
    </row>
    <row r="8883" spans="1:4" x14ac:dyDescent="0.25">
      <c r="A8883" s="139" t="s">
        <v>20650</v>
      </c>
      <c r="B8883" s="139" t="s">
        <v>11064</v>
      </c>
      <c r="C8883" s="139" t="s">
        <v>33</v>
      </c>
      <c r="D8883" s="139" t="s">
        <v>20651</v>
      </c>
    </row>
    <row r="8884" spans="1:4" x14ac:dyDescent="0.25">
      <c r="A8884" s="139" t="s">
        <v>20652</v>
      </c>
      <c r="B8884" s="139" t="s">
        <v>2003</v>
      </c>
      <c r="C8884" s="139" t="s">
        <v>33</v>
      </c>
      <c r="D8884" s="139" t="s">
        <v>20653</v>
      </c>
    </row>
    <row r="8885" spans="1:4" x14ac:dyDescent="0.25">
      <c r="A8885" s="139" t="s">
        <v>20654</v>
      </c>
      <c r="B8885" s="139" t="s">
        <v>20655</v>
      </c>
      <c r="C8885" s="139" t="s">
        <v>33</v>
      </c>
      <c r="D8885" s="139" t="s">
        <v>20656</v>
      </c>
    </row>
    <row r="8886" spans="1:4" x14ac:dyDescent="0.25">
      <c r="A8886" s="139" t="s">
        <v>20657</v>
      </c>
      <c r="B8886" s="139" t="s">
        <v>1817</v>
      </c>
      <c r="C8886" s="139" t="s">
        <v>33</v>
      </c>
      <c r="D8886" s="139" t="s">
        <v>20658</v>
      </c>
    </row>
    <row r="8887" spans="1:4" x14ac:dyDescent="0.25">
      <c r="A8887" s="139" t="s">
        <v>20659</v>
      </c>
      <c r="B8887" s="139" t="s">
        <v>2974</v>
      </c>
      <c r="C8887" s="139" t="s">
        <v>33</v>
      </c>
      <c r="D8887" s="139" t="s">
        <v>20660</v>
      </c>
    </row>
    <row r="8888" spans="1:4" x14ac:dyDescent="0.25">
      <c r="A8888" s="139" t="s">
        <v>20661</v>
      </c>
      <c r="B8888" s="139" t="s">
        <v>20662</v>
      </c>
      <c r="C8888" s="139" t="s">
        <v>33</v>
      </c>
      <c r="D8888" s="139" t="s">
        <v>20663</v>
      </c>
    </row>
    <row r="8889" spans="1:4" x14ac:dyDescent="0.25">
      <c r="A8889" s="139" t="s">
        <v>20664</v>
      </c>
      <c r="B8889" s="139" t="s">
        <v>20614</v>
      </c>
      <c r="C8889" s="139" t="s">
        <v>33</v>
      </c>
      <c r="D8889" s="139" t="s">
        <v>20665</v>
      </c>
    </row>
    <row r="8890" spans="1:4" x14ac:dyDescent="0.25">
      <c r="A8890" s="139" t="s">
        <v>20666</v>
      </c>
      <c r="B8890" s="139" t="s">
        <v>20621</v>
      </c>
      <c r="C8890" s="139" t="s">
        <v>33</v>
      </c>
      <c r="D8890" s="139" t="s">
        <v>20667</v>
      </c>
    </row>
    <row r="8891" spans="1:4" x14ac:dyDescent="0.25">
      <c r="A8891" s="139" t="s">
        <v>20668</v>
      </c>
      <c r="B8891" s="139" t="s">
        <v>20189</v>
      </c>
      <c r="C8891" s="139" t="s">
        <v>33</v>
      </c>
      <c r="D8891" s="139" t="s">
        <v>20669</v>
      </c>
    </row>
    <row r="8892" spans="1:4" x14ac:dyDescent="0.25">
      <c r="A8892" s="139" t="s">
        <v>20670</v>
      </c>
      <c r="B8892" s="139" t="s">
        <v>18872</v>
      </c>
      <c r="C8892" s="139" t="s">
        <v>33</v>
      </c>
      <c r="D8892" s="139" t="s">
        <v>20671</v>
      </c>
    </row>
    <row r="8893" spans="1:4" x14ac:dyDescent="0.25">
      <c r="A8893" s="139" t="s">
        <v>20672</v>
      </c>
      <c r="B8893" s="139" t="s">
        <v>2228</v>
      </c>
      <c r="C8893" s="139" t="s">
        <v>33</v>
      </c>
      <c r="D8893" s="139" t="s">
        <v>20673</v>
      </c>
    </row>
    <row r="8894" spans="1:4" x14ac:dyDescent="0.25">
      <c r="A8894" s="139" t="s">
        <v>20674</v>
      </c>
      <c r="B8894" s="139" t="s">
        <v>18867</v>
      </c>
      <c r="C8894" s="139" t="s">
        <v>33</v>
      </c>
      <c r="D8894" s="139" t="s">
        <v>20675</v>
      </c>
    </row>
    <row r="8895" spans="1:4" x14ac:dyDescent="0.25">
      <c r="A8895" s="139" t="s">
        <v>20676</v>
      </c>
      <c r="B8895" s="139" t="s">
        <v>20644</v>
      </c>
      <c r="C8895" s="139" t="s">
        <v>33</v>
      </c>
      <c r="D8895" s="139" t="s">
        <v>20677</v>
      </c>
    </row>
    <row r="8896" spans="1:4" x14ac:dyDescent="0.25">
      <c r="A8896" s="139" t="s">
        <v>20678</v>
      </c>
      <c r="B8896" s="139" t="s">
        <v>10092</v>
      </c>
      <c r="C8896" s="139" t="s">
        <v>33</v>
      </c>
      <c r="D8896" s="139" t="s">
        <v>20679</v>
      </c>
    </row>
    <row r="8897" spans="1:4" x14ac:dyDescent="0.25">
      <c r="A8897" s="139" t="s">
        <v>20680</v>
      </c>
      <c r="B8897" s="139" t="s">
        <v>17068</v>
      </c>
      <c r="C8897" s="139" t="s">
        <v>33</v>
      </c>
      <c r="D8897" s="139" t="s">
        <v>20681</v>
      </c>
    </row>
    <row r="8898" spans="1:4" x14ac:dyDescent="0.25">
      <c r="A8898" s="139" t="s">
        <v>20682</v>
      </c>
      <c r="B8898" s="139" t="s">
        <v>11064</v>
      </c>
      <c r="C8898" s="139" t="s">
        <v>33</v>
      </c>
      <c r="D8898" s="139" t="s">
        <v>20683</v>
      </c>
    </row>
    <row r="8899" spans="1:4" x14ac:dyDescent="0.25">
      <c r="A8899" s="139" t="s">
        <v>20684</v>
      </c>
      <c r="B8899" s="139" t="s">
        <v>2003</v>
      </c>
      <c r="C8899" s="139" t="s">
        <v>33</v>
      </c>
      <c r="D8899" s="139" t="s">
        <v>20685</v>
      </c>
    </row>
    <row r="8900" spans="1:4" x14ac:dyDescent="0.25">
      <c r="A8900" s="139" t="s">
        <v>20686</v>
      </c>
      <c r="B8900" s="139" t="s">
        <v>20655</v>
      </c>
      <c r="C8900" s="139" t="s">
        <v>33</v>
      </c>
      <c r="D8900" s="139" t="s">
        <v>20687</v>
      </c>
    </row>
    <row r="8901" spans="1:4" x14ac:dyDescent="0.25">
      <c r="A8901" s="139" t="s">
        <v>20688</v>
      </c>
      <c r="B8901" s="139" t="s">
        <v>1817</v>
      </c>
      <c r="C8901" s="139" t="s">
        <v>33</v>
      </c>
      <c r="D8901" s="139" t="s">
        <v>20689</v>
      </c>
    </row>
    <row r="8902" spans="1:4" x14ac:dyDescent="0.25">
      <c r="A8902" s="139" t="s">
        <v>20690</v>
      </c>
      <c r="B8902" s="139" t="s">
        <v>2974</v>
      </c>
      <c r="C8902" s="139" t="s">
        <v>33</v>
      </c>
      <c r="D8902" s="139" t="s">
        <v>20691</v>
      </c>
    </row>
    <row r="8903" spans="1:4" x14ac:dyDescent="0.25">
      <c r="A8903" s="139" t="s">
        <v>20692</v>
      </c>
      <c r="B8903" s="139" t="s">
        <v>20662</v>
      </c>
      <c r="C8903" s="139" t="s">
        <v>33</v>
      </c>
      <c r="D8903" s="139" t="s">
        <v>20693</v>
      </c>
    </row>
    <row r="8904" spans="1:4" x14ac:dyDescent="0.25">
      <c r="A8904" s="139" t="s">
        <v>20694</v>
      </c>
      <c r="B8904" s="139" t="s">
        <v>2198</v>
      </c>
      <c r="C8904" s="139" t="s">
        <v>65</v>
      </c>
      <c r="D8904" s="139" t="s">
        <v>20695</v>
      </c>
    </row>
    <row r="8905" spans="1:4" x14ac:dyDescent="0.25">
      <c r="A8905" s="139" t="s">
        <v>20696</v>
      </c>
      <c r="B8905" s="139" t="s">
        <v>2198</v>
      </c>
      <c r="C8905" s="139" t="s">
        <v>65</v>
      </c>
      <c r="D8905" s="139" t="s">
        <v>20697</v>
      </c>
    </row>
    <row r="8906" spans="1:4" x14ac:dyDescent="0.25">
      <c r="A8906" s="139" t="s">
        <v>20698</v>
      </c>
      <c r="B8906" s="139" t="s">
        <v>4147</v>
      </c>
      <c r="C8906" s="139" t="s">
        <v>65</v>
      </c>
      <c r="D8906" s="139" t="s">
        <v>20699</v>
      </c>
    </row>
    <row r="8907" spans="1:4" x14ac:dyDescent="0.25">
      <c r="A8907" s="139" t="s">
        <v>20700</v>
      </c>
      <c r="B8907" s="139" t="s">
        <v>4147</v>
      </c>
      <c r="C8907" s="139" t="s">
        <v>65</v>
      </c>
      <c r="D8907" s="139" t="s">
        <v>20701</v>
      </c>
    </row>
    <row r="8908" spans="1:4" x14ac:dyDescent="0.25">
      <c r="A8908" s="139" t="s">
        <v>20702</v>
      </c>
      <c r="B8908" s="139" t="s">
        <v>20703</v>
      </c>
      <c r="C8908" s="139" t="s">
        <v>65</v>
      </c>
      <c r="D8908" s="139" t="s">
        <v>20704</v>
      </c>
    </row>
    <row r="8909" spans="1:4" x14ac:dyDescent="0.25">
      <c r="A8909" s="139" t="s">
        <v>20705</v>
      </c>
      <c r="B8909" s="139" t="s">
        <v>19178</v>
      </c>
      <c r="C8909" s="139" t="s">
        <v>65</v>
      </c>
      <c r="D8909" s="139" t="s">
        <v>20706</v>
      </c>
    </row>
    <row r="8910" spans="1:4" x14ac:dyDescent="0.25">
      <c r="A8910" s="139" t="s">
        <v>20707</v>
      </c>
      <c r="B8910" s="139" t="s">
        <v>15187</v>
      </c>
      <c r="C8910" s="139" t="s">
        <v>65</v>
      </c>
      <c r="D8910" s="139" t="s">
        <v>20708</v>
      </c>
    </row>
    <row r="8911" spans="1:4" x14ac:dyDescent="0.25">
      <c r="A8911" s="139" t="s">
        <v>20709</v>
      </c>
      <c r="B8911" s="139" t="s">
        <v>2128</v>
      </c>
      <c r="C8911" s="139" t="s">
        <v>65</v>
      </c>
      <c r="D8911" s="139" t="s">
        <v>20710</v>
      </c>
    </row>
    <row r="8912" spans="1:4" x14ac:dyDescent="0.25">
      <c r="A8912" s="139" t="s">
        <v>20711</v>
      </c>
      <c r="B8912" s="139" t="s">
        <v>15172</v>
      </c>
      <c r="C8912" s="139" t="s">
        <v>65</v>
      </c>
      <c r="D8912" s="139" t="s">
        <v>20712</v>
      </c>
    </row>
    <row r="8913" spans="1:4" x14ac:dyDescent="0.25">
      <c r="A8913" s="139" t="s">
        <v>20713</v>
      </c>
      <c r="B8913" s="139" t="s">
        <v>19612</v>
      </c>
      <c r="C8913" s="139" t="s">
        <v>65</v>
      </c>
      <c r="D8913" s="139" t="s">
        <v>20714</v>
      </c>
    </row>
    <row r="8914" spans="1:4" x14ac:dyDescent="0.25">
      <c r="A8914" s="139" t="s">
        <v>20715</v>
      </c>
      <c r="B8914" s="139" t="s">
        <v>20716</v>
      </c>
      <c r="C8914" s="139" t="s">
        <v>65</v>
      </c>
      <c r="D8914" s="139" t="s">
        <v>20717</v>
      </c>
    </row>
    <row r="8915" spans="1:4" x14ac:dyDescent="0.25">
      <c r="A8915" s="139" t="s">
        <v>20718</v>
      </c>
      <c r="B8915" s="139" t="s">
        <v>19615</v>
      </c>
      <c r="C8915" s="139" t="s">
        <v>65</v>
      </c>
      <c r="D8915" s="139" t="s">
        <v>20719</v>
      </c>
    </row>
    <row r="8916" spans="1:4" x14ac:dyDescent="0.25">
      <c r="A8916" s="139" t="s">
        <v>20720</v>
      </c>
      <c r="B8916" s="139" t="s">
        <v>15105</v>
      </c>
      <c r="C8916" s="139" t="s">
        <v>65</v>
      </c>
      <c r="D8916" s="139" t="s">
        <v>20721</v>
      </c>
    </row>
    <row r="8917" spans="1:4" x14ac:dyDescent="0.25">
      <c r="A8917" s="139" t="s">
        <v>20722</v>
      </c>
      <c r="B8917" s="139" t="s">
        <v>20703</v>
      </c>
      <c r="C8917" s="139" t="s">
        <v>65</v>
      </c>
      <c r="D8917" s="139" t="s">
        <v>20723</v>
      </c>
    </row>
    <row r="8918" spans="1:4" x14ac:dyDescent="0.25">
      <c r="A8918" s="139" t="s">
        <v>20724</v>
      </c>
      <c r="B8918" s="139" t="s">
        <v>19178</v>
      </c>
      <c r="C8918" s="139" t="s">
        <v>65</v>
      </c>
      <c r="D8918" s="139" t="s">
        <v>20725</v>
      </c>
    </row>
    <row r="8919" spans="1:4" x14ac:dyDescent="0.25">
      <c r="A8919" s="139" t="s">
        <v>20726</v>
      </c>
      <c r="B8919" s="139" t="s">
        <v>15187</v>
      </c>
      <c r="C8919" s="139" t="s">
        <v>65</v>
      </c>
      <c r="D8919" s="139" t="s">
        <v>20727</v>
      </c>
    </row>
    <row r="8920" spans="1:4" x14ac:dyDescent="0.25">
      <c r="A8920" s="139" t="s">
        <v>20728</v>
      </c>
      <c r="B8920" s="139" t="s">
        <v>2128</v>
      </c>
      <c r="C8920" s="139" t="s">
        <v>65</v>
      </c>
      <c r="D8920" s="139" t="s">
        <v>20729</v>
      </c>
    </row>
    <row r="8921" spans="1:4" x14ac:dyDescent="0.25">
      <c r="A8921" s="139" t="s">
        <v>20730</v>
      </c>
      <c r="B8921" s="139" t="s">
        <v>15172</v>
      </c>
      <c r="C8921" s="139" t="s">
        <v>65</v>
      </c>
      <c r="D8921" s="139" t="s">
        <v>20731</v>
      </c>
    </row>
    <row r="8922" spans="1:4" x14ac:dyDescent="0.25">
      <c r="A8922" s="139" t="s">
        <v>20732</v>
      </c>
      <c r="B8922" s="139" t="s">
        <v>19612</v>
      </c>
      <c r="C8922" s="139" t="s">
        <v>65</v>
      </c>
      <c r="D8922" s="139" t="s">
        <v>20733</v>
      </c>
    </row>
    <row r="8923" spans="1:4" x14ac:dyDescent="0.25">
      <c r="A8923" s="139" t="s">
        <v>20734</v>
      </c>
      <c r="B8923" s="139" t="s">
        <v>20716</v>
      </c>
      <c r="C8923" s="139" t="s">
        <v>65</v>
      </c>
      <c r="D8923" s="139" t="s">
        <v>20735</v>
      </c>
    </row>
    <row r="8924" spans="1:4" x14ac:dyDescent="0.25">
      <c r="A8924" s="139" t="s">
        <v>20736</v>
      </c>
      <c r="B8924" s="139" t="s">
        <v>19615</v>
      </c>
      <c r="C8924" s="139" t="s">
        <v>65</v>
      </c>
      <c r="D8924" s="139" t="s">
        <v>20737</v>
      </c>
    </row>
    <row r="8925" spans="1:4" x14ac:dyDescent="0.25">
      <c r="A8925" s="139" t="s">
        <v>20738</v>
      </c>
      <c r="B8925" s="139" t="s">
        <v>15105</v>
      </c>
      <c r="C8925" s="139" t="s">
        <v>65</v>
      </c>
      <c r="D8925" s="139" t="s">
        <v>20739</v>
      </c>
    </row>
    <row r="8926" spans="1:4" x14ac:dyDescent="0.25">
      <c r="A8926" s="139" t="s">
        <v>20740</v>
      </c>
      <c r="B8926" s="139" t="s">
        <v>11222</v>
      </c>
      <c r="C8926" s="139" t="s">
        <v>33</v>
      </c>
      <c r="D8926" s="139" t="s">
        <v>20741</v>
      </c>
    </row>
    <row r="8927" spans="1:4" x14ac:dyDescent="0.25">
      <c r="A8927" s="139" t="s">
        <v>20742</v>
      </c>
      <c r="B8927" s="139" t="s">
        <v>19178</v>
      </c>
      <c r="C8927" s="139" t="s">
        <v>33</v>
      </c>
      <c r="D8927" s="139" t="s">
        <v>20743</v>
      </c>
    </row>
    <row r="8928" spans="1:4" x14ac:dyDescent="0.25">
      <c r="A8928" s="139" t="s">
        <v>20744</v>
      </c>
      <c r="B8928" s="139" t="s">
        <v>15187</v>
      </c>
      <c r="C8928" s="139" t="s">
        <v>33</v>
      </c>
      <c r="D8928" s="139" t="s">
        <v>20745</v>
      </c>
    </row>
    <row r="8929" spans="1:4" x14ac:dyDescent="0.25">
      <c r="A8929" s="139" t="s">
        <v>20746</v>
      </c>
      <c r="B8929" s="139" t="s">
        <v>2128</v>
      </c>
      <c r="C8929" s="139" t="s">
        <v>33</v>
      </c>
      <c r="D8929" s="139" t="s">
        <v>20747</v>
      </c>
    </row>
    <row r="8930" spans="1:4" x14ac:dyDescent="0.25">
      <c r="A8930" s="139" t="s">
        <v>20748</v>
      </c>
      <c r="B8930" s="139" t="s">
        <v>15172</v>
      </c>
      <c r="C8930" s="139" t="s">
        <v>33</v>
      </c>
      <c r="D8930" s="139" t="s">
        <v>20749</v>
      </c>
    </row>
    <row r="8931" spans="1:4" x14ac:dyDescent="0.25">
      <c r="A8931" s="139" t="s">
        <v>20750</v>
      </c>
      <c r="B8931" s="139" t="s">
        <v>20716</v>
      </c>
      <c r="C8931" s="139" t="s">
        <v>33</v>
      </c>
      <c r="D8931" s="139" t="s">
        <v>20751</v>
      </c>
    </row>
    <row r="8932" spans="1:4" x14ac:dyDescent="0.25">
      <c r="A8932" s="139" t="s">
        <v>20752</v>
      </c>
      <c r="B8932" s="139" t="s">
        <v>15105</v>
      </c>
      <c r="C8932" s="139" t="s">
        <v>33</v>
      </c>
      <c r="D8932" s="139" t="s">
        <v>20753</v>
      </c>
    </row>
    <row r="8933" spans="1:4" x14ac:dyDescent="0.25">
      <c r="A8933" s="139" t="s">
        <v>20754</v>
      </c>
      <c r="B8933" s="139" t="s">
        <v>19178</v>
      </c>
      <c r="C8933" s="139" t="s">
        <v>33</v>
      </c>
      <c r="D8933" s="139" t="s">
        <v>20755</v>
      </c>
    </row>
    <row r="8934" spans="1:4" x14ac:dyDescent="0.25">
      <c r="A8934" s="139" t="s">
        <v>20756</v>
      </c>
      <c r="B8934" s="139" t="s">
        <v>15187</v>
      </c>
      <c r="C8934" s="139" t="s">
        <v>33</v>
      </c>
      <c r="D8934" s="139" t="s">
        <v>20757</v>
      </c>
    </row>
    <row r="8935" spans="1:4" x14ac:dyDescent="0.25">
      <c r="A8935" s="139" t="s">
        <v>20758</v>
      </c>
      <c r="B8935" s="139" t="s">
        <v>2128</v>
      </c>
      <c r="C8935" s="139" t="s">
        <v>33</v>
      </c>
      <c r="D8935" s="139" t="s">
        <v>20759</v>
      </c>
    </row>
    <row r="8936" spans="1:4" x14ac:dyDescent="0.25">
      <c r="A8936" s="139" t="s">
        <v>20760</v>
      </c>
      <c r="B8936" s="139" t="s">
        <v>15172</v>
      </c>
      <c r="C8936" s="139" t="s">
        <v>33</v>
      </c>
      <c r="D8936" s="139" t="s">
        <v>20761</v>
      </c>
    </row>
    <row r="8937" spans="1:4" x14ac:dyDescent="0.25">
      <c r="A8937" s="139" t="s">
        <v>20762</v>
      </c>
      <c r="B8937" s="139" t="s">
        <v>20716</v>
      </c>
      <c r="C8937" s="139" t="s">
        <v>33</v>
      </c>
      <c r="D8937" s="139" t="s">
        <v>20763</v>
      </c>
    </row>
    <row r="8938" spans="1:4" x14ac:dyDescent="0.25">
      <c r="A8938" s="139" t="s">
        <v>20764</v>
      </c>
      <c r="B8938" s="139" t="s">
        <v>15105</v>
      </c>
      <c r="C8938" s="139" t="s">
        <v>33</v>
      </c>
      <c r="D8938" s="139" t="s">
        <v>20765</v>
      </c>
    </row>
    <row r="8939" spans="1:4" x14ac:dyDescent="0.25">
      <c r="A8939" s="139" t="s">
        <v>20766</v>
      </c>
      <c r="B8939" s="139" t="s">
        <v>11198</v>
      </c>
      <c r="C8939" s="139" t="s">
        <v>20767</v>
      </c>
      <c r="D8939" s="139" t="s">
        <v>20768</v>
      </c>
    </row>
    <row r="8940" spans="1:4" x14ac:dyDescent="0.25">
      <c r="A8940" s="139" t="s">
        <v>20769</v>
      </c>
      <c r="B8940" s="139" t="s">
        <v>11203</v>
      </c>
      <c r="C8940" s="139" t="s">
        <v>20767</v>
      </c>
      <c r="D8940" s="139" t="s">
        <v>20770</v>
      </c>
    </row>
    <row r="8941" spans="1:4" x14ac:dyDescent="0.25">
      <c r="A8941" s="139" t="s">
        <v>20771</v>
      </c>
      <c r="B8941" s="139" t="s">
        <v>11198</v>
      </c>
      <c r="C8941" s="139" t="s">
        <v>20767</v>
      </c>
      <c r="D8941" s="139" t="s">
        <v>20772</v>
      </c>
    </row>
    <row r="8942" spans="1:4" x14ac:dyDescent="0.25">
      <c r="A8942" s="139" t="s">
        <v>20773</v>
      </c>
      <c r="B8942" s="139" t="s">
        <v>11203</v>
      </c>
      <c r="C8942" s="139" t="s">
        <v>20767</v>
      </c>
      <c r="D8942" s="139" t="s">
        <v>20774</v>
      </c>
    </row>
    <row r="8943" spans="1:4" x14ac:dyDescent="0.25">
      <c r="A8943" s="139" t="s">
        <v>20775</v>
      </c>
      <c r="B8943" s="139" t="s">
        <v>13122</v>
      </c>
      <c r="C8943" s="139" t="s">
        <v>33</v>
      </c>
      <c r="D8943" s="139" t="s">
        <v>20776</v>
      </c>
    </row>
    <row r="8944" spans="1:4" x14ac:dyDescent="0.25">
      <c r="A8944" s="139" t="s">
        <v>20777</v>
      </c>
      <c r="B8944" s="139" t="s">
        <v>11153</v>
      </c>
      <c r="C8944" s="139" t="s">
        <v>33</v>
      </c>
      <c r="D8944" s="139" t="s">
        <v>20778</v>
      </c>
    </row>
    <row r="8945" spans="1:4" x14ac:dyDescent="0.25">
      <c r="A8945" s="139" t="s">
        <v>20779</v>
      </c>
      <c r="B8945" s="139" t="s">
        <v>13122</v>
      </c>
      <c r="C8945" s="139" t="s">
        <v>33</v>
      </c>
      <c r="D8945" s="139" t="s">
        <v>20780</v>
      </c>
    </row>
    <row r="8946" spans="1:4" x14ac:dyDescent="0.25">
      <c r="A8946" s="139" t="s">
        <v>20781</v>
      </c>
      <c r="B8946" s="139" t="s">
        <v>11153</v>
      </c>
      <c r="C8946" s="139" t="s">
        <v>33</v>
      </c>
      <c r="D8946" s="139" t="s">
        <v>20782</v>
      </c>
    </row>
    <row r="8947" spans="1:4" x14ac:dyDescent="0.25">
      <c r="A8947" s="139" t="s">
        <v>20783</v>
      </c>
      <c r="B8947" s="139" t="s">
        <v>11198</v>
      </c>
      <c r="C8947" s="139" t="s">
        <v>20767</v>
      </c>
      <c r="D8947" s="139" t="s">
        <v>20784</v>
      </c>
    </row>
    <row r="8948" spans="1:4" x14ac:dyDescent="0.25">
      <c r="A8948" s="139" t="s">
        <v>20785</v>
      </c>
      <c r="B8948" s="139" t="s">
        <v>11198</v>
      </c>
      <c r="C8948" s="139" t="s">
        <v>20767</v>
      </c>
      <c r="D8948" s="139" t="s">
        <v>20786</v>
      </c>
    </row>
    <row r="8949" spans="1:4" x14ac:dyDescent="0.25">
      <c r="A8949" s="139" t="s">
        <v>20787</v>
      </c>
      <c r="B8949" s="139" t="s">
        <v>17015</v>
      </c>
      <c r="C8949" s="139" t="s">
        <v>33</v>
      </c>
      <c r="D8949" s="139" t="s">
        <v>20788</v>
      </c>
    </row>
    <row r="8950" spans="1:4" x14ac:dyDescent="0.25">
      <c r="A8950" s="139" t="s">
        <v>20789</v>
      </c>
      <c r="B8950" s="139" t="s">
        <v>17015</v>
      </c>
      <c r="C8950" s="139" t="s">
        <v>33</v>
      </c>
      <c r="D8950" s="139" t="s">
        <v>20790</v>
      </c>
    </row>
    <row r="8951" spans="1:4" x14ac:dyDescent="0.25">
      <c r="A8951" s="139" t="s">
        <v>20791</v>
      </c>
      <c r="B8951" s="139" t="s">
        <v>11198</v>
      </c>
      <c r="C8951" s="139" t="s">
        <v>33</v>
      </c>
      <c r="D8951" s="139" t="s">
        <v>20792</v>
      </c>
    </row>
    <row r="8952" spans="1:4" x14ac:dyDescent="0.25">
      <c r="A8952" s="139" t="s">
        <v>20793</v>
      </c>
      <c r="B8952" s="139" t="s">
        <v>11198</v>
      </c>
      <c r="C8952" s="139" t="s">
        <v>33</v>
      </c>
      <c r="D8952" s="139" t="s">
        <v>20794</v>
      </c>
    </row>
    <row r="8953" spans="1:4" x14ac:dyDescent="0.25">
      <c r="A8953" s="139" t="s">
        <v>20795</v>
      </c>
      <c r="B8953" s="139" t="s">
        <v>15250</v>
      </c>
      <c r="C8953" s="139" t="s">
        <v>65</v>
      </c>
      <c r="D8953" s="139" t="s">
        <v>20796</v>
      </c>
    </row>
    <row r="8954" spans="1:4" x14ac:dyDescent="0.25">
      <c r="A8954" s="139" t="s">
        <v>20797</v>
      </c>
      <c r="B8954" s="139" t="s">
        <v>11203</v>
      </c>
      <c r="C8954" s="139" t="s">
        <v>65</v>
      </c>
      <c r="D8954" s="139" t="s">
        <v>20798</v>
      </c>
    </row>
    <row r="8955" spans="1:4" x14ac:dyDescent="0.25">
      <c r="A8955" s="139" t="s">
        <v>20799</v>
      </c>
      <c r="B8955" s="139" t="s">
        <v>11208</v>
      </c>
      <c r="C8955" s="139" t="s">
        <v>65</v>
      </c>
      <c r="D8955" s="139" t="s">
        <v>20800</v>
      </c>
    </row>
    <row r="8956" spans="1:4" x14ac:dyDescent="0.25">
      <c r="A8956" s="139" t="s">
        <v>20801</v>
      </c>
      <c r="B8956" s="139" t="s">
        <v>2018</v>
      </c>
      <c r="C8956" s="139" t="s">
        <v>65</v>
      </c>
      <c r="D8956" s="139" t="s">
        <v>20802</v>
      </c>
    </row>
    <row r="8957" spans="1:4" x14ac:dyDescent="0.25">
      <c r="A8957" s="139" t="s">
        <v>20803</v>
      </c>
      <c r="B8957" s="139" t="s">
        <v>20804</v>
      </c>
      <c r="C8957" s="139" t="s">
        <v>33</v>
      </c>
      <c r="D8957" s="139" t="s">
        <v>20805</v>
      </c>
    </row>
    <row r="8958" spans="1:4" x14ac:dyDescent="0.25">
      <c r="A8958" s="139" t="s">
        <v>20806</v>
      </c>
      <c r="B8958" s="139" t="s">
        <v>20804</v>
      </c>
      <c r="C8958" s="139" t="s">
        <v>65</v>
      </c>
      <c r="D8958" s="139" t="s">
        <v>20807</v>
      </c>
    </row>
    <row r="8959" spans="1:4" x14ac:dyDescent="0.25">
      <c r="A8959" s="139" t="s">
        <v>20808</v>
      </c>
      <c r="B8959" s="139" t="s">
        <v>16165</v>
      </c>
      <c r="C8959" s="139" t="s">
        <v>33</v>
      </c>
      <c r="D8959" s="139" t="s">
        <v>20809</v>
      </c>
    </row>
    <row r="8960" spans="1:4" x14ac:dyDescent="0.25">
      <c r="A8960" s="139" t="s">
        <v>20810</v>
      </c>
      <c r="B8960" s="139" t="s">
        <v>16165</v>
      </c>
      <c r="C8960" s="139" t="s">
        <v>65</v>
      </c>
      <c r="D8960" s="139" t="s">
        <v>20811</v>
      </c>
    </row>
    <row r="8961" spans="1:4" x14ac:dyDescent="0.25">
      <c r="A8961" s="139" t="s">
        <v>20812</v>
      </c>
      <c r="B8961" s="139" t="s">
        <v>13141</v>
      </c>
      <c r="C8961" s="139" t="s">
        <v>33</v>
      </c>
      <c r="D8961" s="139" t="s">
        <v>20813</v>
      </c>
    </row>
    <row r="8962" spans="1:4" x14ac:dyDescent="0.25">
      <c r="A8962" s="139" t="s">
        <v>20814</v>
      </c>
      <c r="B8962" s="139" t="s">
        <v>11158</v>
      </c>
      <c r="C8962" s="139" t="s">
        <v>65</v>
      </c>
      <c r="D8962" s="139" t="s">
        <v>20815</v>
      </c>
    </row>
    <row r="8963" spans="1:4" x14ac:dyDescent="0.25">
      <c r="A8963" s="139" t="s">
        <v>20816</v>
      </c>
      <c r="B8963" s="139" t="s">
        <v>11410</v>
      </c>
      <c r="C8963" s="139" t="s">
        <v>65</v>
      </c>
      <c r="D8963" s="139" t="s">
        <v>20817</v>
      </c>
    </row>
    <row r="8964" spans="1:4" x14ac:dyDescent="0.25">
      <c r="A8964" s="139" t="s">
        <v>20818</v>
      </c>
      <c r="B8964" s="139" t="s">
        <v>11222</v>
      </c>
      <c r="C8964" s="139" t="s">
        <v>65</v>
      </c>
      <c r="D8964" s="139" t="s">
        <v>20819</v>
      </c>
    </row>
    <row r="8965" spans="1:4" x14ac:dyDescent="0.25">
      <c r="A8965" s="139" t="s">
        <v>20820</v>
      </c>
      <c r="B8965" s="139" t="s">
        <v>20821</v>
      </c>
      <c r="C8965" s="139" t="s">
        <v>65</v>
      </c>
      <c r="D8965" s="139" t="s">
        <v>20822</v>
      </c>
    </row>
    <row r="8966" spans="1:4" x14ac:dyDescent="0.25">
      <c r="A8966" s="139" t="s">
        <v>20823</v>
      </c>
      <c r="B8966" s="139" t="s">
        <v>15506</v>
      </c>
      <c r="C8966" s="139" t="s">
        <v>65</v>
      </c>
      <c r="D8966" s="139" t="s">
        <v>20824</v>
      </c>
    </row>
    <row r="8967" spans="1:4" x14ac:dyDescent="0.25">
      <c r="A8967" s="139" t="s">
        <v>20825</v>
      </c>
      <c r="B8967" s="139" t="s">
        <v>14346</v>
      </c>
      <c r="C8967" s="139" t="s">
        <v>127</v>
      </c>
      <c r="D8967" s="139" t="s">
        <v>20826</v>
      </c>
    </row>
    <row r="8968" spans="1:4" x14ac:dyDescent="0.25">
      <c r="A8968" s="139" t="s">
        <v>20827</v>
      </c>
      <c r="B8968" s="139" t="s">
        <v>2123</v>
      </c>
      <c r="C8968" s="139" t="s">
        <v>33</v>
      </c>
      <c r="D8968" s="139" t="s">
        <v>20828</v>
      </c>
    </row>
    <row r="8969" spans="1:4" x14ac:dyDescent="0.25">
      <c r="A8969" s="139" t="s">
        <v>20829</v>
      </c>
      <c r="B8969" s="139" t="s">
        <v>15250</v>
      </c>
      <c r="C8969" s="139" t="s">
        <v>65</v>
      </c>
      <c r="D8969" s="139" t="s">
        <v>20830</v>
      </c>
    </row>
    <row r="8970" spans="1:4" x14ac:dyDescent="0.25">
      <c r="A8970" s="139" t="s">
        <v>20831</v>
      </c>
      <c r="B8970" s="139" t="s">
        <v>11203</v>
      </c>
      <c r="C8970" s="139" t="s">
        <v>33</v>
      </c>
      <c r="D8970" s="139" t="s">
        <v>20832</v>
      </c>
    </row>
    <row r="8971" spans="1:4" x14ac:dyDescent="0.25">
      <c r="A8971" s="139" t="s">
        <v>20833</v>
      </c>
      <c r="B8971" s="139" t="s">
        <v>11203</v>
      </c>
      <c r="C8971" s="139" t="s">
        <v>65</v>
      </c>
      <c r="D8971" s="139" t="s">
        <v>20834</v>
      </c>
    </row>
    <row r="8972" spans="1:4" x14ac:dyDescent="0.25">
      <c r="A8972" s="139" t="s">
        <v>20835</v>
      </c>
      <c r="B8972" s="139" t="s">
        <v>11208</v>
      </c>
      <c r="C8972" s="139" t="s">
        <v>33</v>
      </c>
      <c r="D8972" s="139" t="s">
        <v>20836</v>
      </c>
    </row>
    <row r="8973" spans="1:4" x14ac:dyDescent="0.25">
      <c r="A8973" s="139" t="s">
        <v>20837</v>
      </c>
      <c r="B8973" s="139" t="s">
        <v>11208</v>
      </c>
      <c r="C8973" s="139" t="s">
        <v>65</v>
      </c>
      <c r="D8973" s="139" t="s">
        <v>20838</v>
      </c>
    </row>
    <row r="8974" spans="1:4" x14ac:dyDescent="0.25">
      <c r="A8974" s="139" t="s">
        <v>20839</v>
      </c>
      <c r="B8974" s="139" t="s">
        <v>2018</v>
      </c>
      <c r="C8974" s="139" t="s">
        <v>33</v>
      </c>
      <c r="D8974" s="139" t="s">
        <v>20840</v>
      </c>
    </row>
    <row r="8975" spans="1:4" x14ac:dyDescent="0.25">
      <c r="A8975" s="139" t="s">
        <v>20841</v>
      </c>
      <c r="B8975" s="139" t="s">
        <v>2018</v>
      </c>
      <c r="C8975" s="139" t="s">
        <v>65</v>
      </c>
      <c r="D8975" s="139" t="s">
        <v>20842</v>
      </c>
    </row>
    <row r="8976" spans="1:4" x14ac:dyDescent="0.25">
      <c r="A8976" s="139" t="s">
        <v>20843</v>
      </c>
      <c r="B8976" s="139" t="s">
        <v>20804</v>
      </c>
      <c r="C8976" s="139" t="s">
        <v>33</v>
      </c>
      <c r="D8976" s="139" t="s">
        <v>20844</v>
      </c>
    </row>
    <row r="8977" spans="1:4" x14ac:dyDescent="0.25">
      <c r="A8977" s="139" t="s">
        <v>20845</v>
      </c>
      <c r="B8977" s="139" t="s">
        <v>20804</v>
      </c>
      <c r="C8977" s="139" t="s">
        <v>65</v>
      </c>
      <c r="D8977" s="139" t="s">
        <v>20846</v>
      </c>
    </row>
    <row r="8978" spans="1:4" x14ac:dyDescent="0.25">
      <c r="A8978" s="139" t="s">
        <v>20847</v>
      </c>
      <c r="B8978" s="139" t="s">
        <v>16165</v>
      </c>
      <c r="C8978" s="139" t="s">
        <v>33</v>
      </c>
      <c r="D8978" s="139" t="s">
        <v>20848</v>
      </c>
    </row>
    <row r="8979" spans="1:4" x14ac:dyDescent="0.25">
      <c r="A8979" s="139" t="s">
        <v>20849</v>
      </c>
      <c r="B8979" s="139" t="s">
        <v>16165</v>
      </c>
      <c r="C8979" s="139" t="s">
        <v>65</v>
      </c>
      <c r="D8979" s="139" t="s">
        <v>20850</v>
      </c>
    </row>
    <row r="8980" spans="1:4" x14ac:dyDescent="0.25">
      <c r="A8980" s="139" t="s">
        <v>20851</v>
      </c>
      <c r="B8980" s="139" t="s">
        <v>13141</v>
      </c>
      <c r="C8980" s="139" t="s">
        <v>33</v>
      </c>
      <c r="D8980" s="139" t="s">
        <v>20852</v>
      </c>
    </row>
    <row r="8981" spans="1:4" x14ac:dyDescent="0.25">
      <c r="A8981" s="139" t="s">
        <v>20853</v>
      </c>
      <c r="B8981" s="139" t="s">
        <v>11158</v>
      </c>
      <c r="C8981" s="139" t="s">
        <v>33</v>
      </c>
      <c r="D8981" s="139" t="s">
        <v>20854</v>
      </c>
    </row>
    <row r="8982" spans="1:4" x14ac:dyDescent="0.25">
      <c r="A8982" s="139" t="s">
        <v>20814</v>
      </c>
      <c r="B8982" s="139" t="s">
        <v>11158</v>
      </c>
      <c r="C8982" s="139" t="s">
        <v>65</v>
      </c>
      <c r="D8982" s="139" t="s">
        <v>20855</v>
      </c>
    </row>
    <row r="8983" spans="1:4" x14ac:dyDescent="0.25">
      <c r="A8983" s="139" t="s">
        <v>20856</v>
      </c>
      <c r="B8983" s="139" t="s">
        <v>11410</v>
      </c>
      <c r="C8983" s="139" t="s">
        <v>65</v>
      </c>
      <c r="D8983" s="139" t="s">
        <v>20857</v>
      </c>
    </row>
    <row r="8984" spans="1:4" x14ac:dyDescent="0.25">
      <c r="A8984" s="139" t="s">
        <v>20858</v>
      </c>
      <c r="B8984" s="139" t="s">
        <v>11222</v>
      </c>
      <c r="C8984" s="139" t="s">
        <v>65</v>
      </c>
      <c r="D8984" s="139" t="s">
        <v>20859</v>
      </c>
    </row>
    <row r="8985" spans="1:4" x14ac:dyDescent="0.25">
      <c r="A8985" s="139" t="s">
        <v>20860</v>
      </c>
      <c r="B8985" s="139" t="s">
        <v>20821</v>
      </c>
      <c r="C8985" s="139" t="s">
        <v>65</v>
      </c>
      <c r="D8985" s="139" t="s">
        <v>20861</v>
      </c>
    </row>
    <row r="8986" spans="1:4" x14ac:dyDescent="0.25">
      <c r="A8986" s="139" t="s">
        <v>20862</v>
      </c>
      <c r="B8986" s="139" t="s">
        <v>15506</v>
      </c>
      <c r="C8986" s="139" t="s">
        <v>65</v>
      </c>
      <c r="D8986" s="139" t="s">
        <v>20863</v>
      </c>
    </row>
    <row r="8987" spans="1:4" x14ac:dyDescent="0.25">
      <c r="A8987" s="139" t="s">
        <v>20864</v>
      </c>
      <c r="B8987" s="139" t="s">
        <v>20865</v>
      </c>
      <c r="C8987" s="139" t="s">
        <v>127</v>
      </c>
      <c r="D8987" s="139" t="s">
        <v>20866</v>
      </c>
    </row>
    <row r="8988" spans="1:4" x14ac:dyDescent="0.25">
      <c r="A8988" s="139" t="s">
        <v>20867</v>
      </c>
      <c r="B8988" s="139" t="s">
        <v>20868</v>
      </c>
      <c r="C8988" s="139" t="s">
        <v>127</v>
      </c>
      <c r="D8988" s="139" t="s">
        <v>20869</v>
      </c>
    </row>
    <row r="8989" spans="1:4" x14ac:dyDescent="0.25">
      <c r="A8989" s="139" t="s">
        <v>20870</v>
      </c>
      <c r="B8989" s="139" t="s">
        <v>20871</v>
      </c>
      <c r="C8989" s="139" t="s">
        <v>127</v>
      </c>
      <c r="D8989" s="139" t="s">
        <v>20872</v>
      </c>
    </row>
    <row r="8990" spans="1:4" x14ac:dyDescent="0.25">
      <c r="A8990" s="139" t="s">
        <v>20873</v>
      </c>
      <c r="B8990" s="139" t="s">
        <v>20874</v>
      </c>
      <c r="C8990" s="139" t="s">
        <v>127</v>
      </c>
      <c r="D8990" s="139" t="s">
        <v>20875</v>
      </c>
    </row>
    <row r="8991" spans="1:4" x14ac:dyDescent="0.25">
      <c r="A8991" s="139" t="s">
        <v>20876</v>
      </c>
      <c r="B8991" s="139" t="s">
        <v>11222</v>
      </c>
      <c r="C8991" s="139" t="s">
        <v>127</v>
      </c>
      <c r="D8991" s="139" t="s">
        <v>20877</v>
      </c>
    </row>
    <row r="8992" spans="1:4" x14ac:dyDescent="0.25">
      <c r="A8992" s="139" t="s">
        <v>20878</v>
      </c>
      <c r="B8992" s="139" t="s">
        <v>11158</v>
      </c>
      <c r="C8992" s="139" t="s">
        <v>127</v>
      </c>
      <c r="D8992" s="139" t="s">
        <v>20879</v>
      </c>
    </row>
    <row r="8993" spans="1:4" x14ac:dyDescent="0.25">
      <c r="A8993" s="139" t="s">
        <v>20880</v>
      </c>
      <c r="B8993" s="139" t="s">
        <v>13108</v>
      </c>
      <c r="C8993" s="139" t="s">
        <v>127</v>
      </c>
      <c r="D8993" s="139" t="s">
        <v>20881</v>
      </c>
    </row>
    <row r="8994" spans="1:4" x14ac:dyDescent="0.25">
      <c r="A8994" s="139" t="s">
        <v>20882</v>
      </c>
      <c r="B8994" s="139" t="s">
        <v>13317</v>
      </c>
      <c r="C8994" s="139" t="s">
        <v>127</v>
      </c>
      <c r="D8994" s="139" t="s">
        <v>20883</v>
      </c>
    </row>
    <row r="8995" spans="1:4" x14ac:dyDescent="0.25">
      <c r="A8995" s="139" t="s">
        <v>20884</v>
      </c>
      <c r="B8995" s="139" t="s">
        <v>14346</v>
      </c>
      <c r="C8995" s="139" t="s">
        <v>127</v>
      </c>
      <c r="D8995" s="139" t="s">
        <v>20885</v>
      </c>
    </row>
    <row r="8996" spans="1:4" x14ac:dyDescent="0.25">
      <c r="A8996" s="139" t="s">
        <v>20886</v>
      </c>
      <c r="B8996" s="139" t="s">
        <v>2018</v>
      </c>
      <c r="C8996" s="139" t="s">
        <v>127</v>
      </c>
      <c r="D8996" s="139" t="s">
        <v>20887</v>
      </c>
    </row>
    <row r="8997" spans="1:4" x14ac:dyDescent="0.25">
      <c r="A8997" s="139" t="s">
        <v>20888</v>
      </c>
      <c r="B8997" s="139" t="s">
        <v>20889</v>
      </c>
      <c r="C8997" s="139" t="s">
        <v>33</v>
      </c>
      <c r="D8997" s="139" t="s">
        <v>20890</v>
      </c>
    </row>
    <row r="8998" spans="1:4" x14ac:dyDescent="0.25">
      <c r="A8998" s="139" t="s">
        <v>20891</v>
      </c>
      <c r="B8998" s="139" t="s">
        <v>20892</v>
      </c>
      <c r="C8998" s="139" t="s">
        <v>33</v>
      </c>
      <c r="D8998" s="139" t="s">
        <v>20893</v>
      </c>
    </row>
    <row r="8999" spans="1:4" x14ac:dyDescent="0.25">
      <c r="A8999" s="139" t="s">
        <v>20894</v>
      </c>
      <c r="B8999" s="139" t="s">
        <v>20895</v>
      </c>
      <c r="C8999" s="139" t="s">
        <v>33</v>
      </c>
      <c r="D8999" s="139" t="s">
        <v>20896</v>
      </c>
    </row>
    <row r="9000" spans="1:4" x14ac:dyDescent="0.25">
      <c r="A9000" s="139" t="s">
        <v>20897</v>
      </c>
      <c r="B9000" s="139" t="s">
        <v>20868</v>
      </c>
      <c r="C9000" s="139" t="s">
        <v>33</v>
      </c>
      <c r="D9000" s="139" t="s">
        <v>20898</v>
      </c>
    </row>
    <row r="9001" spans="1:4" x14ac:dyDescent="0.25">
      <c r="A9001" s="139" t="s">
        <v>20899</v>
      </c>
      <c r="B9001" s="139" t="s">
        <v>20874</v>
      </c>
      <c r="C9001" s="139" t="s">
        <v>33</v>
      </c>
      <c r="D9001" s="139" t="s">
        <v>20900</v>
      </c>
    </row>
    <row r="9002" spans="1:4" x14ac:dyDescent="0.25">
      <c r="A9002" s="139" t="s">
        <v>20901</v>
      </c>
      <c r="B9002" s="139" t="s">
        <v>20902</v>
      </c>
      <c r="C9002" s="139" t="s">
        <v>33</v>
      </c>
      <c r="D9002" s="139" t="s">
        <v>20903</v>
      </c>
    </row>
    <row r="9003" spans="1:4" x14ac:dyDescent="0.25">
      <c r="A9003" s="139" t="s">
        <v>20904</v>
      </c>
      <c r="B9003" s="139" t="s">
        <v>11222</v>
      </c>
      <c r="C9003" s="139" t="s">
        <v>33</v>
      </c>
      <c r="D9003" s="139" t="s">
        <v>20905</v>
      </c>
    </row>
    <row r="9004" spans="1:4" x14ac:dyDescent="0.25">
      <c r="A9004" s="139" t="s">
        <v>20906</v>
      </c>
      <c r="B9004" s="139" t="s">
        <v>11158</v>
      </c>
      <c r="C9004" s="139" t="s">
        <v>33</v>
      </c>
      <c r="D9004" s="139" t="s">
        <v>20907</v>
      </c>
    </row>
    <row r="9005" spans="1:4" x14ac:dyDescent="0.25">
      <c r="A9005" s="139" t="s">
        <v>20908</v>
      </c>
      <c r="B9005" s="139" t="s">
        <v>2018</v>
      </c>
      <c r="C9005" s="139" t="s">
        <v>33</v>
      </c>
      <c r="D9005" s="139" t="s">
        <v>20909</v>
      </c>
    </row>
    <row r="9006" spans="1:4" x14ac:dyDescent="0.25">
      <c r="A9006" s="139" t="s">
        <v>20910</v>
      </c>
      <c r="B9006" s="139" t="s">
        <v>2123</v>
      </c>
      <c r="C9006" s="139" t="s">
        <v>33</v>
      </c>
      <c r="D9006" s="139" t="s">
        <v>20911</v>
      </c>
    </row>
    <row r="9007" spans="1:4" x14ac:dyDescent="0.25">
      <c r="A9007" s="139" t="s">
        <v>20912</v>
      </c>
      <c r="B9007" s="139" t="s">
        <v>11208</v>
      </c>
      <c r="C9007" s="139" t="s">
        <v>33</v>
      </c>
      <c r="D9007" s="139" t="s">
        <v>20913</v>
      </c>
    </row>
    <row r="9008" spans="1:4" x14ac:dyDescent="0.25">
      <c r="A9008" s="139" t="s">
        <v>20914</v>
      </c>
      <c r="B9008" s="139" t="s">
        <v>11203</v>
      </c>
      <c r="C9008" s="139" t="s">
        <v>33</v>
      </c>
      <c r="D9008" s="139" t="s">
        <v>20915</v>
      </c>
    </row>
    <row r="9009" spans="1:4" x14ac:dyDescent="0.25">
      <c r="A9009" s="139" t="s">
        <v>20916</v>
      </c>
      <c r="B9009" s="139" t="s">
        <v>20865</v>
      </c>
      <c r="C9009" s="139" t="s">
        <v>127</v>
      </c>
      <c r="D9009" s="139" t="s">
        <v>20917</v>
      </c>
    </row>
    <row r="9010" spans="1:4" x14ac:dyDescent="0.25">
      <c r="A9010" s="139" t="s">
        <v>20918</v>
      </c>
      <c r="B9010" s="139" t="s">
        <v>20868</v>
      </c>
      <c r="C9010" s="139" t="s">
        <v>127</v>
      </c>
      <c r="D9010" s="139" t="s">
        <v>20919</v>
      </c>
    </row>
    <row r="9011" spans="1:4" x14ac:dyDescent="0.25">
      <c r="A9011" s="139" t="s">
        <v>20920</v>
      </c>
      <c r="B9011" s="139" t="s">
        <v>20871</v>
      </c>
      <c r="C9011" s="139" t="s">
        <v>127</v>
      </c>
      <c r="D9011" s="139" t="s">
        <v>20921</v>
      </c>
    </row>
    <row r="9012" spans="1:4" x14ac:dyDescent="0.25">
      <c r="A9012" s="139" t="s">
        <v>20922</v>
      </c>
      <c r="B9012" s="139" t="s">
        <v>20874</v>
      </c>
      <c r="C9012" s="139" t="s">
        <v>127</v>
      </c>
      <c r="D9012" s="139" t="s">
        <v>20923</v>
      </c>
    </row>
    <row r="9013" spans="1:4" x14ac:dyDescent="0.25">
      <c r="A9013" s="139" t="s">
        <v>20924</v>
      </c>
      <c r="B9013" s="139" t="s">
        <v>11222</v>
      </c>
      <c r="C9013" s="139" t="s">
        <v>127</v>
      </c>
      <c r="D9013" s="139" t="s">
        <v>20925</v>
      </c>
    </row>
    <row r="9014" spans="1:4" x14ac:dyDescent="0.25">
      <c r="A9014" s="139" t="s">
        <v>20926</v>
      </c>
      <c r="B9014" s="139" t="s">
        <v>11158</v>
      </c>
      <c r="C9014" s="139" t="s">
        <v>127</v>
      </c>
      <c r="D9014" s="139" t="s">
        <v>20927</v>
      </c>
    </row>
    <row r="9015" spans="1:4" x14ac:dyDescent="0.25">
      <c r="A9015" s="139" t="s">
        <v>20928</v>
      </c>
      <c r="B9015" s="139" t="s">
        <v>13108</v>
      </c>
      <c r="C9015" s="139" t="s">
        <v>127</v>
      </c>
      <c r="D9015" s="139" t="s">
        <v>20929</v>
      </c>
    </row>
    <row r="9016" spans="1:4" x14ac:dyDescent="0.25">
      <c r="A9016" s="139" t="s">
        <v>20930</v>
      </c>
      <c r="B9016" s="139" t="s">
        <v>13317</v>
      </c>
      <c r="C9016" s="139" t="s">
        <v>127</v>
      </c>
      <c r="D9016" s="139" t="s">
        <v>20931</v>
      </c>
    </row>
    <row r="9017" spans="1:4" x14ac:dyDescent="0.25">
      <c r="A9017" s="139" t="s">
        <v>20932</v>
      </c>
      <c r="B9017" s="139" t="s">
        <v>2018</v>
      </c>
      <c r="C9017" s="139" t="s">
        <v>127</v>
      </c>
      <c r="D9017" s="139" t="s">
        <v>20933</v>
      </c>
    </row>
    <row r="9018" spans="1:4" x14ac:dyDescent="0.25">
      <c r="A9018" s="139" t="s">
        <v>20934</v>
      </c>
      <c r="B9018" s="139" t="s">
        <v>20889</v>
      </c>
      <c r="C9018" s="139" t="s">
        <v>33</v>
      </c>
      <c r="D9018" s="139" t="s">
        <v>20935</v>
      </c>
    </row>
    <row r="9019" spans="1:4" x14ac:dyDescent="0.25">
      <c r="A9019" s="139" t="s">
        <v>20936</v>
      </c>
      <c r="B9019" s="139" t="s">
        <v>20892</v>
      </c>
      <c r="C9019" s="139" t="s">
        <v>33</v>
      </c>
      <c r="D9019" s="139" t="s">
        <v>20937</v>
      </c>
    </row>
    <row r="9020" spans="1:4" x14ac:dyDescent="0.25">
      <c r="A9020" s="139" t="s">
        <v>20938</v>
      </c>
      <c r="B9020" s="139" t="s">
        <v>20895</v>
      </c>
      <c r="C9020" s="139" t="s">
        <v>33</v>
      </c>
      <c r="D9020" s="139" t="s">
        <v>20939</v>
      </c>
    </row>
    <row r="9021" spans="1:4" x14ac:dyDescent="0.25">
      <c r="A9021" s="139" t="s">
        <v>20940</v>
      </c>
      <c r="B9021" s="139" t="s">
        <v>20868</v>
      </c>
      <c r="C9021" s="139" t="s">
        <v>33</v>
      </c>
      <c r="D9021" s="139" t="s">
        <v>20941</v>
      </c>
    </row>
    <row r="9022" spans="1:4" x14ac:dyDescent="0.25">
      <c r="A9022" s="139" t="s">
        <v>20942</v>
      </c>
      <c r="B9022" s="139" t="s">
        <v>20874</v>
      </c>
      <c r="C9022" s="139" t="s">
        <v>33</v>
      </c>
      <c r="D9022" s="139" t="s">
        <v>20943</v>
      </c>
    </row>
    <row r="9023" spans="1:4" x14ac:dyDescent="0.25">
      <c r="A9023" s="139" t="s">
        <v>20944</v>
      </c>
      <c r="B9023" s="139" t="s">
        <v>20902</v>
      </c>
      <c r="C9023" s="139" t="s">
        <v>33</v>
      </c>
      <c r="D9023" s="139" t="s">
        <v>20945</v>
      </c>
    </row>
    <row r="9024" spans="1:4" x14ac:dyDescent="0.25">
      <c r="A9024" s="139" t="s">
        <v>20946</v>
      </c>
      <c r="B9024" s="139" t="s">
        <v>20947</v>
      </c>
      <c r="C9024" s="139" t="s">
        <v>20948</v>
      </c>
      <c r="D9024" s="139" t="s">
        <v>20949</v>
      </c>
    </row>
    <row r="9025" spans="1:4" x14ac:dyDescent="0.25">
      <c r="A9025" s="139" t="s">
        <v>20950</v>
      </c>
      <c r="B9025" s="139" t="s">
        <v>20951</v>
      </c>
      <c r="C9025" s="139" t="s">
        <v>20948</v>
      </c>
      <c r="D9025" s="139" t="s">
        <v>20952</v>
      </c>
    </row>
    <row r="9026" spans="1:4" x14ac:dyDescent="0.25">
      <c r="A9026" s="139" t="s">
        <v>20953</v>
      </c>
      <c r="B9026" s="139" t="s">
        <v>20947</v>
      </c>
      <c r="C9026" s="139" t="s">
        <v>20948</v>
      </c>
      <c r="D9026" s="139" t="s">
        <v>20954</v>
      </c>
    </row>
    <row r="9027" spans="1:4" x14ac:dyDescent="0.25">
      <c r="A9027" s="139" t="s">
        <v>20955</v>
      </c>
      <c r="B9027" s="139" t="s">
        <v>20951</v>
      </c>
      <c r="C9027" s="139" t="s">
        <v>20948</v>
      </c>
      <c r="D9027" s="139" t="s">
        <v>20956</v>
      </c>
    </row>
    <row r="9028" spans="1:4" x14ac:dyDescent="0.25">
      <c r="A9028" s="139" t="s">
        <v>20957</v>
      </c>
      <c r="B9028" s="139" t="s">
        <v>20958</v>
      </c>
      <c r="C9028" s="139" t="s">
        <v>20948</v>
      </c>
      <c r="D9028" s="139" t="s">
        <v>20959</v>
      </c>
    </row>
    <row r="9029" spans="1:4" x14ac:dyDescent="0.25">
      <c r="A9029" s="139" t="s">
        <v>20960</v>
      </c>
      <c r="B9029" s="139" t="s">
        <v>20958</v>
      </c>
      <c r="C9029" s="139" t="s">
        <v>20948</v>
      </c>
      <c r="D9029" s="139" t="s">
        <v>20961</v>
      </c>
    </row>
    <row r="9030" spans="1:4" x14ac:dyDescent="0.25">
      <c r="A9030" s="139" t="s">
        <v>20962</v>
      </c>
      <c r="B9030" s="139" t="s">
        <v>20963</v>
      </c>
      <c r="C9030" s="139" t="s">
        <v>20948</v>
      </c>
      <c r="D9030" s="139" t="s">
        <v>20964</v>
      </c>
    </row>
    <row r="9031" spans="1:4" x14ac:dyDescent="0.25">
      <c r="A9031" s="139" t="s">
        <v>20965</v>
      </c>
      <c r="B9031" s="139" t="s">
        <v>20963</v>
      </c>
      <c r="C9031" s="139" t="s">
        <v>20948</v>
      </c>
      <c r="D9031" s="139" t="s">
        <v>20966</v>
      </c>
    </row>
    <row r="9032" spans="1:4" x14ac:dyDescent="0.25">
      <c r="A9032" s="139" t="s">
        <v>20967</v>
      </c>
      <c r="B9032" s="139" t="s">
        <v>20958</v>
      </c>
      <c r="C9032" s="139" t="s">
        <v>20948</v>
      </c>
      <c r="D9032" s="139" t="s">
        <v>20968</v>
      </c>
    </row>
    <row r="9033" spans="1:4" x14ac:dyDescent="0.25">
      <c r="A9033" s="139" t="s">
        <v>20969</v>
      </c>
      <c r="B9033" s="139" t="s">
        <v>20958</v>
      </c>
      <c r="C9033" s="139" t="s">
        <v>20948</v>
      </c>
      <c r="D9033" s="139" t="s">
        <v>20970</v>
      </c>
    </row>
    <row r="9034" spans="1:4" x14ac:dyDescent="0.25">
      <c r="A9034" s="139" t="s">
        <v>20971</v>
      </c>
      <c r="B9034" s="139" t="s">
        <v>20972</v>
      </c>
      <c r="C9034" s="139" t="s">
        <v>20948</v>
      </c>
      <c r="D9034" s="139" t="s">
        <v>20973</v>
      </c>
    </row>
    <row r="9035" spans="1:4" x14ac:dyDescent="0.25">
      <c r="A9035" s="139" t="s">
        <v>20974</v>
      </c>
      <c r="B9035" s="139" t="s">
        <v>20975</v>
      </c>
      <c r="C9035" s="139" t="s">
        <v>20948</v>
      </c>
      <c r="D9035" s="139" t="s">
        <v>20976</v>
      </c>
    </row>
    <row r="9036" spans="1:4" x14ac:dyDescent="0.25">
      <c r="A9036" s="139" t="s">
        <v>20977</v>
      </c>
      <c r="B9036" s="139" t="s">
        <v>20978</v>
      </c>
      <c r="C9036" s="139" t="s">
        <v>20948</v>
      </c>
      <c r="D9036" s="139" t="s">
        <v>20979</v>
      </c>
    </row>
    <row r="9037" spans="1:4" x14ac:dyDescent="0.25">
      <c r="A9037" s="139" t="s">
        <v>20980</v>
      </c>
      <c r="B9037" s="139" t="s">
        <v>20981</v>
      </c>
      <c r="C9037" s="139" t="s">
        <v>20948</v>
      </c>
      <c r="D9037" s="139" t="s">
        <v>20982</v>
      </c>
    </row>
    <row r="9038" spans="1:4" x14ac:dyDescent="0.25">
      <c r="A9038" s="139" t="s">
        <v>20983</v>
      </c>
      <c r="B9038" s="139" t="s">
        <v>20984</v>
      </c>
      <c r="C9038" s="139" t="s">
        <v>20948</v>
      </c>
      <c r="D9038" s="139" t="s">
        <v>20985</v>
      </c>
    </row>
    <row r="9039" spans="1:4" x14ac:dyDescent="0.25">
      <c r="A9039" s="139" t="s">
        <v>20986</v>
      </c>
      <c r="B9039" s="139" t="s">
        <v>20984</v>
      </c>
      <c r="C9039" s="139" t="s">
        <v>20948</v>
      </c>
      <c r="D9039" s="139" t="s">
        <v>20987</v>
      </c>
    </row>
    <row r="9040" spans="1:4" x14ac:dyDescent="0.25">
      <c r="A9040" s="139" t="s">
        <v>20988</v>
      </c>
      <c r="B9040" s="139" t="s">
        <v>20989</v>
      </c>
      <c r="C9040" s="139" t="s">
        <v>20948</v>
      </c>
      <c r="D9040" s="139" t="s">
        <v>20990</v>
      </c>
    </row>
    <row r="9041" spans="1:4" x14ac:dyDescent="0.25">
      <c r="A9041" s="139" t="s">
        <v>20991</v>
      </c>
      <c r="B9041" s="139" t="s">
        <v>20989</v>
      </c>
      <c r="C9041" s="139" t="s">
        <v>20948</v>
      </c>
      <c r="D9041" s="139" t="s">
        <v>20992</v>
      </c>
    </row>
    <row r="9042" spans="1:4" x14ac:dyDescent="0.25">
      <c r="A9042" s="139" t="s">
        <v>20993</v>
      </c>
      <c r="B9042" s="139" t="s">
        <v>20994</v>
      </c>
      <c r="C9042" s="139" t="s">
        <v>20948</v>
      </c>
      <c r="D9042" s="139" t="s">
        <v>20995</v>
      </c>
    </row>
    <row r="9043" spans="1:4" x14ac:dyDescent="0.25">
      <c r="A9043" s="139" t="s">
        <v>20996</v>
      </c>
      <c r="B9043" s="139" t="s">
        <v>20997</v>
      </c>
      <c r="C9043" s="139" t="s">
        <v>20948</v>
      </c>
      <c r="D9043" s="139" t="s">
        <v>20998</v>
      </c>
    </row>
    <row r="9044" spans="1:4" x14ac:dyDescent="0.25">
      <c r="A9044" s="139" t="s">
        <v>20999</v>
      </c>
      <c r="B9044" s="139" t="s">
        <v>21000</v>
      </c>
      <c r="C9044" s="139" t="s">
        <v>20948</v>
      </c>
      <c r="D9044" s="139" t="s">
        <v>21001</v>
      </c>
    </row>
    <row r="9045" spans="1:4" x14ac:dyDescent="0.25">
      <c r="A9045" s="139" t="s">
        <v>21002</v>
      </c>
      <c r="B9045" s="139" t="s">
        <v>21003</v>
      </c>
      <c r="C9045" s="139" t="s">
        <v>20948</v>
      </c>
      <c r="D9045" s="139" t="s">
        <v>21004</v>
      </c>
    </row>
    <row r="9046" spans="1:4" x14ac:dyDescent="0.25">
      <c r="A9046" s="139" t="s">
        <v>21005</v>
      </c>
      <c r="B9046" s="139" t="s">
        <v>21006</v>
      </c>
      <c r="C9046" s="139" t="s">
        <v>20948</v>
      </c>
      <c r="D9046" s="139" t="s">
        <v>21007</v>
      </c>
    </row>
    <row r="9047" spans="1:4" x14ac:dyDescent="0.25">
      <c r="A9047" s="139" t="s">
        <v>21008</v>
      </c>
      <c r="B9047" s="139" t="s">
        <v>21009</v>
      </c>
      <c r="C9047" s="139" t="s">
        <v>20948</v>
      </c>
      <c r="D9047" s="139" t="s">
        <v>21010</v>
      </c>
    </row>
    <row r="9048" spans="1:4" x14ac:dyDescent="0.25">
      <c r="A9048" s="139" t="s">
        <v>21011</v>
      </c>
      <c r="B9048" s="139" t="s">
        <v>21012</v>
      </c>
      <c r="C9048" s="139" t="s">
        <v>20948</v>
      </c>
      <c r="D9048" s="139" t="s">
        <v>21013</v>
      </c>
    </row>
    <row r="9049" spans="1:4" x14ac:dyDescent="0.25">
      <c r="A9049" s="139" t="s">
        <v>21014</v>
      </c>
      <c r="B9049" s="139" t="s">
        <v>21015</v>
      </c>
      <c r="C9049" s="139" t="s">
        <v>20948</v>
      </c>
      <c r="D9049" s="139" t="s">
        <v>21016</v>
      </c>
    </row>
    <row r="9050" spans="1:4" x14ac:dyDescent="0.25">
      <c r="A9050" s="139" t="s">
        <v>21017</v>
      </c>
      <c r="B9050" s="139" t="s">
        <v>20972</v>
      </c>
      <c r="C9050" s="139" t="s">
        <v>20948</v>
      </c>
      <c r="D9050" s="139" t="s">
        <v>21018</v>
      </c>
    </row>
    <row r="9051" spans="1:4" x14ac:dyDescent="0.25">
      <c r="A9051" s="139" t="s">
        <v>21019</v>
      </c>
      <c r="B9051" s="139" t="s">
        <v>20975</v>
      </c>
      <c r="C9051" s="139" t="s">
        <v>20948</v>
      </c>
      <c r="D9051" s="139" t="s">
        <v>21020</v>
      </c>
    </row>
    <row r="9052" spans="1:4" x14ac:dyDescent="0.25">
      <c r="A9052" s="139" t="s">
        <v>21021</v>
      </c>
      <c r="B9052" s="139" t="s">
        <v>20975</v>
      </c>
      <c r="C9052" s="139" t="s">
        <v>20948</v>
      </c>
      <c r="D9052" s="139" t="s">
        <v>21022</v>
      </c>
    </row>
    <row r="9053" spans="1:4" x14ac:dyDescent="0.25">
      <c r="A9053" s="139" t="s">
        <v>21023</v>
      </c>
      <c r="B9053" s="139" t="s">
        <v>20978</v>
      </c>
      <c r="C9053" s="139" t="s">
        <v>20948</v>
      </c>
      <c r="D9053" s="139" t="s">
        <v>21024</v>
      </c>
    </row>
    <row r="9054" spans="1:4" x14ac:dyDescent="0.25">
      <c r="A9054" s="139" t="s">
        <v>21025</v>
      </c>
      <c r="B9054" s="139" t="s">
        <v>20978</v>
      </c>
      <c r="C9054" s="139" t="s">
        <v>20948</v>
      </c>
      <c r="D9054" s="139" t="s">
        <v>21026</v>
      </c>
    </row>
    <row r="9055" spans="1:4" x14ac:dyDescent="0.25">
      <c r="A9055" s="139" t="s">
        <v>21027</v>
      </c>
      <c r="B9055" s="139" t="s">
        <v>20981</v>
      </c>
      <c r="C9055" s="139" t="s">
        <v>20948</v>
      </c>
      <c r="D9055" s="139" t="s">
        <v>21028</v>
      </c>
    </row>
    <row r="9056" spans="1:4" x14ac:dyDescent="0.25">
      <c r="A9056" s="139" t="s">
        <v>21029</v>
      </c>
      <c r="B9056" s="139" t="s">
        <v>20981</v>
      </c>
      <c r="C9056" s="139" t="s">
        <v>20948</v>
      </c>
      <c r="D9056" s="139" t="s">
        <v>21030</v>
      </c>
    </row>
    <row r="9057" spans="1:4" x14ac:dyDescent="0.25">
      <c r="A9057" s="139" t="s">
        <v>21031</v>
      </c>
      <c r="B9057" s="139" t="s">
        <v>20984</v>
      </c>
      <c r="C9057" s="139" t="s">
        <v>20948</v>
      </c>
      <c r="D9057" s="139" t="s">
        <v>21032</v>
      </c>
    </row>
    <row r="9058" spans="1:4" x14ac:dyDescent="0.25">
      <c r="A9058" s="139" t="s">
        <v>21033</v>
      </c>
      <c r="B9058" s="139" t="s">
        <v>20984</v>
      </c>
      <c r="C9058" s="139" t="s">
        <v>20948</v>
      </c>
      <c r="D9058" s="139" t="s">
        <v>21034</v>
      </c>
    </row>
    <row r="9059" spans="1:4" x14ac:dyDescent="0.25">
      <c r="A9059" s="139" t="s">
        <v>21035</v>
      </c>
      <c r="B9059" s="139" t="s">
        <v>20989</v>
      </c>
      <c r="C9059" s="139" t="s">
        <v>20948</v>
      </c>
      <c r="D9059" s="139" t="s">
        <v>21036</v>
      </c>
    </row>
    <row r="9060" spans="1:4" x14ac:dyDescent="0.25">
      <c r="A9060" s="139" t="s">
        <v>21037</v>
      </c>
      <c r="B9060" s="139" t="s">
        <v>20989</v>
      </c>
      <c r="C9060" s="139" t="s">
        <v>20948</v>
      </c>
      <c r="D9060" s="139" t="s">
        <v>21038</v>
      </c>
    </row>
    <row r="9061" spans="1:4" x14ac:dyDescent="0.25">
      <c r="A9061" s="139" t="s">
        <v>21039</v>
      </c>
      <c r="B9061" s="139" t="s">
        <v>20994</v>
      </c>
      <c r="C9061" s="139" t="s">
        <v>20948</v>
      </c>
      <c r="D9061" s="139" t="s">
        <v>21040</v>
      </c>
    </row>
    <row r="9062" spans="1:4" x14ac:dyDescent="0.25">
      <c r="A9062" s="139" t="s">
        <v>21041</v>
      </c>
      <c r="B9062" s="139" t="s">
        <v>20997</v>
      </c>
      <c r="C9062" s="139" t="s">
        <v>20948</v>
      </c>
      <c r="D9062" s="139" t="s">
        <v>21042</v>
      </c>
    </row>
    <row r="9063" spans="1:4" x14ac:dyDescent="0.25">
      <c r="A9063" s="139" t="s">
        <v>21043</v>
      </c>
      <c r="B9063" s="139" t="s">
        <v>20997</v>
      </c>
      <c r="C9063" s="139" t="s">
        <v>20948</v>
      </c>
      <c r="D9063" s="139" t="s">
        <v>21044</v>
      </c>
    </row>
    <row r="9064" spans="1:4" x14ac:dyDescent="0.25">
      <c r="A9064" s="139" t="s">
        <v>21045</v>
      </c>
      <c r="B9064" s="139" t="s">
        <v>21000</v>
      </c>
      <c r="C9064" s="139" t="s">
        <v>20948</v>
      </c>
      <c r="D9064" s="139" t="s">
        <v>21046</v>
      </c>
    </row>
    <row r="9065" spans="1:4" x14ac:dyDescent="0.25">
      <c r="A9065" s="139" t="s">
        <v>21047</v>
      </c>
      <c r="B9065" s="139" t="s">
        <v>21003</v>
      </c>
      <c r="C9065" s="139" t="s">
        <v>20948</v>
      </c>
      <c r="D9065" s="139" t="s">
        <v>21048</v>
      </c>
    </row>
    <row r="9066" spans="1:4" x14ac:dyDescent="0.25">
      <c r="A9066" s="139" t="s">
        <v>21049</v>
      </c>
      <c r="B9066" s="139" t="s">
        <v>21006</v>
      </c>
      <c r="C9066" s="139" t="s">
        <v>20948</v>
      </c>
      <c r="D9066" s="139" t="s">
        <v>21050</v>
      </c>
    </row>
    <row r="9067" spans="1:4" x14ac:dyDescent="0.25">
      <c r="A9067" s="139" t="s">
        <v>21051</v>
      </c>
      <c r="B9067" s="139" t="s">
        <v>21009</v>
      </c>
      <c r="C9067" s="139" t="s">
        <v>20948</v>
      </c>
      <c r="D9067" s="139" t="s">
        <v>21052</v>
      </c>
    </row>
    <row r="9068" spans="1:4" x14ac:dyDescent="0.25">
      <c r="A9068" s="139" t="s">
        <v>21053</v>
      </c>
      <c r="B9068" s="139" t="s">
        <v>19716</v>
      </c>
      <c r="C9068" s="139" t="s">
        <v>20948</v>
      </c>
      <c r="D9068" s="139" t="s">
        <v>21054</v>
      </c>
    </row>
    <row r="9069" spans="1:4" x14ac:dyDescent="0.25">
      <c r="A9069" s="139" t="s">
        <v>21055</v>
      </c>
      <c r="B9069" s="139" t="s">
        <v>19716</v>
      </c>
      <c r="C9069" s="139" t="s">
        <v>20948</v>
      </c>
      <c r="D9069" s="139" t="s">
        <v>21056</v>
      </c>
    </row>
    <row r="9070" spans="1:4" x14ac:dyDescent="0.25">
      <c r="A9070" s="139" t="s">
        <v>21057</v>
      </c>
      <c r="B9070" s="139" t="s">
        <v>19716</v>
      </c>
      <c r="C9070" s="139" t="s">
        <v>20948</v>
      </c>
      <c r="D9070" s="139" t="s">
        <v>21058</v>
      </c>
    </row>
    <row r="9071" spans="1:4" x14ac:dyDescent="0.25">
      <c r="A9071" s="139" t="s">
        <v>21059</v>
      </c>
      <c r="B9071" s="139" t="s">
        <v>19716</v>
      </c>
      <c r="C9071" s="139" t="s">
        <v>20948</v>
      </c>
      <c r="D9071" s="139" t="s">
        <v>21060</v>
      </c>
    </row>
    <row r="9072" spans="1:4" x14ac:dyDescent="0.25">
      <c r="A9072" s="139" t="s">
        <v>21061</v>
      </c>
      <c r="B9072" s="139" t="s">
        <v>19716</v>
      </c>
      <c r="C9072" s="139" t="s">
        <v>20948</v>
      </c>
      <c r="D9072" s="139" t="s">
        <v>21062</v>
      </c>
    </row>
    <row r="9073" spans="1:4" x14ac:dyDescent="0.25">
      <c r="A9073" s="139" t="s">
        <v>21063</v>
      </c>
      <c r="B9073" s="139" t="s">
        <v>19716</v>
      </c>
      <c r="C9073" s="139" t="s">
        <v>20948</v>
      </c>
      <c r="D9073" s="139" t="s">
        <v>21064</v>
      </c>
    </row>
    <row r="9074" spans="1:4" x14ac:dyDescent="0.25">
      <c r="A9074" s="139" t="s">
        <v>21065</v>
      </c>
      <c r="B9074" s="139" t="s">
        <v>19716</v>
      </c>
      <c r="C9074" s="139" t="s">
        <v>20948</v>
      </c>
      <c r="D9074" s="139" t="s">
        <v>21066</v>
      </c>
    </row>
    <row r="9075" spans="1:4" x14ac:dyDescent="0.25">
      <c r="A9075" s="139" t="s">
        <v>21067</v>
      </c>
      <c r="B9075" s="139" t="s">
        <v>19716</v>
      </c>
      <c r="C9075" s="139" t="s">
        <v>20948</v>
      </c>
      <c r="D9075" s="139" t="s">
        <v>21068</v>
      </c>
    </row>
    <row r="9076" spans="1:4" x14ac:dyDescent="0.25">
      <c r="A9076" s="139" t="s">
        <v>21069</v>
      </c>
      <c r="B9076" s="139" t="s">
        <v>19716</v>
      </c>
      <c r="C9076" s="139" t="s">
        <v>20948</v>
      </c>
      <c r="D9076" s="139" t="s">
        <v>21070</v>
      </c>
    </row>
    <row r="9077" spans="1:4" x14ac:dyDescent="0.25">
      <c r="A9077" s="139" t="s">
        <v>21071</v>
      </c>
      <c r="B9077" s="139" t="s">
        <v>19716</v>
      </c>
      <c r="C9077" s="139" t="s">
        <v>20948</v>
      </c>
      <c r="D9077" s="139" t="s">
        <v>21072</v>
      </c>
    </row>
    <row r="9078" spans="1:4" x14ac:dyDescent="0.25">
      <c r="A9078" s="139" t="s">
        <v>21073</v>
      </c>
      <c r="B9078" s="139" t="s">
        <v>19716</v>
      </c>
      <c r="C9078" s="139" t="s">
        <v>20948</v>
      </c>
      <c r="D9078" s="139" t="s">
        <v>21074</v>
      </c>
    </row>
    <row r="9079" spans="1:4" x14ac:dyDescent="0.25">
      <c r="A9079" s="139" t="s">
        <v>21075</v>
      </c>
      <c r="B9079" s="139" t="s">
        <v>19716</v>
      </c>
      <c r="C9079" s="139" t="s">
        <v>20948</v>
      </c>
      <c r="D9079" s="139" t="s">
        <v>21076</v>
      </c>
    </row>
    <row r="9080" spans="1:4" x14ac:dyDescent="0.25">
      <c r="A9080" s="139" t="s">
        <v>21077</v>
      </c>
      <c r="B9080" s="139" t="s">
        <v>19716</v>
      </c>
      <c r="C9080" s="139" t="s">
        <v>20948</v>
      </c>
      <c r="D9080" s="139" t="s">
        <v>21078</v>
      </c>
    </row>
    <row r="9081" spans="1:4" x14ac:dyDescent="0.25">
      <c r="A9081" s="139" t="s">
        <v>21079</v>
      </c>
      <c r="B9081" s="139" t="s">
        <v>19716</v>
      </c>
      <c r="C9081" s="139" t="s">
        <v>20948</v>
      </c>
      <c r="D9081" s="139" t="s">
        <v>21080</v>
      </c>
    </row>
    <row r="9082" spans="1:4" x14ac:dyDescent="0.25">
      <c r="A9082" s="139" t="s">
        <v>21081</v>
      </c>
      <c r="B9082" s="139" t="s">
        <v>19716</v>
      </c>
      <c r="C9082" s="139" t="s">
        <v>20948</v>
      </c>
      <c r="D9082" s="139" t="s">
        <v>21082</v>
      </c>
    </row>
    <row r="9083" spans="1:4" x14ac:dyDescent="0.25">
      <c r="A9083" s="139" t="s">
        <v>21083</v>
      </c>
      <c r="B9083" s="139" t="s">
        <v>19716</v>
      </c>
      <c r="C9083" s="139" t="s">
        <v>20948</v>
      </c>
      <c r="D9083" s="139" t="s">
        <v>21084</v>
      </c>
    </row>
    <row r="9084" spans="1:4" x14ac:dyDescent="0.25">
      <c r="A9084" s="139" t="s">
        <v>21085</v>
      </c>
      <c r="B9084" s="139" t="s">
        <v>19716</v>
      </c>
      <c r="C9084" s="139" t="s">
        <v>20948</v>
      </c>
      <c r="D9084" s="139" t="s">
        <v>21086</v>
      </c>
    </row>
    <row r="9085" spans="1:4" x14ac:dyDescent="0.25">
      <c r="A9085" s="139" t="s">
        <v>21087</v>
      </c>
      <c r="B9085" s="139" t="s">
        <v>19716</v>
      </c>
      <c r="C9085" s="139" t="s">
        <v>20948</v>
      </c>
      <c r="D9085" s="139" t="s">
        <v>21088</v>
      </c>
    </row>
    <row r="9086" spans="1:4" x14ac:dyDescent="0.25">
      <c r="A9086" s="139" t="s">
        <v>21089</v>
      </c>
      <c r="B9086" s="139" t="s">
        <v>19716</v>
      </c>
      <c r="C9086" s="139" t="s">
        <v>20948</v>
      </c>
      <c r="D9086" s="139" t="s">
        <v>21090</v>
      </c>
    </row>
    <row r="9087" spans="1:4" x14ac:dyDescent="0.25">
      <c r="A9087" s="139" t="s">
        <v>21091</v>
      </c>
      <c r="B9087" s="139" t="s">
        <v>19716</v>
      </c>
      <c r="C9087" s="139" t="s">
        <v>20948</v>
      </c>
      <c r="D9087" s="139" t="s">
        <v>21092</v>
      </c>
    </row>
    <row r="9088" spans="1:4" x14ac:dyDescent="0.25">
      <c r="A9088" s="139" t="s">
        <v>21093</v>
      </c>
      <c r="B9088" s="139" t="s">
        <v>19716</v>
      </c>
      <c r="C9088" s="139" t="s">
        <v>20948</v>
      </c>
      <c r="D9088" s="139" t="s">
        <v>21094</v>
      </c>
    </row>
    <row r="9089" spans="1:4" x14ac:dyDescent="0.25">
      <c r="A9089" s="139" t="s">
        <v>21095</v>
      </c>
      <c r="B9089" s="139" t="s">
        <v>19716</v>
      </c>
      <c r="C9089" s="139" t="s">
        <v>20948</v>
      </c>
      <c r="D9089" s="139" t="s">
        <v>21096</v>
      </c>
    </row>
    <row r="9090" spans="1:4" x14ac:dyDescent="0.25">
      <c r="A9090" s="139" t="s">
        <v>21097</v>
      </c>
      <c r="B9090" s="139" t="s">
        <v>19716</v>
      </c>
      <c r="C9090" s="139" t="s">
        <v>20948</v>
      </c>
      <c r="D9090" s="139" t="s">
        <v>21098</v>
      </c>
    </row>
    <row r="9091" spans="1:4" x14ac:dyDescent="0.25">
      <c r="A9091" s="139" t="s">
        <v>21099</v>
      </c>
      <c r="B9091" s="139" t="s">
        <v>19716</v>
      </c>
      <c r="C9091" s="139" t="s">
        <v>20948</v>
      </c>
      <c r="D9091" s="139" t="s">
        <v>21100</v>
      </c>
    </row>
    <row r="9092" spans="1:4" x14ac:dyDescent="0.25">
      <c r="A9092" s="139" t="s">
        <v>21101</v>
      </c>
      <c r="B9092" s="139" t="s">
        <v>19716</v>
      </c>
      <c r="C9092" s="139" t="s">
        <v>20948</v>
      </c>
      <c r="D9092" s="139" t="s">
        <v>21102</v>
      </c>
    </row>
    <row r="9093" spans="1:4" x14ac:dyDescent="0.25">
      <c r="A9093" s="139" t="s">
        <v>21103</v>
      </c>
      <c r="B9093" s="139" t="s">
        <v>19716</v>
      </c>
      <c r="C9093" s="139" t="s">
        <v>20948</v>
      </c>
      <c r="D9093" s="139" t="s">
        <v>21104</v>
      </c>
    </row>
    <row r="9094" spans="1:4" x14ac:dyDescent="0.25">
      <c r="A9094" s="139" t="s">
        <v>21105</v>
      </c>
      <c r="B9094" s="139" t="s">
        <v>19716</v>
      </c>
      <c r="C9094" s="139" t="s">
        <v>20948</v>
      </c>
      <c r="D9094" s="139" t="s">
        <v>21106</v>
      </c>
    </row>
    <row r="9095" spans="1:4" x14ac:dyDescent="0.25">
      <c r="A9095" s="139" t="s">
        <v>21107</v>
      </c>
      <c r="B9095" s="139" t="s">
        <v>19716</v>
      </c>
      <c r="C9095" s="139" t="s">
        <v>20948</v>
      </c>
      <c r="D9095" s="139" t="s">
        <v>21108</v>
      </c>
    </row>
    <row r="9096" spans="1:4" x14ac:dyDescent="0.25">
      <c r="A9096" s="139" t="s">
        <v>21109</v>
      </c>
      <c r="B9096" s="139" t="s">
        <v>19716</v>
      </c>
      <c r="C9096" s="139" t="s">
        <v>20948</v>
      </c>
      <c r="D9096" s="139" t="s">
        <v>21110</v>
      </c>
    </row>
    <row r="9097" spans="1:4" x14ac:dyDescent="0.25">
      <c r="A9097" s="139" t="s">
        <v>21111</v>
      </c>
      <c r="B9097" s="139" t="s">
        <v>19716</v>
      </c>
      <c r="C9097" s="139" t="s">
        <v>20948</v>
      </c>
      <c r="D9097" s="139" t="s">
        <v>21112</v>
      </c>
    </row>
    <row r="9098" spans="1:4" x14ac:dyDescent="0.25">
      <c r="A9098" s="139" t="s">
        <v>21113</v>
      </c>
      <c r="B9098" s="139" t="s">
        <v>19716</v>
      </c>
      <c r="C9098" s="139" t="s">
        <v>20948</v>
      </c>
      <c r="D9098" s="139" t="s">
        <v>21114</v>
      </c>
    </row>
    <row r="9099" spans="1:4" x14ac:dyDescent="0.25">
      <c r="A9099" s="139" t="s">
        <v>21115</v>
      </c>
      <c r="B9099" s="139" t="s">
        <v>19716</v>
      </c>
      <c r="C9099" s="139" t="s">
        <v>20948</v>
      </c>
      <c r="D9099" s="139" t="s">
        <v>21116</v>
      </c>
    </row>
    <row r="9100" spans="1:4" x14ac:dyDescent="0.25">
      <c r="A9100" s="139" t="s">
        <v>21117</v>
      </c>
      <c r="B9100" s="139" t="s">
        <v>19716</v>
      </c>
      <c r="C9100" s="139" t="s">
        <v>20948</v>
      </c>
      <c r="D9100" s="139" t="s">
        <v>21118</v>
      </c>
    </row>
    <row r="9101" spans="1:4" x14ac:dyDescent="0.25">
      <c r="A9101" s="139" t="s">
        <v>21119</v>
      </c>
      <c r="B9101" s="139" t="s">
        <v>19716</v>
      </c>
      <c r="C9101" s="139" t="s">
        <v>20948</v>
      </c>
      <c r="D9101" s="139" t="s">
        <v>21120</v>
      </c>
    </row>
    <row r="9102" spans="1:4" x14ac:dyDescent="0.25">
      <c r="A9102" s="139" t="s">
        <v>21121</v>
      </c>
      <c r="B9102" s="139" t="s">
        <v>19716</v>
      </c>
      <c r="C9102" s="139" t="s">
        <v>20948</v>
      </c>
      <c r="D9102" s="139" t="s">
        <v>21122</v>
      </c>
    </row>
    <row r="9103" spans="1:4" x14ac:dyDescent="0.25">
      <c r="A9103" s="139" t="s">
        <v>21123</v>
      </c>
      <c r="B9103" s="139" t="s">
        <v>19716</v>
      </c>
      <c r="C9103" s="139" t="s">
        <v>20948</v>
      </c>
      <c r="D9103" s="139" t="s">
        <v>21124</v>
      </c>
    </row>
    <row r="9104" spans="1:4" x14ac:dyDescent="0.25">
      <c r="A9104" s="139" t="s">
        <v>21125</v>
      </c>
      <c r="B9104" s="139" t="s">
        <v>19716</v>
      </c>
      <c r="C9104" s="139" t="s">
        <v>20948</v>
      </c>
      <c r="D9104" s="139" t="s">
        <v>21126</v>
      </c>
    </row>
    <row r="9105" spans="1:4" x14ac:dyDescent="0.25">
      <c r="A9105" s="139" t="s">
        <v>21127</v>
      </c>
      <c r="B9105" s="139" t="s">
        <v>19716</v>
      </c>
      <c r="C9105" s="139" t="s">
        <v>20948</v>
      </c>
      <c r="D9105" s="139" t="s">
        <v>21128</v>
      </c>
    </row>
    <row r="9106" spans="1:4" x14ac:dyDescent="0.25">
      <c r="A9106" s="139" t="s">
        <v>21129</v>
      </c>
      <c r="B9106" s="139" t="s">
        <v>19716</v>
      </c>
      <c r="C9106" s="139" t="s">
        <v>20948</v>
      </c>
      <c r="D9106" s="139" t="s">
        <v>21130</v>
      </c>
    </row>
    <row r="9107" spans="1:4" x14ac:dyDescent="0.25">
      <c r="A9107" s="139" t="s">
        <v>21131</v>
      </c>
      <c r="B9107" s="139" t="s">
        <v>19716</v>
      </c>
      <c r="C9107" s="139" t="s">
        <v>20948</v>
      </c>
      <c r="D9107" s="139" t="s">
        <v>21132</v>
      </c>
    </row>
    <row r="9108" spans="1:4" x14ac:dyDescent="0.25">
      <c r="A9108" s="139" t="s">
        <v>21133</v>
      </c>
      <c r="B9108" s="139" t="s">
        <v>19716</v>
      </c>
      <c r="C9108" s="139" t="s">
        <v>20948</v>
      </c>
      <c r="D9108" s="139" t="s">
        <v>21134</v>
      </c>
    </row>
    <row r="9109" spans="1:4" x14ac:dyDescent="0.25">
      <c r="A9109" s="139" t="s">
        <v>21135</v>
      </c>
      <c r="B9109" s="139" t="s">
        <v>19716</v>
      </c>
      <c r="C9109" s="139" t="s">
        <v>20948</v>
      </c>
      <c r="D9109" s="139" t="s">
        <v>21136</v>
      </c>
    </row>
    <row r="9110" spans="1:4" x14ac:dyDescent="0.25">
      <c r="A9110" s="139" t="s">
        <v>21137</v>
      </c>
      <c r="B9110" s="139" t="s">
        <v>19716</v>
      </c>
      <c r="C9110" s="139" t="s">
        <v>20948</v>
      </c>
      <c r="D9110" s="139" t="s">
        <v>21138</v>
      </c>
    </row>
    <row r="9111" spans="1:4" x14ac:dyDescent="0.25">
      <c r="A9111" s="139" t="s">
        <v>21139</v>
      </c>
      <c r="B9111" s="139" t="s">
        <v>19716</v>
      </c>
      <c r="C9111" s="139" t="s">
        <v>20948</v>
      </c>
      <c r="D9111" s="139" t="s">
        <v>21140</v>
      </c>
    </row>
    <row r="9112" spans="1:4" x14ac:dyDescent="0.25">
      <c r="A9112" s="139" t="s">
        <v>21141</v>
      </c>
      <c r="B9112" s="139" t="s">
        <v>17662</v>
      </c>
      <c r="C9112" s="139" t="s">
        <v>65</v>
      </c>
      <c r="D9112" s="139" t="s">
        <v>21142</v>
      </c>
    </row>
    <row r="9113" spans="1:4" x14ac:dyDescent="0.25">
      <c r="A9113" s="139" t="s">
        <v>21143</v>
      </c>
      <c r="B9113" s="139" t="s">
        <v>17662</v>
      </c>
      <c r="C9113" s="139" t="s">
        <v>65</v>
      </c>
      <c r="D9113" s="139" t="s">
        <v>21144</v>
      </c>
    </row>
    <row r="9114" spans="1:4" x14ac:dyDescent="0.25">
      <c r="A9114" s="139" t="s">
        <v>21145</v>
      </c>
      <c r="B9114" s="139" t="s">
        <v>21146</v>
      </c>
      <c r="C9114" s="139" t="s">
        <v>65</v>
      </c>
      <c r="D9114" s="139" t="s">
        <v>21147</v>
      </c>
    </row>
    <row r="9115" spans="1:4" x14ac:dyDescent="0.25">
      <c r="A9115" s="139" t="s">
        <v>21148</v>
      </c>
      <c r="B9115" s="139" t="s">
        <v>21146</v>
      </c>
      <c r="C9115" s="139" t="s">
        <v>65</v>
      </c>
      <c r="D9115" s="139" t="s">
        <v>21149</v>
      </c>
    </row>
    <row r="9116" spans="1:4" x14ac:dyDescent="0.25">
      <c r="A9116" s="139" t="s">
        <v>21150</v>
      </c>
      <c r="B9116" s="139" t="s">
        <v>21151</v>
      </c>
      <c r="C9116" s="139" t="s">
        <v>65</v>
      </c>
      <c r="D9116" s="139" t="s">
        <v>21152</v>
      </c>
    </row>
    <row r="9117" spans="1:4" x14ac:dyDescent="0.25">
      <c r="A9117" s="139" t="s">
        <v>21153</v>
      </c>
      <c r="B9117" s="139" t="s">
        <v>21151</v>
      </c>
      <c r="C9117" s="139" t="s">
        <v>65</v>
      </c>
      <c r="D9117" s="139" t="s">
        <v>21154</v>
      </c>
    </row>
    <row r="9118" spans="1:4" x14ac:dyDescent="0.25">
      <c r="A9118" s="139" t="s">
        <v>21155</v>
      </c>
      <c r="B9118" s="139" t="s">
        <v>20098</v>
      </c>
      <c r="C9118" s="139" t="s">
        <v>33</v>
      </c>
      <c r="D9118" s="139" t="s">
        <v>21156</v>
      </c>
    </row>
    <row r="9119" spans="1:4" x14ac:dyDescent="0.25">
      <c r="A9119" s="139" t="s">
        <v>21157</v>
      </c>
      <c r="B9119" s="139" t="s">
        <v>20098</v>
      </c>
      <c r="C9119" s="139" t="s">
        <v>33</v>
      </c>
      <c r="D9119" s="139" t="s">
        <v>21158</v>
      </c>
    </row>
    <row r="9120" spans="1:4" x14ac:dyDescent="0.25">
      <c r="A9120" s="139" t="s">
        <v>21159</v>
      </c>
      <c r="B9120" s="139" t="s">
        <v>17120</v>
      </c>
      <c r="C9120" s="139" t="s">
        <v>33</v>
      </c>
      <c r="D9120" s="139" t="s">
        <v>21160</v>
      </c>
    </row>
    <row r="9121" spans="1:4" x14ac:dyDescent="0.25">
      <c r="A9121" s="139" t="s">
        <v>21161</v>
      </c>
      <c r="B9121" s="139" t="s">
        <v>17120</v>
      </c>
      <c r="C9121" s="139" t="s">
        <v>33</v>
      </c>
      <c r="D9121" s="139" t="s">
        <v>21162</v>
      </c>
    </row>
    <row r="9122" spans="1:4" x14ac:dyDescent="0.25">
      <c r="A9122" s="139" t="s">
        <v>21163</v>
      </c>
      <c r="B9122" s="139" t="s">
        <v>11193</v>
      </c>
      <c r="C9122" s="139" t="s">
        <v>33</v>
      </c>
      <c r="D9122" s="139" t="s">
        <v>21164</v>
      </c>
    </row>
    <row r="9123" spans="1:4" x14ac:dyDescent="0.25">
      <c r="A9123" s="139" t="s">
        <v>21165</v>
      </c>
      <c r="B9123" s="139" t="s">
        <v>11193</v>
      </c>
      <c r="C9123" s="139" t="s">
        <v>33</v>
      </c>
      <c r="D9123" s="139" t="s">
        <v>21166</v>
      </c>
    </row>
    <row r="9124" spans="1:4" x14ac:dyDescent="0.25">
      <c r="A9124" s="139" t="s">
        <v>21167</v>
      </c>
      <c r="B9124" s="139" t="s">
        <v>21168</v>
      </c>
      <c r="C9124" s="139" t="s">
        <v>65</v>
      </c>
      <c r="D9124" s="139" t="s">
        <v>21169</v>
      </c>
    </row>
    <row r="9125" spans="1:4" x14ac:dyDescent="0.25">
      <c r="A9125" s="139" t="s">
        <v>21170</v>
      </c>
      <c r="B9125" s="139" t="s">
        <v>21168</v>
      </c>
      <c r="C9125" s="139" t="s">
        <v>65</v>
      </c>
      <c r="D9125" s="139" t="s">
        <v>21171</v>
      </c>
    </row>
    <row r="9126" spans="1:4" x14ac:dyDescent="0.25">
      <c r="A9126" s="139" t="s">
        <v>21172</v>
      </c>
      <c r="B9126" s="139" t="s">
        <v>5835</v>
      </c>
      <c r="C9126" s="139" t="s">
        <v>65</v>
      </c>
      <c r="D9126" s="139" t="s">
        <v>21173</v>
      </c>
    </row>
    <row r="9127" spans="1:4" x14ac:dyDescent="0.25">
      <c r="A9127" s="139" t="s">
        <v>21174</v>
      </c>
      <c r="B9127" s="139" t="s">
        <v>5835</v>
      </c>
      <c r="C9127" s="139" t="s">
        <v>65</v>
      </c>
      <c r="D9127" s="139" t="s">
        <v>21175</v>
      </c>
    </row>
    <row r="9128" spans="1:4" x14ac:dyDescent="0.25">
      <c r="A9128" s="139" t="s">
        <v>21176</v>
      </c>
      <c r="B9128" s="139" t="s">
        <v>21177</v>
      </c>
      <c r="C9128" s="139" t="s">
        <v>33</v>
      </c>
      <c r="D9128" s="139" t="s">
        <v>21178</v>
      </c>
    </row>
    <row r="9129" spans="1:4" x14ac:dyDescent="0.25">
      <c r="A9129" s="139" t="s">
        <v>21179</v>
      </c>
      <c r="B9129" s="139" t="s">
        <v>21177</v>
      </c>
      <c r="C9129" s="139" t="s">
        <v>33</v>
      </c>
      <c r="D9129" s="139" t="s">
        <v>21180</v>
      </c>
    </row>
    <row r="9130" spans="1:4" x14ac:dyDescent="0.25">
      <c r="A9130" s="139" t="s">
        <v>21181</v>
      </c>
      <c r="B9130" s="139" t="s">
        <v>21182</v>
      </c>
      <c r="C9130" s="139" t="s">
        <v>33</v>
      </c>
      <c r="D9130" s="139" t="s">
        <v>21183</v>
      </c>
    </row>
    <row r="9131" spans="1:4" x14ac:dyDescent="0.25">
      <c r="A9131" s="139" t="s">
        <v>21184</v>
      </c>
      <c r="B9131" s="139" t="s">
        <v>21182</v>
      </c>
      <c r="C9131" s="139" t="s">
        <v>33</v>
      </c>
      <c r="D9131" s="139" t="s">
        <v>21185</v>
      </c>
    </row>
    <row r="9132" spans="1:4" x14ac:dyDescent="0.25">
      <c r="A9132" s="139" t="s">
        <v>21186</v>
      </c>
      <c r="B9132" s="139" t="s">
        <v>21187</v>
      </c>
      <c r="C9132" s="139" t="s">
        <v>33</v>
      </c>
      <c r="D9132" s="139" t="s">
        <v>21188</v>
      </c>
    </row>
    <row r="9133" spans="1:4" x14ac:dyDescent="0.25">
      <c r="A9133" s="139" t="s">
        <v>21189</v>
      </c>
      <c r="B9133" s="139" t="s">
        <v>21187</v>
      </c>
      <c r="C9133" s="139" t="s">
        <v>33</v>
      </c>
      <c r="D9133" s="139" t="s">
        <v>21190</v>
      </c>
    </row>
    <row r="9134" spans="1:4" x14ac:dyDescent="0.25">
      <c r="A9134" s="139" t="s">
        <v>21191</v>
      </c>
      <c r="B9134" s="139" t="s">
        <v>21192</v>
      </c>
      <c r="C9134" s="139" t="s">
        <v>33</v>
      </c>
      <c r="D9134" s="139" t="s">
        <v>21193</v>
      </c>
    </row>
    <row r="9135" spans="1:4" x14ac:dyDescent="0.25">
      <c r="A9135" s="139" t="s">
        <v>21194</v>
      </c>
      <c r="B9135" s="139" t="s">
        <v>21192</v>
      </c>
      <c r="C9135" s="139" t="s">
        <v>33</v>
      </c>
      <c r="D9135" s="139" t="s">
        <v>21195</v>
      </c>
    </row>
    <row r="9136" spans="1:4" x14ac:dyDescent="0.25">
      <c r="A9136" s="139" t="s">
        <v>21196</v>
      </c>
      <c r="B9136" s="139" t="s">
        <v>21197</v>
      </c>
      <c r="C9136" s="139" t="s">
        <v>33</v>
      </c>
      <c r="D9136" s="139" t="s">
        <v>21198</v>
      </c>
    </row>
    <row r="9137" spans="1:4" x14ac:dyDescent="0.25">
      <c r="A9137" s="139" t="s">
        <v>21199</v>
      </c>
      <c r="B9137" s="139" t="s">
        <v>21197</v>
      </c>
      <c r="C9137" s="139" t="s">
        <v>33</v>
      </c>
      <c r="D9137" s="139" t="s">
        <v>21200</v>
      </c>
    </row>
    <row r="9138" spans="1:4" x14ac:dyDescent="0.25">
      <c r="A9138" s="139" t="s">
        <v>21201</v>
      </c>
      <c r="B9138" s="139" t="s">
        <v>11094</v>
      </c>
      <c r="C9138" s="139" t="s">
        <v>33</v>
      </c>
      <c r="D9138" s="139" t="s">
        <v>21202</v>
      </c>
    </row>
    <row r="9139" spans="1:4" x14ac:dyDescent="0.25">
      <c r="A9139" s="139" t="s">
        <v>21203</v>
      </c>
      <c r="B9139" s="139" t="s">
        <v>11094</v>
      </c>
      <c r="C9139" s="139" t="s">
        <v>33</v>
      </c>
      <c r="D9139" s="139" t="s">
        <v>21204</v>
      </c>
    </row>
    <row r="9140" spans="1:4" x14ac:dyDescent="0.25">
      <c r="A9140" s="139" t="s">
        <v>21205</v>
      </c>
      <c r="B9140" s="139" t="s">
        <v>13278</v>
      </c>
      <c r="C9140" s="139" t="s">
        <v>33</v>
      </c>
      <c r="D9140" s="139" t="s">
        <v>21206</v>
      </c>
    </row>
    <row r="9141" spans="1:4" x14ac:dyDescent="0.25">
      <c r="A9141" s="139" t="s">
        <v>21207</v>
      </c>
      <c r="B9141" s="139" t="s">
        <v>13278</v>
      </c>
      <c r="C9141" s="139" t="s">
        <v>33</v>
      </c>
      <c r="D9141" s="139" t="s">
        <v>21208</v>
      </c>
    </row>
    <row r="9142" spans="1:4" x14ac:dyDescent="0.25">
      <c r="A9142" s="139" t="s">
        <v>21209</v>
      </c>
      <c r="B9142" s="139" t="s">
        <v>21210</v>
      </c>
      <c r="C9142" s="139" t="s">
        <v>33</v>
      </c>
      <c r="D9142" s="139" t="s">
        <v>21211</v>
      </c>
    </row>
    <row r="9143" spans="1:4" x14ac:dyDescent="0.25">
      <c r="A9143" s="139" t="s">
        <v>21212</v>
      </c>
      <c r="B9143" s="139" t="s">
        <v>21210</v>
      </c>
      <c r="C9143" s="139" t="s">
        <v>33</v>
      </c>
      <c r="D9143" s="139" t="s">
        <v>21213</v>
      </c>
    </row>
    <row r="9144" spans="1:4" x14ac:dyDescent="0.25">
      <c r="A9144" s="139" t="s">
        <v>21214</v>
      </c>
      <c r="B9144" s="139" t="s">
        <v>21215</v>
      </c>
      <c r="C9144" s="139" t="s">
        <v>33</v>
      </c>
      <c r="D9144" s="139" t="s">
        <v>21216</v>
      </c>
    </row>
    <row r="9145" spans="1:4" x14ac:dyDescent="0.25">
      <c r="A9145" s="139" t="s">
        <v>21217</v>
      </c>
      <c r="B9145" s="139" t="s">
        <v>21215</v>
      </c>
      <c r="C9145" s="139" t="s">
        <v>33</v>
      </c>
      <c r="D9145" s="139" t="s">
        <v>21218</v>
      </c>
    </row>
    <row r="9146" spans="1:4" x14ac:dyDescent="0.25">
      <c r="A9146" s="139" t="s">
        <v>21219</v>
      </c>
      <c r="B9146" s="139" t="s">
        <v>2208</v>
      </c>
      <c r="C9146" s="139" t="s">
        <v>65</v>
      </c>
      <c r="D9146" s="139" t="s">
        <v>21220</v>
      </c>
    </row>
    <row r="9147" spans="1:4" x14ac:dyDescent="0.25">
      <c r="A9147" s="139" t="s">
        <v>21219</v>
      </c>
      <c r="B9147" s="139" t="s">
        <v>2208</v>
      </c>
      <c r="C9147" s="139" t="s">
        <v>65</v>
      </c>
      <c r="D9147" s="139" t="s">
        <v>21221</v>
      </c>
    </row>
    <row r="9148" spans="1:4" x14ac:dyDescent="0.25">
      <c r="A9148" s="139" t="s">
        <v>21222</v>
      </c>
      <c r="B9148" s="139" t="s">
        <v>5909</v>
      </c>
      <c r="C9148" s="139" t="s">
        <v>65</v>
      </c>
      <c r="D9148" s="139" t="s">
        <v>21223</v>
      </c>
    </row>
    <row r="9149" spans="1:4" x14ac:dyDescent="0.25">
      <c r="A9149" s="139" t="s">
        <v>21224</v>
      </c>
      <c r="B9149" s="139" t="s">
        <v>5909</v>
      </c>
      <c r="C9149" s="139" t="s">
        <v>65</v>
      </c>
      <c r="D9149" s="139" t="s">
        <v>21225</v>
      </c>
    </row>
    <row r="9150" spans="1:4" x14ac:dyDescent="0.25">
      <c r="A9150" s="139" t="s">
        <v>21226</v>
      </c>
      <c r="B9150" s="139" t="s">
        <v>21227</v>
      </c>
      <c r="C9150" s="139" t="s">
        <v>65</v>
      </c>
      <c r="D9150" s="139" t="s">
        <v>21228</v>
      </c>
    </row>
    <row r="9151" spans="1:4" x14ac:dyDescent="0.25">
      <c r="A9151" s="139" t="s">
        <v>21229</v>
      </c>
      <c r="B9151" s="139" t="s">
        <v>21227</v>
      </c>
      <c r="C9151" s="139" t="s">
        <v>65</v>
      </c>
      <c r="D9151" s="139" t="s">
        <v>21230</v>
      </c>
    </row>
    <row r="9152" spans="1:4" x14ac:dyDescent="0.25">
      <c r="A9152" s="139" t="s">
        <v>21231</v>
      </c>
      <c r="B9152" s="139" t="s">
        <v>3368</v>
      </c>
      <c r="C9152" s="139" t="s">
        <v>65</v>
      </c>
      <c r="D9152" s="139" t="s">
        <v>21232</v>
      </c>
    </row>
    <row r="9153" spans="1:4" x14ac:dyDescent="0.25">
      <c r="A9153" s="139" t="s">
        <v>21233</v>
      </c>
      <c r="B9153" s="139" t="s">
        <v>3368</v>
      </c>
      <c r="C9153" s="139" t="s">
        <v>65</v>
      </c>
      <c r="D9153" s="139" t="s">
        <v>21234</v>
      </c>
    </row>
    <row r="9154" spans="1:4" x14ac:dyDescent="0.25">
      <c r="A9154" s="139" t="s">
        <v>21235</v>
      </c>
      <c r="B9154" s="139" t="s">
        <v>3365</v>
      </c>
      <c r="C9154" s="139" t="s">
        <v>65</v>
      </c>
      <c r="D9154" s="139" t="s">
        <v>21236</v>
      </c>
    </row>
    <row r="9155" spans="1:4" x14ac:dyDescent="0.25">
      <c r="A9155" s="139" t="s">
        <v>21237</v>
      </c>
      <c r="B9155" s="139" t="s">
        <v>3365</v>
      </c>
      <c r="C9155" s="139" t="s">
        <v>65</v>
      </c>
      <c r="D9155" s="139" t="s">
        <v>21238</v>
      </c>
    </row>
    <row r="9156" spans="1:4" x14ac:dyDescent="0.25">
      <c r="A9156" s="139" t="s">
        <v>21239</v>
      </c>
      <c r="B9156" s="139" t="s">
        <v>21240</v>
      </c>
      <c r="C9156" s="139" t="s">
        <v>65</v>
      </c>
      <c r="D9156" s="139" t="s">
        <v>21241</v>
      </c>
    </row>
    <row r="9157" spans="1:4" x14ac:dyDescent="0.25">
      <c r="A9157" s="139" t="s">
        <v>21242</v>
      </c>
      <c r="B9157" s="139" t="s">
        <v>21240</v>
      </c>
      <c r="C9157" s="139" t="s">
        <v>65</v>
      </c>
      <c r="D9157" s="139" t="s">
        <v>21243</v>
      </c>
    </row>
    <row r="9158" spans="1:4" x14ac:dyDescent="0.25">
      <c r="A9158" s="139" t="s">
        <v>21244</v>
      </c>
      <c r="B9158" s="139" t="s">
        <v>21245</v>
      </c>
      <c r="C9158" s="139" t="s">
        <v>65</v>
      </c>
      <c r="D9158" s="139" t="s">
        <v>21246</v>
      </c>
    </row>
    <row r="9159" spans="1:4" x14ac:dyDescent="0.25">
      <c r="A9159" s="139" t="s">
        <v>21247</v>
      </c>
      <c r="B9159" s="139" t="s">
        <v>21245</v>
      </c>
      <c r="C9159" s="139" t="s">
        <v>65</v>
      </c>
      <c r="D9159" s="139" t="s">
        <v>21248</v>
      </c>
    </row>
    <row r="9160" spans="1:4" x14ac:dyDescent="0.25">
      <c r="A9160" s="139" t="s">
        <v>21249</v>
      </c>
      <c r="B9160" s="139" t="s">
        <v>21250</v>
      </c>
      <c r="C9160" s="139" t="s">
        <v>65</v>
      </c>
      <c r="D9160" s="139" t="s">
        <v>21251</v>
      </c>
    </row>
    <row r="9161" spans="1:4" x14ac:dyDescent="0.25">
      <c r="A9161" s="139" t="s">
        <v>21252</v>
      </c>
      <c r="B9161" s="139" t="s">
        <v>21250</v>
      </c>
      <c r="C9161" s="139" t="s">
        <v>65</v>
      </c>
      <c r="D9161" s="139" t="s">
        <v>21253</v>
      </c>
    </row>
    <row r="9162" spans="1:4" x14ac:dyDescent="0.25">
      <c r="A9162" s="139" t="s">
        <v>21254</v>
      </c>
      <c r="B9162" s="139" t="s">
        <v>7026</v>
      </c>
      <c r="C9162" s="139" t="s">
        <v>65</v>
      </c>
      <c r="D9162" s="139" t="s">
        <v>21255</v>
      </c>
    </row>
    <row r="9163" spans="1:4" x14ac:dyDescent="0.25">
      <c r="A9163" s="139" t="s">
        <v>21256</v>
      </c>
      <c r="B9163" s="139" t="s">
        <v>7026</v>
      </c>
      <c r="C9163" s="139" t="s">
        <v>65</v>
      </c>
      <c r="D9163" s="139" t="s">
        <v>21257</v>
      </c>
    </row>
    <row r="9164" spans="1:4" x14ac:dyDescent="0.25">
      <c r="A9164" s="139" t="s">
        <v>21258</v>
      </c>
      <c r="B9164" s="139" t="s">
        <v>2198</v>
      </c>
      <c r="C9164" s="139" t="s">
        <v>316</v>
      </c>
      <c r="D9164" s="139" t="s">
        <v>21259</v>
      </c>
    </row>
    <row r="9165" spans="1:4" x14ac:dyDescent="0.25">
      <c r="A9165" s="139" t="s">
        <v>21260</v>
      </c>
      <c r="B9165" s="139" t="s">
        <v>2198</v>
      </c>
      <c r="C9165" s="139" t="s">
        <v>316</v>
      </c>
      <c r="D9165" s="139" t="s">
        <v>21261</v>
      </c>
    </row>
    <row r="9166" spans="1:4" x14ac:dyDescent="0.25">
      <c r="A9166" s="139" t="s">
        <v>21262</v>
      </c>
      <c r="B9166" s="139" t="s">
        <v>19123</v>
      </c>
      <c r="C9166" s="139" t="s">
        <v>316</v>
      </c>
      <c r="D9166" s="139" t="s">
        <v>21263</v>
      </c>
    </row>
    <row r="9167" spans="1:4" x14ac:dyDescent="0.25">
      <c r="A9167" s="139" t="s">
        <v>21264</v>
      </c>
      <c r="B9167" s="139" t="s">
        <v>19123</v>
      </c>
      <c r="C9167" s="139" t="s">
        <v>316</v>
      </c>
      <c r="D9167" s="139" t="s">
        <v>21265</v>
      </c>
    </row>
    <row r="9168" spans="1:4" x14ac:dyDescent="0.25">
      <c r="A9168" s="139" t="s">
        <v>21266</v>
      </c>
      <c r="B9168" s="139" t="s">
        <v>13376</v>
      </c>
      <c r="C9168" s="139" t="s">
        <v>316</v>
      </c>
      <c r="D9168" s="139" t="s">
        <v>21267</v>
      </c>
    </row>
    <row r="9169" spans="1:4" x14ac:dyDescent="0.25">
      <c r="A9169" s="139" t="s">
        <v>21268</v>
      </c>
      <c r="B9169" s="139" t="s">
        <v>13376</v>
      </c>
      <c r="C9169" s="139" t="s">
        <v>316</v>
      </c>
      <c r="D9169" s="139" t="s">
        <v>21269</v>
      </c>
    </row>
    <row r="9170" spans="1:4" x14ac:dyDescent="0.25">
      <c r="A9170" s="139" t="s">
        <v>21270</v>
      </c>
      <c r="B9170" s="139" t="s">
        <v>13371</v>
      </c>
      <c r="C9170" s="139" t="s">
        <v>316</v>
      </c>
      <c r="D9170" s="139" t="s">
        <v>21271</v>
      </c>
    </row>
    <row r="9171" spans="1:4" x14ac:dyDescent="0.25">
      <c r="A9171" s="139" t="s">
        <v>21272</v>
      </c>
      <c r="B9171" s="139" t="s">
        <v>13371</v>
      </c>
      <c r="C9171" s="139" t="s">
        <v>316</v>
      </c>
      <c r="D9171" s="139" t="s">
        <v>21273</v>
      </c>
    </row>
    <row r="9172" spans="1:4" x14ac:dyDescent="0.25">
      <c r="A9172" s="139" t="s">
        <v>21274</v>
      </c>
      <c r="B9172" s="139" t="s">
        <v>18921</v>
      </c>
      <c r="C9172" s="139" t="s">
        <v>316</v>
      </c>
      <c r="D9172" s="139" t="s">
        <v>21275</v>
      </c>
    </row>
    <row r="9173" spans="1:4" x14ac:dyDescent="0.25">
      <c r="A9173" s="139" t="s">
        <v>21276</v>
      </c>
      <c r="B9173" s="139" t="s">
        <v>18921</v>
      </c>
      <c r="C9173" s="139" t="s">
        <v>316</v>
      </c>
      <c r="D9173" s="139" t="s">
        <v>21277</v>
      </c>
    </row>
    <row r="9174" spans="1:4" x14ac:dyDescent="0.25">
      <c r="A9174" s="139" t="s">
        <v>21278</v>
      </c>
      <c r="B9174" s="139" t="s">
        <v>19636</v>
      </c>
      <c r="C9174" s="139" t="s">
        <v>316</v>
      </c>
      <c r="D9174" s="139" t="s">
        <v>21279</v>
      </c>
    </row>
    <row r="9175" spans="1:4" x14ac:dyDescent="0.25">
      <c r="A9175" s="139" t="s">
        <v>21280</v>
      </c>
      <c r="B9175" s="139" t="s">
        <v>19636</v>
      </c>
      <c r="C9175" s="139" t="s">
        <v>316</v>
      </c>
      <c r="D9175" s="139" t="s">
        <v>21281</v>
      </c>
    </row>
    <row r="9176" spans="1:4" x14ac:dyDescent="0.25">
      <c r="A9176" s="139" t="s">
        <v>21282</v>
      </c>
      <c r="B9176" s="139" t="s">
        <v>21283</v>
      </c>
      <c r="C9176" s="139" t="s">
        <v>316</v>
      </c>
      <c r="D9176" s="139" t="s">
        <v>21284</v>
      </c>
    </row>
    <row r="9177" spans="1:4" x14ac:dyDescent="0.25">
      <c r="A9177" s="139" t="s">
        <v>21285</v>
      </c>
      <c r="B9177" s="139" t="s">
        <v>21283</v>
      </c>
      <c r="C9177" s="139" t="s">
        <v>316</v>
      </c>
      <c r="D9177" s="139" t="s">
        <v>21286</v>
      </c>
    </row>
    <row r="9178" spans="1:4" x14ac:dyDescent="0.25">
      <c r="A9178" s="139" t="s">
        <v>21287</v>
      </c>
      <c r="B9178" s="139" t="s">
        <v>21288</v>
      </c>
      <c r="C9178" s="139" t="s">
        <v>65</v>
      </c>
      <c r="D9178" s="139" t="s">
        <v>21289</v>
      </c>
    </row>
    <row r="9179" spans="1:4" x14ac:dyDescent="0.25">
      <c r="A9179" s="139" t="s">
        <v>21290</v>
      </c>
      <c r="B9179" s="139" t="s">
        <v>21288</v>
      </c>
      <c r="C9179" s="139" t="s">
        <v>65</v>
      </c>
      <c r="D9179" s="139" t="s">
        <v>21291</v>
      </c>
    </row>
    <row r="9180" spans="1:4" x14ac:dyDescent="0.25">
      <c r="A9180" s="139" t="s">
        <v>21292</v>
      </c>
      <c r="B9180" s="139" t="s">
        <v>21293</v>
      </c>
      <c r="C9180" s="139" t="s">
        <v>33</v>
      </c>
      <c r="D9180" s="139" t="s">
        <v>21294</v>
      </c>
    </row>
    <row r="9181" spans="1:4" x14ac:dyDescent="0.25">
      <c r="A9181" s="139" t="s">
        <v>21295</v>
      </c>
      <c r="B9181" s="139" t="s">
        <v>21293</v>
      </c>
      <c r="C9181" s="139" t="s">
        <v>33</v>
      </c>
      <c r="D9181" s="139" t="s">
        <v>21296</v>
      </c>
    </row>
    <row r="9182" spans="1:4" x14ac:dyDescent="0.25">
      <c r="A9182" s="139" t="s">
        <v>21297</v>
      </c>
      <c r="B9182" s="139" t="s">
        <v>21298</v>
      </c>
      <c r="C9182" s="139" t="s">
        <v>33</v>
      </c>
      <c r="D9182" s="139" t="s">
        <v>21299</v>
      </c>
    </row>
    <row r="9183" spans="1:4" x14ac:dyDescent="0.25">
      <c r="A9183" s="139" t="s">
        <v>21300</v>
      </c>
      <c r="B9183" s="139" t="s">
        <v>21298</v>
      </c>
      <c r="C9183" s="139" t="s">
        <v>33</v>
      </c>
      <c r="D9183" s="139" t="s">
        <v>21301</v>
      </c>
    </row>
    <row r="9184" spans="1:4" x14ac:dyDescent="0.25">
      <c r="A9184" s="139" t="s">
        <v>21302</v>
      </c>
      <c r="B9184" s="139" t="s">
        <v>21303</v>
      </c>
      <c r="C9184" s="139" t="s">
        <v>65</v>
      </c>
      <c r="D9184" s="139" t="s">
        <v>21304</v>
      </c>
    </row>
    <row r="9185" spans="1:4" x14ac:dyDescent="0.25">
      <c r="A9185" s="139" t="s">
        <v>21305</v>
      </c>
      <c r="B9185" s="139" t="s">
        <v>21303</v>
      </c>
      <c r="C9185" s="139" t="s">
        <v>65</v>
      </c>
      <c r="D9185" s="139" t="s">
        <v>21306</v>
      </c>
    </row>
    <row r="9186" spans="1:4" x14ac:dyDescent="0.25">
      <c r="A9186" s="139" t="s">
        <v>21307</v>
      </c>
      <c r="B9186" s="139" t="s">
        <v>5016</v>
      </c>
      <c r="C9186" s="139" t="s">
        <v>65</v>
      </c>
      <c r="D9186" s="139" t="s">
        <v>21308</v>
      </c>
    </row>
    <row r="9187" spans="1:4" x14ac:dyDescent="0.25">
      <c r="A9187" s="139" t="s">
        <v>21309</v>
      </c>
      <c r="B9187" s="139" t="s">
        <v>5016</v>
      </c>
      <c r="C9187" s="139" t="s">
        <v>65</v>
      </c>
      <c r="D9187" s="139" t="s">
        <v>21310</v>
      </c>
    </row>
    <row r="9188" spans="1:4" x14ac:dyDescent="0.25">
      <c r="A9188" s="139" t="s">
        <v>21311</v>
      </c>
      <c r="B9188" s="139" t="s">
        <v>2945</v>
      </c>
      <c r="C9188" s="139" t="s">
        <v>65</v>
      </c>
      <c r="D9188" s="139" t="s">
        <v>21312</v>
      </c>
    </row>
    <row r="9189" spans="1:4" x14ac:dyDescent="0.25">
      <c r="A9189" s="139" t="s">
        <v>21313</v>
      </c>
      <c r="B9189" s="139" t="s">
        <v>2945</v>
      </c>
      <c r="C9189" s="139" t="s">
        <v>65</v>
      </c>
      <c r="D9189" s="139" t="s">
        <v>21314</v>
      </c>
    </row>
    <row r="9190" spans="1:4" x14ac:dyDescent="0.25">
      <c r="A9190" s="139" t="s">
        <v>21315</v>
      </c>
      <c r="B9190" s="139" t="s">
        <v>4406</v>
      </c>
      <c r="C9190" s="139" t="s">
        <v>65</v>
      </c>
      <c r="D9190" s="139" t="s">
        <v>21316</v>
      </c>
    </row>
    <row r="9191" spans="1:4" x14ac:dyDescent="0.25">
      <c r="A9191" s="139" t="s">
        <v>21317</v>
      </c>
      <c r="B9191" s="139" t="s">
        <v>4406</v>
      </c>
      <c r="C9191" s="139" t="s">
        <v>65</v>
      </c>
      <c r="D9191" s="139" t="s">
        <v>21318</v>
      </c>
    </row>
    <row r="9192" spans="1:4" x14ac:dyDescent="0.25">
      <c r="A9192" s="139" t="s">
        <v>21319</v>
      </c>
      <c r="B9192" s="139" t="s">
        <v>147</v>
      </c>
      <c r="C9192" s="139" t="s">
        <v>65</v>
      </c>
      <c r="D9192" s="139" t="s">
        <v>21320</v>
      </c>
    </row>
    <row r="9193" spans="1:4" x14ac:dyDescent="0.25">
      <c r="A9193" s="139" t="s">
        <v>21321</v>
      </c>
      <c r="B9193" s="139" t="s">
        <v>147</v>
      </c>
      <c r="C9193" s="139" t="s">
        <v>65</v>
      </c>
      <c r="D9193" s="139" t="s">
        <v>21322</v>
      </c>
    </row>
    <row r="9194" spans="1:4" x14ac:dyDescent="0.25">
      <c r="A9194" s="139" t="s">
        <v>21323</v>
      </c>
      <c r="B9194" s="139" t="s">
        <v>6254</v>
      </c>
      <c r="C9194" s="139" t="s">
        <v>65</v>
      </c>
      <c r="D9194" s="139" t="s">
        <v>21324</v>
      </c>
    </row>
    <row r="9195" spans="1:4" x14ac:dyDescent="0.25">
      <c r="A9195" s="139" t="s">
        <v>21325</v>
      </c>
      <c r="B9195" s="139" t="s">
        <v>6254</v>
      </c>
      <c r="C9195" s="139" t="s">
        <v>65</v>
      </c>
      <c r="D9195" s="139" t="s">
        <v>21326</v>
      </c>
    </row>
    <row r="9196" spans="1:4" x14ac:dyDescent="0.25">
      <c r="A9196" s="139" t="s">
        <v>21327</v>
      </c>
      <c r="B9196" s="139" t="s">
        <v>3377</v>
      </c>
      <c r="C9196" s="139" t="s">
        <v>65</v>
      </c>
      <c r="D9196" s="139" t="s">
        <v>21328</v>
      </c>
    </row>
    <row r="9197" spans="1:4" x14ac:dyDescent="0.25">
      <c r="A9197" s="139" t="s">
        <v>21329</v>
      </c>
      <c r="B9197" s="139" t="s">
        <v>2213</v>
      </c>
      <c r="C9197" s="139" t="s">
        <v>65</v>
      </c>
      <c r="D9197" s="139" t="s">
        <v>21330</v>
      </c>
    </row>
    <row r="9198" spans="1:4" x14ac:dyDescent="0.25">
      <c r="A9198" s="139" t="s">
        <v>21331</v>
      </c>
      <c r="B9198" s="139" t="s">
        <v>17617</v>
      </c>
      <c r="C9198" s="139" t="s">
        <v>65</v>
      </c>
      <c r="D9198" s="139" t="s">
        <v>21332</v>
      </c>
    </row>
    <row r="9199" spans="1:4" x14ac:dyDescent="0.25">
      <c r="A9199" s="139" t="s">
        <v>21333</v>
      </c>
      <c r="B9199" s="139" t="s">
        <v>17617</v>
      </c>
      <c r="C9199" s="139" t="s">
        <v>65</v>
      </c>
      <c r="D9199" s="139" t="s">
        <v>21334</v>
      </c>
    </row>
    <row r="9200" spans="1:4" x14ac:dyDescent="0.25">
      <c r="A9200" s="139" t="s">
        <v>21335</v>
      </c>
      <c r="B9200" s="139" t="s">
        <v>4139</v>
      </c>
      <c r="C9200" s="139" t="s">
        <v>65</v>
      </c>
      <c r="D9200" s="139" t="s">
        <v>21336</v>
      </c>
    </row>
    <row r="9201" spans="1:4" x14ac:dyDescent="0.25">
      <c r="A9201" s="139" t="s">
        <v>21337</v>
      </c>
      <c r="B9201" s="139" t="s">
        <v>4139</v>
      </c>
      <c r="C9201" s="139" t="s">
        <v>65</v>
      </c>
      <c r="D9201" s="139" t="s">
        <v>21338</v>
      </c>
    </row>
    <row r="9202" spans="1:4" x14ac:dyDescent="0.25">
      <c r="A9202" s="139" t="s">
        <v>21339</v>
      </c>
      <c r="B9202" s="139" t="s">
        <v>21340</v>
      </c>
      <c r="C9202" s="139" t="s">
        <v>65</v>
      </c>
      <c r="D9202" s="139" t="s">
        <v>21341</v>
      </c>
    </row>
    <row r="9203" spans="1:4" x14ac:dyDescent="0.25">
      <c r="A9203" s="139" t="s">
        <v>21342</v>
      </c>
      <c r="B9203" s="139" t="s">
        <v>21340</v>
      </c>
      <c r="C9203" s="139" t="s">
        <v>65</v>
      </c>
      <c r="D9203" s="139" t="s">
        <v>21343</v>
      </c>
    </row>
    <row r="9204" spans="1:4" x14ac:dyDescent="0.25">
      <c r="A9204" s="139" t="s">
        <v>21344</v>
      </c>
      <c r="B9204" s="139" t="s">
        <v>7384</v>
      </c>
      <c r="C9204" s="139" t="s">
        <v>65</v>
      </c>
      <c r="D9204" s="139" t="s">
        <v>21345</v>
      </c>
    </row>
    <row r="9205" spans="1:4" x14ac:dyDescent="0.25">
      <c r="A9205" s="139" t="s">
        <v>21346</v>
      </c>
      <c r="B9205" s="139" t="s">
        <v>7384</v>
      </c>
      <c r="C9205" s="139" t="s">
        <v>65</v>
      </c>
      <c r="D9205" s="139" t="s">
        <v>21347</v>
      </c>
    </row>
    <row r="9206" spans="1:4" x14ac:dyDescent="0.25">
      <c r="A9206" s="139" t="s">
        <v>21348</v>
      </c>
      <c r="B9206" s="139" t="s">
        <v>895</v>
      </c>
      <c r="C9206" s="139" t="s">
        <v>65</v>
      </c>
      <c r="D9206" s="139" t="s">
        <v>21349</v>
      </c>
    </row>
    <row r="9207" spans="1:4" x14ac:dyDescent="0.25">
      <c r="A9207" s="139" t="s">
        <v>21350</v>
      </c>
      <c r="B9207" s="139" t="s">
        <v>895</v>
      </c>
      <c r="C9207" s="139" t="s">
        <v>65</v>
      </c>
      <c r="D9207" s="139" t="s">
        <v>21351</v>
      </c>
    </row>
    <row r="9208" spans="1:4" x14ac:dyDescent="0.25">
      <c r="A9208" s="139" t="s">
        <v>21352</v>
      </c>
      <c r="B9208" s="139" t="s">
        <v>3377</v>
      </c>
      <c r="C9208" s="139" t="s">
        <v>65</v>
      </c>
      <c r="D9208" s="139" t="s">
        <v>21353</v>
      </c>
    </row>
    <row r="9209" spans="1:4" x14ac:dyDescent="0.25">
      <c r="A9209" s="139" t="s">
        <v>21354</v>
      </c>
      <c r="B9209" s="139" t="s">
        <v>3377</v>
      </c>
      <c r="C9209" s="139" t="s">
        <v>65</v>
      </c>
      <c r="D9209" s="139" t="s">
        <v>21355</v>
      </c>
    </row>
    <row r="9210" spans="1:4" x14ac:dyDescent="0.25">
      <c r="A9210" s="139" t="s">
        <v>21356</v>
      </c>
      <c r="B9210" s="139" t="s">
        <v>3374</v>
      </c>
      <c r="C9210" s="139" t="s">
        <v>65</v>
      </c>
      <c r="D9210" s="139" t="s">
        <v>21357</v>
      </c>
    </row>
    <row r="9211" spans="1:4" x14ac:dyDescent="0.25">
      <c r="A9211" s="139" t="s">
        <v>21358</v>
      </c>
      <c r="B9211" s="139" t="s">
        <v>3374</v>
      </c>
      <c r="C9211" s="139" t="s">
        <v>65</v>
      </c>
      <c r="D9211" s="139" t="s">
        <v>21359</v>
      </c>
    </row>
    <row r="9212" spans="1:4" x14ac:dyDescent="0.25">
      <c r="A9212" s="139" t="s">
        <v>21360</v>
      </c>
      <c r="B9212" s="139" t="s">
        <v>3371</v>
      </c>
      <c r="C9212" s="139" t="s">
        <v>65</v>
      </c>
      <c r="D9212" s="139" t="s">
        <v>21361</v>
      </c>
    </row>
    <row r="9213" spans="1:4" x14ac:dyDescent="0.25">
      <c r="A9213" s="139" t="s">
        <v>21362</v>
      </c>
      <c r="B9213" s="139" t="s">
        <v>3371</v>
      </c>
      <c r="C9213" s="139" t="s">
        <v>65</v>
      </c>
      <c r="D9213" s="139" t="s">
        <v>21363</v>
      </c>
    </row>
    <row r="9214" spans="1:4" x14ac:dyDescent="0.25">
      <c r="A9214" s="139" t="s">
        <v>21364</v>
      </c>
      <c r="B9214" s="139" t="s">
        <v>21365</v>
      </c>
      <c r="C9214" s="139" t="s">
        <v>65</v>
      </c>
      <c r="D9214" s="139" t="s">
        <v>21366</v>
      </c>
    </row>
    <row r="9215" spans="1:4" x14ac:dyDescent="0.25">
      <c r="A9215" s="139" t="s">
        <v>21367</v>
      </c>
      <c r="B9215" s="139" t="s">
        <v>21365</v>
      </c>
      <c r="C9215" s="139" t="s">
        <v>65</v>
      </c>
      <c r="D9215" s="139" t="s">
        <v>21368</v>
      </c>
    </row>
    <row r="9216" spans="1:4" x14ac:dyDescent="0.25">
      <c r="A9216" s="139" t="s">
        <v>21369</v>
      </c>
      <c r="B9216" s="139" t="s">
        <v>21370</v>
      </c>
      <c r="C9216" s="139" t="s">
        <v>65</v>
      </c>
      <c r="D9216" s="139" t="s">
        <v>21371</v>
      </c>
    </row>
    <row r="9217" spans="1:4" x14ac:dyDescent="0.25">
      <c r="A9217" s="139" t="s">
        <v>21372</v>
      </c>
      <c r="B9217" s="139" t="s">
        <v>21370</v>
      </c>
      <c r="C9217" s="139" t="s">
        <v>65</v>
      </c>
      <c r="D9217" s="139" t="s">
        <v>21373</v>
      </c>
    </row>
    <row r="9218" spans="1:4" x14ac:dyDescent="0.25">
      <c r="A9218" s="139" t="s">
        <v>21374</v>
      </c>
      <c r="B9218" s="139" t="s">
        <v>21375</v>
      </c>
      <c r="C9218" s="139" t="s">
        <v>65</v>
      </c>
      <c r="D9218" s="139" t="s">
        <v>21376</v>
      </c>
    </row>
    <row r="9219" spans="1:4" x14ac:dyDescent="0.25">
      <c r="A9219" s="139" t="s">
        <v>21377</v>
      </c>
      <c r="B9219" s="139" t="s">
        <v>21375</v>
      </c>
      <c r="C9219" s="139" t="s">
        <v>65</v>
      </c>
      <c r="D9219" s="139" t="s">
        <v>21378</v>
      </c>
    </row>
    <row r="9220" spans="1:4" x14ac:dyDescent="0.25">
      <c r="A9220" s="139" t="s">
        <v>21379</v>
      </c>
      <c r="B9220" s="139" t="s">
        <v>15095</v>
      </c>
      <c r="C9220" s="139" t="s">
        <v>33</v>
      </c>
      <c r="D9220" s="139" t="s">
        <v>21380</v>
      </c>
    </row>
    <row r="9221" spans="1:4" x14ac:dyDescent="0.25">
      <c r="A9221" s="139" t="s">
        <v>21381</v>
      </c>
      <c r="B9221" s="139" t="s">
        <v>15095</v>
      </c>
      <c r="C9221" s="139" t="s">
        <v>33</v>
      </c>
      <c r="D9221" s="139" t="s">
        <v>21382</v>
      </c>
    </row>
    <row r="9222" spans="1:4" x14ac:dyDescent="0.25">
      <c r="A9222" s="139" t="s">
        <v>21383</v>
      </c>
      <c r="B9222" s="139" t="s">
        <v>21384</v>
      </c>
      <c r="C9222" s="139" t="s">
        <v>65</v>
      </c>
      <c r="D9222" s="139" t="s">
        <v>21385</v>
      </c>
    </row>
    <row r="9223" spans="1:4" x14ac:dyDescent="0.25">
      <c r="A9223" s="139" t="s">
        <v>21386</v>
      </c>
      <c r="B9223" s="139" t="s">
        <v>21384</v>
      </c>
      <c r="C9223" s="139" t="s">
        <v>65</v>
      </c>
      <c r="D9223" s="139" t="s">
        <v>21387</v>
      </c>
    </row>
    <row r="9224" spans="1:4" x14ac:dyDescent="0.25">
      <c r="A9224" s="139" t="s">
        <v>21388</v>
      </c>
      <c r="B9224" s="139" t="s">
        <v>15095</v>
      </c>
      <c r="C9224" s="139" t="s">
        <v>65</v>
      </c>
      <c r="D9224" s="139" t="s">
        <v>21389</v>
      </c>
    </row>
    <row r="9225" spans="1:4" x14ac:dyDescent="0.25">
      <c r="A9225" s="139" t="s">
        <v>21390</v>
      </c>
      <c r="B9225" s="139" t="s">
        <v>15095</v>
      </c>
      <c r="C9225" s="139" t="s">
        <v>65</v>
      </c>
      <c r="D9225" s="139" t="s">
        <v>21391</v>
      </c>
    </row>
    <row r="9226" spans="1:4" x14ac:dyDescent="0.25">
      <c r="A9226" s="139" t="s">
        <v>21392</v>
      </c>
      <c r="B9226" s="139" t="s">
        <v>7446</v>
      </c>
      <c r="C9226" s="139" t="s">
        <v>65</v>
      </c>
      <c r="D9226" s="139" t="s">
        <v>21393</v>
      </c>
    </row>
    <row r="9227" spans="1:4" x14ac:dyDescent="0.25">
      <c r="A9227" s="139" t="s">
        <v>21394</v>
      </c>
      <c r="B9227" s="139" t="s">
        <v>7446</v>
      </c>
      <c r="C9227" s="139" t="s">
        <v>65</v>
      </c>
      <c r="D9227" s="139" t="s">
        <v>21395</v>
      </c>
    </row>
    <row r="9228" spans="1:4" x14ac:dyDescent="0.25">
      <c r="A9228" s="139" t="s">
        <v>21396</v>
      </c>
      <c r="B9228" s="139" t="s">
        <v>7389</v>
      </c>
      <c r="C9228" s="139" t="s">
        <v>65</v>
      </c>
      <c r="D9228" s="139" t="s">
        <v>21397</v>
      </c>
    </row>
    <row r="9229" spans="1:4" x14ac:dyDescent="0.25">
      <c r="A9229" s="139" t="s">
        <v>21398</v>
      </c>
      <c r="B9229" s="139" t="s">
        <v>7389</v>
      </c>
      <c r="C9229" s="139" t="s">
        <v>65</v>
      </c>
      <c r="D9229" s="139" t="s">
        <v>21399</v>
      </c>
    </row>
    <row r="9230" spans="1:4" x14ac:dyDescent="0.25">
      <c r="A9230" s="139" t="s">
        <v>21400</v>
      </c>
      <c r="B9230" s="139" t="s">
        <v>7056</v>
      </c>
      <c r="C9230" s="139" t="s">
        <v>65</v>
      </c>
      <c r="D9230" s="139" t="s">
        <v>21401</v>
      </c>
    </row>
    <row r="9231" spans="1:4" x14ac:dyDescent="0.25">
      <c r="A9231" s="139" t="s">
        <v>21402</v>
      </c>
      <c r="B9231" s="139" t="s">
        <v>7056</v>
      </c>
      <c r="C9231" s="139" t="s">
        <v>65</v>
      </c>
      <c r="D9231" s="139" t="s">
        <v>21403</v>
      </c>
    </row>
    <row r="9232" spans="1:4" x14ac:dyDescent="0.25">
      <c r="A9232" s="139" t="s">
        <v>21404</v>
      </c>
      <c r="B9232" s="139" t="s">
        <v>21405</v>
      </c>
      <c r="C9232" s="139" t="s">
        <v>65</v>
      </c>
      <c r="D9232" s="139" t="s">
        <v>21406</v>
      </c>
    </row>
    <row r="9233" spans="1:4" x14ac:dyDescent="0.25">
      <c r="A9233" s="139" t="s">
        <v>21407</v>
      </c>
      <c r="B9233" s="139" t="s">
        <v>21405</v>
      </c>
      <c r="C9233" s="139" t="s">
        <v>65</v>
      </c>
      <c r="D9233" s="139" t="s">
        <v>21408</v>
      </c>
    </row>
    <row r="9234" spans="1:4" x14ac:dyDescent="0.25">
      <c r="A9234" s="139" t="s">
        <v>21409</v>
      </c>
      <c r="B9234" s="139" t="s">
        <v>17129</v>
      </c>
      <c r="C9234" s="139" t="s">
        <v>65</v>
      </c>
      <c r="D9234" s="139" t="s">
        <v>21410</v>
      </c>
    </row>
    <row r="9235" spans="1:4" x14ac:dyDescent="0.25">
      <c r="A9235" s="139" t="s">
        <v>21411</v>
      </c>
      <c r="B9235" s="139" t="s">
        <v>17129</v>
      </c>
      <c r="C9235" s="139" t="s">
        <v>65</v>
      </c>
      <c r="D9235" s="139" t="s">
        <v>21412</v>
      </c>
    </row>
    <row r="9236" spans="1:4" x14ac:dyDescent="0.25">
      <c r="A9236" s="139" t="s">
        <v>21413</v>
      </c>
      <c r="B9236" s="139" t="s">
        <v>21414</v>
      </c>
      <c r="C9236" s="139" t="s">
        <v>65</v>
      </c>
      <c r="D9236" s="139" t="s">
        <v>21415</v>
      </c>
    </row>
    <row r="9237" spans="1:4" x14ac:dyDescent="0.25">
      <c r="A9237" s="139" t="s">
        <v>21416</v>
      </c>
      <c r="B9237" s="139" t="s">
        <v>21414</v>
      </c>
      <c r="C9237" s="139" t="s">
        <v>65</v>
      </c>
      <c r="D9237" s="139" t="s">
        <v>21417</v>
      </c>
    </row>
    <row r="9238" spans="1:4" x14ac:dyDescent="0.25">
      <c r="A9238" s="139" t="s">
        <v>21418</v>
      </c>
      <c r="B9238" s="139" t="s">
        <v>8487</v>
      </c>
      <c r="C9238" s="139" t="s">
        <v>65</v>
      </c>
      <c r="D9238" s="139" t="s">
        <v>21419</v>
      </c>
    </row>
    <row r="9239" spans="1:4" x14ac:dyDescent="0.25">
      <c r="A9239" s="139" t="s">
        <v>21420</v>
      </c>
      <c r="B9239" s="139" t="s">
        <v>8487</v>
      </c>
      <c r="C9239" s="139" t="s">
        <v>65</v>
      </c>
      <c r="D9239" s="139" t="s">
        <v>21421</v>
      </c>
    </row>
    <row r="9240" spans="1:4" x14ac:dyDescent="0.25">
      <c r="A9240" s="139" t="s">
        <v>21422</v>
      </c>
      <c r="B9240" s="139" t="s">
        <v>8685</v>
      </c>
      <c r="C9240" s="139" t="s">
        <v>65</v>
      </c>
      <c r="D9240" s="139" t="s">
        <v>21423</v>
      </c>
    </row>
    <row r="9241" spans="1:4" x14ac:dyDescent="0.25">
      <c r="A9241" s="139" t="s">
        <v>21424</v>
      </c>
      <c r="B9241" s="139" t="s">
        <v>8685</v>
      </c>
      <c r="C9241" s="139" t="s">
        <v>65</v>
      </c>
      <c r="D9241" s="139" t="s">
        <v>21425</v>
      </c>
    </row>
    <row r="9242" spans="1:4" x14ac:dyDescent="0.25">
      <c r="A9242" s="139" t="s">
        <v>21426</v>
      </c>
      <c r="B9242" s="139" t="s">
        <v>1199</v>
      </c>
      <c r="C9242" s="139" t="s">
        <v>65</v>
      </c>
      <c r="D9242" s="139" t="s">
        <v>21427</v>
      </c>
    </row>
    <row r="9243" spans="1:4" x14ac:dyDescent="0.25">
      <c r="A9243" s="139" t="s">
        <v>21428</v>
      </c>
      <c r="B9243" s="139" t="s">
        <v>20397</v>
      </c>
      <c r="C9243" s="139" t="s">
        <v>65</v>
      </c>
      <c r="D9243" s="139" t="s">
        <v>21429</v>
      </c>
    </row>
    <row r="9244" spans="1:4" x14ac:dyDescent="0.25">
      <c r="A9244" s="139" t="s">
        <v>21430</v>
      </c>
      <c r="B9244" s="139" t="s">
        <v>20376</v>
      </c>
      <c r="C9244" s="139" t="s">
        <v>65</v>
      </c>
      <c r="D9244" s="139" t="s">
        <v>21431</v>
      </c>
    </row>
    <row r="9245" spans="1:4" x14ac:dyDescent="0.25">
      <c r="A9245" s="139" t="s">
        <v>21432</v>
      </c>
      <c r="B9245" s="139" t="s">
        <v>10116</v>
      </c>
      <c r="C9245" s="139" t="s">
        <v>65</v>
      </c>
      <c r="D9245" s="139" t="s">
        <v>21433</v>
      </c>
    </row>
    <row r="9246" spans="1:4" x14ac:dyDescent="0.25">
      <c r="A9246" s="139" t="s">
        <v>21434</v>
      </c>
      <c r="B9246" s="139" t="s">
        <v>20404</v>
      </c>
      <c r="C9246" s="139" t="s">
        <v>65</v>
      </c>
      <c r="D9246" s="139" t="s">
        <v>21435</v>
      </c>
    </row>
    <row r="9247" spans="1:4" x14ac:dyDescent="0.25">
      <c r="A9247" s="139" t="s">
        <v>21436</v>
      </c>
      <c r="B9247" s="139" t="s">
        <v>1907</v>
      </c>
      <c r="C9247" s="139" t="s">
        <v>65</v>
      </c>
      <c r="D9247" s="139" t="s">
        <v>21437</v>
      </c>
    </row>
    <row r="9248" spans="1:4" x14ac:dyDescent="0.25">
      <c r="A9248" s="139" t="s">
        <v>21438</v>
      </c>
      <c r="B9248" s="139" t="s">
        <v>20409</v>
      </c>
      <c r="C9248" s="139" t="s">
        <v>65</v>
      </c>
      <c r="D9248" s="139" t="s">
        <v>21439</v>
      </c>
    </row>
    <row r="9249" spans="1:4" x14ac:dyDescent="0.25">
      <c r="A9249" s="139" t="s">
        <v>21440</v>
      </c>
      <c r="B9249" s="139" t="s">
        <v>13322</v>
      </c>
      <c r="C9249" s="139" t="s">
        <v>65</v>
      </c>
      <c r="D9249" s="139" t="s">
        <v>21441</v>
      </c>
    </row>
    <row r="9250" spans="1:4" x14ac:dyDescent="0.25">
      <c r="A9250" s="139" t="s">
        <v>21442</v>
      </c>
      <c r="B9250" s="139" t="s">
        <v>11124</v>
      </c>
      <c r="C9250" s="139" t="s">
        <v>65</v>
      </c>
      <c r="D9250" s="139" t="s">
        <v>21443</v>
      </c>
    </row>
    <row r="9251" spans="1:4" x14ac:dyDescent="0.25">
      <c r="A9251" s="139" t="s">
        <v>21444</v>
      </c>
      <c r="B9251" s="139" t="s">
        <v>7986</v>
      </c>
      <c r="C9251" s="139" t="s">
        <v>65</v>
      </c>
      <c r="D9251" s="139" t="s">
        <v>21445</v>
      </c>
    </row>
    <row r="9252" spans="1:4" x14ac:dyDescent="0.25">
      <c r="A9252" s="139" t="s">
        <v>21446</v>
      </c>
      <c r="B9252" s="139" t="s">
        <v>3189</v>
      </c>
      <c r="C9252" s="139" t="s">
        <v>65</v>
      </c>
      <c r="D9252" s="139" t="s">
        <v>21447</v>
      </c>
    </row>
    <row r="9253" spans="1:4" x14ac:dyDescent="0.25">
      <c r="A9253" s="139" t="s">
        <v>21448</v>
      </c>
      <c r="B9253" s="139" t="s">
        <v>7792</v>
      </c>
      <c r="C9253" s="139" t="s">
        <v>65</v>
      </c>
      <c r="D9253" s="139" t="s">
        <v>21449</v>
      </c>
    </row>
    <row r="9254" spans="1:4" x14ac:dyDescent="0.25">
      <c r="A9254" s="139" t="s">
        <v>21450</v>
      </c>
      <c r="B9254" s="139" t="s">
        <v>20422</v>
      </c>
      <c r="C9254" s="139" t="s">
        <v>65</v>
      </c>
      <c r="D9254" s="139" t="s">
        <v>21451</v>
      </c>
    </row>
    <row r="9255" spans="1:4" x14ac:dyDescent="0.25">
      <c r="A9255" s="139" t="s">
        <v>21452</v>
      </c>
      <c r="B9255" s="139" t="s">
        <v>20425</v>
      </c>
      <c r="C9255" s="139" t="s">
        <v>65</v>
      </c>
      <c r="D9255" s="139" t="s">
        <v>21453</v>
      </c>
    </row>
    <row r="9256" spans="1:4" x14ac:dyDescent="0.25">
      <c r="A9256" s="139" t="s">
        <v>21454</v>
      </c>
      <c r="B9256" s="139" t="s">
        <v>20428</v>
      </c>
      <c r="C9256" s="139" t="s">
        <v>65</v>
      </c>
      <c r="D9256" s="139" t="s">
        <v>21455</v>
      </c>
    </row>
    <row r="9257" spans="1:4" x14ac:dyDescent="0.25">
      <c r="A9257" s="139" t="s">
        <v>21456</v>
      </c>
      <c r="B9257" s="139" t="s">
        <v>20431</v>
      </c>
      <c r="C9257" s="139" t="s">
        <v>65</v>
      </c>
      <c r="D9257" s="139" t="s">
        <v>21457</v>
      </c>
    </row>
    <row r="9258" spans="1:4" x14ac:dyDescent="0.25">
      <c r="A9258" s="139" t="s">
        <v>21458</v>
      </c>
      <c r="B9258" s="139" t="s">
        <v>7836</v>
      </c>
      <c r="C9258" s="139" t="s">
        <v>65</v>
      </c>
      <c r="D9258" s="139" t="s">
        <v>21459</v>
      </c>
    </row>
    <row r="9259" spans="1:4" x14ac:dyDescent="0.25">
      <c r="A9259" s="139" t="s">
        <v>21460</v>
      </c>
      <c r="B9259" s="139" t="s">
        <v>20436</v>
      </c>
      <c r="C9259" s="139" t="s">
        <v>65</v>
      </c>
      <c r="D9259" s="139" t="s">
        <v>21461</v>
      </c>
    </row>
    <row r="9260" spans="1:4" x14ac:dyDescent="0.25">
      <c r="A9260" s="139" t="s">
        <v>21462</v>
      </c>
      <c r="B9260" s="139" t="s">
        <v>20439</v>
      </c>
      <c r="C9260" s="139" t="s">
        <v>65</v>
      </c>
      <c r="D9260" s="139" t="s">
        <v>21463</v>
      </c>
    </row>
    <row r="9261" spans="1:4" x14ac:dyDescent="0.25">
      <c r="A9261" s="139" t="s">
        <v>21464</v>
      </c>
      <c r="B9261" s="139" t="s">
        <v>20442</v>
      </c>
      <c r="C9261" s="139" t="s">
        <v>65</v>
      </c>
      <c r="D9261" s="139" t="s">
        <v>21465</v>
      </c>
    </row>
    <row r="9262" spans="1:4" x14ac:dyDescent="0.25">
      <c r="A9262" s="139" t="s">
        <v>21466</v>
      </c>
      <c r="B9262" s="139" t="s">
        <v>20445</v>
      </c>
      <c r="C9262" s="139" t="s">
        <v>65</v>
      </c>
      <c r="D9262" s="139" t="s">
        <v>21467</v>
      </c>
    </row>
    <row r="9263" spans="1:4" x14ac:dyDescent="0.25">
      <c r="A9263" s="139" t="s">
        <v>21468</v>
      </c>
      <c r="B9263" s="139" t="s">
        <v>20448</v>
      </c>
      <c r="C9263" s="139" t="s">
        <v>65</v>
      </c>
      <c r="D9263" s="139" t="s">
        <v>21469</v>
      </c>
    </row>
    <row r="9264" spans="1:4" x14ac:dyDescent="0.25">
      <c r="A9264" s="139" t="s">
        <v>21470</v>
      </c>
      <c r="B9264" s="139" t="s">
        <v>11178</v>
      </c>
      <c r="C9264" s="139" t="s">
        <v>33</v>
      </c>
      <c r="D9264" s="139" t="s">
        <v>21471</v>
      </c>
    </row>
    <row r="9265" spans="1:4" x14ac:dyDescent="0.25">
      <c r="A9265" s="139" t="s">
        <v>21472</v>
      </c>
      <c r="B9265" s="139" t="s">
        <v>1993</v>
      </c>
      <c r="C9265" s="139" t="s">
        <v>33</v>
      </c>
      <c r="D9265" s="139" t="s">
        <v>21473</v>
      </c>
    </row>
    <row r="9266" spans="1:4" x14ac:dyDescent="0.25">
      <c r="A9266" s="139" t="s">
        <v>21474</v>
      </c>
      <c r="B9266" s="139" t="s">
        <v>2994</v>
      </c>
      <c r="C9266" s="139" t="s">
        <v>33</v>
      </c>
      <c r="D9266" s="139" t="s">
        <v>21475</v>
      </c>
    </row>
    <row r="9267" spans="1:4" x14ac:dyDescent="0.25">
      <c r="A9267" s="139" t="s">
        <v>21476</v>
      </c>
      <c r="B9267" s="139" t="s">
        <v>11069</v>
      </c>
      <c r="C9267" s="139" t="s">
        <v>33</v>
      </c>
      <c r="D9267" s="139" t="s">
        <v>21477</v>
      </c>
    </row>
    <row r="9268" spans="1:4" x14ac:dyDescent="0.25">
      <c r="A9268" s="139" t="s">
        <v>21478</v>
      </c>
      <c r="B9268" s="139" t="s">
        <v>20459</v>
      </c>
      <c r="C9268" s="139" t="s">
        <v>33</v>
      </c>
      <c r="D9268" s="139" t="s">
        <v>21479</v>
      </c>
    </row>
    <row r="9269" spans="1:4" x14ac:dyDescent="0.25">
      <c r="A9269" s="139" t="s">
        <v>21480</v>
      </c>
      <c r="B9269" s="139" t="s">
        <v>11163</v>
      </c>
      <c r="C9269" s="139" t="s">
        <v>33</v>
      </c>
      <c r="D9269" s="139" t="s">
        <v>21481</v>
      </c>
    </row>
    <row r="9270" spans="1:4" x14ac:dyDescent="0.25">
      <c r="A9270" s="139" t="s">
        <v>21482</v>
      </c>
      <c r="B9270" s="139" t="s">
        <v>11144</v>
      </c>
      <c r="C9270" s="139" t="s">
        <v>33</v>
      </c>
      <c r="D9270" s="139" t="s">
        <v>21483</v>
      </c>
    </row>
    <row r="9271" spans="1:4" x14ac:dyDescent="0.25">
      <c r="A9271" s="139" t="s">
        <v>21484</v>
      </c>
      <c r="B9271" s="139" t="s">
        <v>11148</v>
      </c>
      <c r="C9271" s="139" t="s">
        <v>33</v>
      </c>
      <c r="D9271" s="139" t="s">
        <v>21485</v>
      </c>
    </row>
    <row r="9272" spans="1:4" x14ac:dyDescent="0.25">
      <c r="A9272" s="139" t="s">
        <v>21486</v>
      </c>
      <c r="B9272" s="139" t="s">
        <v>11410</v>
      </c>
      <c r="C9272" s="139" t="s">
        <v>33</v>
      </c>
      <c r="D9272" s="139" t="s">
        <v>21487</v>
      </c>
    </row>
    <row r="9273" spans="1:4" x14ac:dyDescent="0.25">
      <c r="A9273" s="139" t="s">
        <v>21488</v>
      </c>
      <c r="B9273" s="139" t="s">
        <v>15182</v>
      </c>
      <c r="C9273" s="139" t="s">
        <v>33</v>
      </c>
      <c r="D9273" s="139" t="s">
        <v>21489</v>
      </c>
    </row>
    <row r="9274" spans="1:4" x14ac:dyDescent="0.25">
      <c r="A9274" s="139" t="s">
        <v>21490</v>
      </c>
      <c r="B9274" s="139" t="s">
        <v>13088</v>
      </c>
      <c r="C9274" s="139" t="s">
        <v>33</v>
      </c>
      <c r="D9274" s="139" t="s">
        <v>21491</v>
      </c>
    </row>
    <row r="9275" spans="1:4" x14ac:dyDescent="0.25">
      <c r="A9275" s="139" t="s">
        <v>21492</v>
      </c>
      <c r="B9275" s="139" t="s">
        <v>2999</v>
      </c>
      <c r="C9275" s="139" t="s">
        <v>33</v>
      </c>
      <c r="D9275" s="139" t="s">
        <v>21493</v>
      </c>
    </row>
    <row r="9276" spans="1:4" x14ac:dyDescent="0.25">
      <c r="A9276" s="139" t="s">
        <v>21494</v>
      </c>
      <c r="B9276" s="139" t="s">
        <v>13302</v>
      </c>
      <c r="C9276" s="139" t="s">
        <v>33</v>
      </c>
      <c r="D9276" s="139" t="s">
        <v>21495</v>
      </c>
    </row>
    <row r="9277" spans="1:4" x14ac:dyDescent="0.25">
      <c r="A9277" s="139" t="s">
        <v>21496</v>
      </c>
      <c r="B9277" s="139" t="s">
        <v>11074</v>
      </c>
      <c r="C9277" s="139" t="s">
        <v>33</v>
      </c>
      <c r="D9277" s="139" t="s">
        <v>21497</v>
      </c>
    </row>
    <row r="9278" spans="1:4" x14ac:dyDescent="0.25">
      <c r="A9278" s="139" t="s">
        <v>21498</v>
      </c>
      <c r="B9278" s="139" t="s">
        <v>15167</v>
      </c>
      <c r="C9278" s="139" t="s">
        <v>33</v>
      </c>
      <c r="D9278" s="139" t="s">
        <v>21499</v>
      </c>
    </row>
    <row r="9279" spans="1:4" x14ac:dyDescent="0.25">
      <c r="A9279" s="139" t="s">
        <v>21500</v>
      </c>
      <c r="B9279" s="139" t="s">
        <v>21501</v>
      </c>
      <c r="C9279" s="139" t="s">
        <v>33</v>
      </c>
      <c r="D9279" s="139" t="s">
        <v>21502</v>
      </c>
    </row>
    <row r="9280" spans="1:4" x14ac:dyDescent="0.25">
      <c r="A9280" s="139" t="s">
        <v>21503</v>
      </c>
      <c r="B9280" s="139" t="s">
        <v>20476</v>
      </c>
      <c r="C9280" s="139" t="s">
        <v>33</v>
      </c>
      <c r="D9280" s="139" t="s">
        <v>21504</v>
      </c>
    </row>
    <row r="9281" spans="1:4" x14ac:dyDescent="0.25">
      <c r="A9281" s="139" t="s">
        <v>21505</v>
      </c>
      <c r="B9281" s="139" t="s">
        <v>13307</v>
      </c>
      <c r="C9281" s="139" t="s">
        <v>33</v>
      </c>
      <c r="D9281" s="139" t="s">
        <v>21506</v>
      </c>
    </row>
    <row r="9282" spans="1:4" x14ac:dyDescent="0.25">
      <c r="A9282" s="139" t="s">
        <v>21507</v>
      </c>
      <c r="B9282" s="139" t="s">
        <v>20481</v>
      </c>
      <c r="C9282" s="139" t="s">
        <v>33</v>
      </c>
      <c r="D9282" s="139" t="s">
        <v>21508</v>
      </c>
    </row>
    <row r="9283" spans="1:4" x14ac:dyDescent="0.25">
      <c r="A9283" s="139" t="s">
        <v>21509</v>
      </c>
      <c r="B9283" s="139" t="s">
        <v>17339</v>
      </c>
      <c r="C9283" s="139" t="s">
        <v>33</v>
      </c>
      <c r="D9283" s="139" t="s">
        <v>21510</v>
      </c>
    </row>
    <row r="9284" spans="1:4" x14ac:dyDescent="0.25">
      <c r="A9284" s="139" t="s">
        <v>21511</v>
      </c>
      <c r="B9284" s="139" t="s">
        <v>15100</v>
      </c>
      <c r="C9284" s="139" t="s">
        <v>33</v>
      </c>
      <c r="D9284" s="139" t="s">
        <v>21512</v>
      </c>
    </row>
    <row r="9285" spans="1:4" x14ac:dyDescent="0.25">
      <c r="A9285" s="139" t="s">
        <v>21513</v>
      </c>
      <c r="B9285" s="139" t="s">
        <v>17334</v>
      </c>
      <c r="C9285" s="139" t="s">
        <v>33</v>
      </c>
      <c r="D9285" s="139" t="s">
        <v>21514</v>
      </c>
    </row>
    <row r="9286" spans="1:4" x14ac:dyDescent="0.25">
      <c r="A9286" s="139" t="s">
        <v>21515</v>
      </c>
      <c r="B9286" s="139" t="s">
        <v>15090</v>
      </c>
      <c r="C9286" s="139" t="s">
        <v>33</v>
      </c>
      <c r="D9286" s="139" t="s">
        <v>21516</v>
      </c>
    </row>
    <row r="9287" spans="1:4" x14ac:dyDescent="0.25">
      <c r="A9287" s="139" t="s">
        <v>21517</v>
      </c>
      <c r="B9287" s="139" t="s">
        <v>17329</v>
      </c>
      <c r="C9287" s="139" t="s">
        <v>33</v>
      </c>
      <c r="D9287" s="139" t="s">
        <v>21518</v>
      </c>
    </row>
    <row r="9288" spans="1:4" x14ac:dyDescent="0.25">
      <c r="A9288" s="139" t="s">
        <v>21519</v>
      </c>
      <c r="B9288" s="139" t="s">
        <v>11099</v>
      </c>
      <c r="C9288" s="139" t="s">
        <v>33</v>
      </c>
      <c r="D9288" s="139" t="s">
        <v>21520</v>
      </c>
    </row>
    <row r="9289" spans="1:4" x14ac:dyDescent="0.25">
      <c r="A9289" s="139" t="s">
        <v>21521</v>
      </c>
      <c r="B9289" s="139" t="s">
        <v>17757</v>
      </c>
      <c r="C9289" s="139" t="s">
        <v>33</v>
      </c>
      <c r="D9289" s="139" t="s">
        <v>21522</v>
      </c>
    </row>
    <row r="9290" spans="1:4" x14ac:dyDescent="0.25">
      <c r="A9290" s="139" t="s">
        <v>21523</v>
      </c>
      <c r="B9290" s="139" t="s">
        <v>21524</v>
      </c>
      <c r="C9290" s="139" t="s">
        <v>33</v>
      </c>
      <c r="D9290" s="139" t="s">
        <v>21525</v>
      </c>
    </row>
    <row r="9291" spans="1:4" x14ac:dyDescent="0.25">
      <c r="A9291" s="139" t="s">
        <v>21526</v>
      </c>
      <c r="B9291" s="139" t="s">
        <v>21527</v>
      </c>
      <c r="C9291" s="139" t="s">
        <v>33</v>
      </c>
      <c r="D9291" s="139" t="s">
        <v>21528</v>
      </c>
    </row>
    <row r="9292" spans="1:4" x14ac:dyDescent="0.25">
      <c r="A9292" s="139" t="s">
        <v>21529</v>
      </c>
      <c r="B9292" s="139" t="s">
        <v>17752</v>
      </c>
      <c r="C9292" s="139" t="s">
        <v>33</v>
      </c>
      <c r="D9292" s="139" t="s">
        <v>21530</v>
      </c>
    </row>
    <row r="9293" spans="1:4" x14ac:dyDescent="0.25">
      <c r="A9293" s="139" t="s">
        <v>21531</v>
      </c>
      <c r="B9293" s="139" t="s">
        <v>17324</v>
      </c>
      <c r="C9293" s="139" t="s">
        <v>33</v>
      </c>
      <c r="D9293" s="139" t="s">
        <v>21532</v>
      </c>
    </row>
    <row r="9294" spans="1:4" x14ac:dyDescent="0.25">
      <c r="A9294" s="139" t="s">
        <v>21533</v>
      </c>
      <c r="B9294" s="139" t="s">
        <v>13302</v>
      </c>
      <c r="C9294" s="139" t="s">
        <v>33</v>
      </c>
      <c r="D9294" s="139" t="s">
        <v>21534</v>
      </c>
    </row>
    <row r="9295" spans="1:4" x14ac:dyDescent="0.25">
      <c r="A9295" s="139" t="s">
        <v>21535</v>
      </c>
      <c r="B9295" s="139" t="s">
        <v>11074</v>
      </c>
      <c r="C9295" s="139" t="s">
        <v>33</v>
      </c>
      <c r="D9295" s="139" t="s">
        <v>21536</v>
      </c>
    </row>
    <row r="9296" spans="1:4" x14ac:dyDescent="0.25">
      <c r="A9296" s="139" t="s">
        <v>21537</v>
      </c>
      <c r="B9296" s="139" t="s">
        <v>15167</v>
      </c>
      <c r="C9296" s="139" t="s">
        <v>33</v>
      </c>
      <c r="D9296" s="139" t="s">
        <v>21538</v>
      </c>
    </row>
    <row r="9297" spans="1:4" x14ac:dyDescent="0.25">
      <c r="A9297" s="139" t="s">
        <v>21539</v>
      </c>
      <c r="B9297" s="139" t="s">
        <v>21501</v>
      </c>
      <c r="C9297" s="139" t="s">
        <v>33</v>
      </c>
      <c r="D9297" s="139" t="s">
        <v>21540</v>
      </c>
    </row>
    <row r="9298" spans="1:4" x14ac:dyDescent="0.25">
      <c r="A9298" s="139" t="s">
        <v>21541</v>
      </c>
      <c r="B9298" s="139" t="s">
        <v>15172</v>
      </c>
      <c r="C9298" s="139" t="s">
        <v>20767</v>
      </c>
      <c r="D9298" s="139" t="s">
        <v>21542</v>
      </c>
    </row>
    <row r="9299" spans="1:4" x14ac:dyDescent="0.25">
      <c r="A9299" s="139" t="s">
        <v>21543</v>
      </c>
      <c r="B9299" s="139" t="s">
        <v>20716</v>
      </c>
      <c r="C9299" s="139" t="s">
        <v>20767</v>
      </c>
      <c r="D9299" s="139" t="s">
        <v>21544</v>
      </c>
    </row>
    <row r="9300" spans="1:4" x14ac:dyDescent="0.25">
      <c r="A9300" s="139" t="s">
        <v>21545</v>
      </c>
      <c r="B9300" s="139" t="s">
        <v>2128</v>
      </c>
      <c r="C9300" s="139" t="s">
        <v>21546</v>
      </c>
      <c r="D9300" s="139" t="s">
        <v>21547</v>
      </c>
    </row>
    <row r="9301" spans="1:4" x14ac:dyDescent="0.25">
      <c r="A9301" s="139" t="s">
        <v>21548</v>
      </c>
      <c r="B9301" s="139" t="s">
        <v>20716</v>
      </c>
      <c r="C9301" s="139" t="s">
        <v>21546</v>
      </c>
      <c r="D9301" s="139" t="s">
        <v>21549</v>
      </c>
    </row>
    <row r="9302" spans="1:4" x14ac:dyDescent="0.25">
      <c r="A9302" s="139" t="s">
        <v>21550</v>
      </c>
      <c r="B9302" s="139" t="s">
        <v>11153</v>
      </c>
      <c r="C9302" s="139" t="s">
        <v>19716</v>
      </c>
      <c r="D9302" s="139" t="s">
        <v>21551</v>
      </c>
    </row>
    <row r="9303" spans="1:4" x14ac:dyDescent="0.25">
      <c r="A9303" s="139" t="s">
        <v>21552</v>
      </c>
      <c r="B9303" s="139" t="s">
        <v>2128</v>
      </c>
      <c r="C9303" s="139" t="s">
        <v>19716</v>
      </c>
      <c r="D9303" s="139" t="s">
        <v>21553</v>
      </c>
    </row>
    <row r="9304" spans="1:4" x14ac:dyDescent="0.25">
      <c r="A9304" s="139" t="s">
        <v>21554</v>
      </c>
      <c r="B9304" s="139" t="s">
        <v>11153</v>
      </c>
      <c r="C9304" s="139" t="s">
        <v>2884</v>
      </c>
      <c r="D9304" s="139" t="s">
        <v>21555</v>
      </c>
    </row>
    <row r="9305" spans="1:4" x14ac:dyDescent="0.25">
      <c r="A9305" s="139" t="s">
        <v>21556</v>
      </c>
      <c r="B9305" s="139" t="s">
        <v>2128</v>
      </c>
      <c r="C9305" s="139" t="s">
        <v>2884</v>
      </c>
      <c r="D9305" s="139" t="s">
        <v>21557</v>
      </c>
    </row>
    <row r="9306" spans="1:4" x14ac:dyDescent="0.25">
      <c r="A9306" s="139" t="s">
        <v>21558</v>
      </c>
      <c r="B9306" s="139" t="s">
        <v>11153</v>
      </c>
      <c r="C9306" s="139" t="s">
        <v>127</v>
      </c>
      <c r="D9306" s="139" t="s">
        <v>21559</v>
      </c>
    </row>
    <row r="9307" spans="1:4" x14ac:dyDescent="0.25">
      <c r="A9307" s="139" t="s">
        <v>21560</v>
      </c>
      <c r="B9307" s="139" t="s">
        <v>2128</v>
      </c>
      <c r="C9307" s="139" t="s">
        <v>127</v>
      </c>
      <c r="D9307" s="139" t="s">
        <v>21561</v>
      </c>
    </row>
    <row r="9308" spans="1:4" x14ac:dyDescent="0.25">
      <c r="A9308" s="139" t="s">
        <v>21562</v>
      </c>
      <c r="B9308" s="139" t="s">
        <v>15172</v>
      </c>
      <c r="C9308" s="139" t="s">
        <v>20767</v>
      </c>
      <c r="D9308" s="139" t="s">
        <v>21563</v>
      </c>
    </row>
    <row r="9309" spans="1:4" x14ac:dyDescent="0.25">
      <c r="A9309" s="139" t="s">
        <v>21564</v>
      </c>
      <c r="B9309" s="139" t="s">
        <v>20716</v>
      </c>
      <c r="C9309" s="139" t="s">
        <v>20767</v>
      </c>
      <c r="D9309" s="139" t="s">
        <v>21565</v>
      </c>
    </row>
    <row r="9310" spans="1:4" x14ac:dyDescent="0.25">
      <c r="A9310" s="139" t="s">
        <v>21566</v>
      </c>
      <c r="B9310" s="139" t="s">
        <v>2128</v>
      </c>
      <c r="C9310" s="139" t="s">
        <v>21546</v>
      </c>
      <c r="D9310" s="139" t="s">
        <v>21567</v>
      </c>
    </row>
    <row r="9311" spans="1:4" x14ac:dyDescent="0.25">
      <c r="A9311" s="139" t="s">
        <v>21568</v>
      </c>
      <c r="B9311" s="139" t="s">
        <v>20716</v>
      </c>
      <c r="C9311" s="139" t="s">
        <v>21546</v>
      </c>
      <c r="D9311" s="139" t="s">
        <v>21569</v>
      </c>
    </row>
    <row r="9312" spans="1:4" x14ac:dyDescent="0.25">
      <c r="A9312" s="139" t="s">
        <v>21570</v>
      </c>
      <c r="B9312" s="139" t="s">
        <v>11153</v>
      </c>
      <c r="C9312" s="139" t="s">
        <v>19716</v>
      </c>
      <c r="D9312" s="139" t="s">
        <v>21571</v>
      </c>
    </row>
    <row r="9313" spans="1:4" x14ac:dyDescent="0.25">
      <c r="A9313" s="139" t="s">
        <v>21572</v>
      </c>
      <c r="B9313" s="139" t="s">
        <v>2128</v>
      </c>
      <c r="C9313" s="139" t="s">
        <v>19716</v>
      </c>
      <c r="D9313" s="139" t="s">
        <v>21573</v>
      </c>
    </row>
    <row r="9314" spans="1:4" x14ac:dyDescent="0.25">
      <c r="A9314" s="139" t="s">
        <v>21574</v>
      </c>
      <c r="B9314" s="139" t="s">
        <v>11153</v>
      </c>
      <c r="C9314" s="139" t="s">
        <v>2884</v>
      </c>
      <c r="D9314" s="139" t="s">
        <v>21575</v>
      </c>
    </row>
    <row r="9315" spans="1:4" x14ac:dyDescent="0.25">
      <c r="A9315" s="139" t="s">
        <v>21576</v>
      </c>
      <c r="B9315" s="139" t="s">
        <v>2128</v>
      </c>
      <c r="C9315" s="139" t="s">
        <v>2884</v>
      </c>
      <c r="D9315" s="139" t="s">
        <v>21577</v>
      </c>
    </row>
    <row r="9316" spans="1:4" x14ac:dyDescent="0.25">
      <c r="A9316" s="139" t="s">
        <v>21578</v>
      </c>
      <c r="B9316" s="139" t="s">
        <v>11153</v>
      </c>
      <c r="C9316" s="139" t="s">
        <v>127</v>
      </c>
      <c r="D9316" s="139" t="s">
        <v>21579</v>
      </c>
    </row>
    <row r="9317" spans="1:4" x14ac:dyDescent="0.25">
      <c r="A9317" s="139" t="s">
        <v>21580</v>
      </c>
      <c r="B9317" s="139" t="s">
        <v>2128</v>
      </c>
      <c r="C9317" s="139" t="s">
        <v>127</v>
      </c>
      <c r="D9317" s="139" t="s">
        <v>21581</v>
      </c>
    </row>
    <row r="9318" spans="1:4" x14ac:dyDescent="0.25">
      <c r="A9318" s="139" t="s">
        <v>21582</v>
      </c>
      <c r="B9318" s="139" t="s">
        <v>11114</v>
      </c>
      <c r="C9318" s="139" t="s">
        <v>33</v>
      </c>
      <c r="D9318" s="139" t="s">
        <v>21583</v>
      </c>
    </row>
    <row r="9319" spans="1:4" x14ac:dyDescent="0.25">
      <c r="A9319" s="139" t="s">
        <v>21584</v>
      </c>
      <c r="B9319" s="139" t="s">
        <v>11114</v>
      </c>
      <c r="C9319" s="139" t="s">
        <v>33</v>
      </c>
      <c r="D9319" s="139" t="s">
        <v>21585</v>
      </c>
    </row>
    <row r="9320" spans="1:4" x14ac:dyDescent="0.25">
      <c r="A9320" s="139" t="s">
        <v>21586</v>
      </c>
      <c r="B9320" s="139" t="s">
        <v>21587</v>
      </c>
      <c r="C9320" s="139" t="s">
        <v>65</v>
      </c>
      <c r="D9320" s="139" t="s">
        <v>21588</v>
      </c>
    </row>
    <row r="9321" spans="1:4" x14ac:dyDescent="0.25">
      <c r="A9321" s="139" t="s">
        <v>21589</v>
      </c>
      <c r="B9321" s="139" t="s">
        <v>21590</v>
      </c>
      <c r="C9321" s="139" t="s">
        <v>65</v>
      </c>
      <c r="D9321" s="139" t="s">
        <v>21591</v>
      </c>
    </row>
    <row r="9322" spans="1:4" x14ac:dyDescent="0.25">
      <c r="A9322" s="139" t="s">
        <v>21592</v>
      </c>
      <c r="B9322" s="139" t="s">
        <v>21587</v>
      </c>
      <c r="C9322" s="139" t="s">
        <v>65</v>
      </c>
      <c r="D9322" s="139" t="s">
        <v>21593</v>
      </c>
    </row>
    <row r="9323" spans="1:4" x14ac:dyDescent="0.25">
      <c r="A9323" s="139" t="s">
        <v>21594</v>
      </c>
      <c r="B9323" s="139" t="s">
        <v>21590</v>
      </c>
      <c r="C9323" s="139" t="s">
        <v>65</v>
      </c>
      <c r="D9323" s="139" t="s">
        <v>21595</v>
      </c>
    </row>
    <row r="9324" spans="1:4" x14ac:dyDescent="0.25">
      <c r="A9324" s="139" t="s">
        <v>21596</v>
      </c>
      <c r="B9324" s="139" t="s">
        <v>21597</v>
      </c>
      <c r="C9324" s="139" t="s">
        <v>65</v>
      </c>
      <c r="D9324" s="139" t="s">
        <v>21598</v>
      </c>
    </row>
    <row r="9325" spans="1:4" x14ac:dyDescent="0.25">
      <c r="A9325" s="139" t="s">
        <v>21599</v>
      </c>
      <c r="B9325" s="139" t="s">
        <v>21597</v>
      </c>
      <c r="C9325" s="139" t="s">
        <v>65</v>
      </c>
      <c r="D9325" s="139" t="s">
        <v>21600</v>
      </c>
    </row>
    <row r="9326" spans="1:4" x14ac:dyDescent="0.25">
      <c r="A9326" s="139" t="s">
        <v>21601</v>
      </c>
      <c r="B9326" s="139" t="s">
        <v>6162</v>
      </c>
      <c r="C9326" s="139" t="s">
        <v>65</v>
      </c>
      <c r="D9326" s="139" t="s">
        <v>21602</v>
      </c>
    </row>
    <row r="9327" spans="1:4" x14ac:dyDescent="0.25">
      <c r="A9327" s="139" t="s">
        <v>21603</v>
      </c>
      <c r="B9327" s="139" t="s">
        <v>21604</v>
      </c>
      <c r="C9327" s="139" t="s">
        <v>65</v>
      </c>
      <c r="D9327" s="139" t="s">
        <v>21605</v>
      </c>
    </row>
    <row r="9328" spans="1:4" x14ac:dyDescent="0.25">
      <c r="A9328" s="139" t="s">
        <v>21606</v>
      </c>
      <c r="B9328" s="139" t="s">
        <v>6162</v>
      </c>
      <c r="C9328" s="139" t="s">
        <v>65</v>
      </c>
      <c r="D9328" s="139" t="s">
        <v>21607</v>
      </c>
    </row>
    <row r="9329" spans="1:4" x14ac:dyDescent="0.25">
      <c r="A9329" s="139" t="s">
        <v>21608</v>
      </c>
      <c r="B9329" s="139" t="s">
        <v>21604</v>
      </c>
      <c r="C9329" s="139" t="s">
        <v>65</v>
      </c>
      <c r="D9329" s="139" t="s">
        <v>21609</v>
      </c>
    </row>
    <row r="9330" spans="1:4" x14ac:dyDescent="0.25">
      <c r="A9330" s="139" t="s">
        <v>21610</v>
      </c>
      <c r="B9330" s="139" t="s">
        <v>2974</v>
      </c>
      <c r="C9330" s="139" t="s">
        <v>65</v>
      </c>
      <c r="D9330" s="139" t="s">
        <v>21611</v>
      </c>
    </row>
    <row r="9331" spans="1:4" x14ac:dyDescent="0.25">
      <c r="A9331" s="139" t="s">
        <v>21612</v>
      </c>
      <c r="B9331" s="139" t="s">
        <v>1817</v>
      </c>
      <c r="C9331" s="139" t="s">
        <v>65</v>
      </c>
      <c r="D9331" s="139" t="s">
        <v>21613</v>
      </c>
    </row>
    <row r="9332" spans="1:4" x14ac:dyDescent="0.25">
      <c r="A9332" s="139" t="s">
        <v>21610</v>
      </c>
      <c r="B9332" s="139" t="s">
        <v>2974</v>
      </c>
      <c r="C9332" s="139" t="s">
        <v>65</v>
      </c>
      <c r="D9332" s="139" t="s">
        <v>21614</v>
      </c>
    </row>
    <row r="9333" spans="1:4" x14ac:dyDescent="0.25">
      <c r="A9333" s="139" t="s">
        <v>21615</v>
      </c>
      <c r="B9333" s="139" t="s">
        <v>1817</v>
      </c>
      <c r="C9333" s="139" t="s">
        <v>65</v>
      </c>
      <c r="D9333" s="139" t="s">
        <v>21616</v>
      </c>
    </row>
    <row r="9334" spans="1:4" x14ac:dyDescent="0.25">
      <c r="A9334" s="139" t="s">
        <v>21617</v>
      </c>
      <c r="B9334" s="139" t="s">
        <v>21618</v>
      </c>
      <c r="C9334" s="139" t="s">
        <v>65</v>
      </c>
      <c r="D9334" s="139" t="s">
        <v>21619</v>
      </c>
    </row>
    <row r="9335" spans="1:4" x14ac:dyDescent="0.25">
      <c r="A9335" s="139" t="s">
        <v>21620</v>
      </c>
      <c r="B9335" s="139" t="s">
        <v>21283</v>
      </c>
      <c r="C9335" s="139" t="s">
        <v>65</v>
      </c>
      <c r="D9335" s="139" t="s">
        <v>21621</v>
      </c>
    </row>
    <row r="9336" spans="1:4" x14ac:dyDescent="0.25">
      <c r="A9336" s="139" t="s">
        <v>21617</v>
      </c>
      <c r="B9336" s="139" t="s">
        <v>21618</v>
      </c>
      <c r="C9336" s="139" t="s">
        <v>65</v>
      </c>
      <c r="D9336" s="139" t="s">
        <v>21622</v>
      </c>
    </row>
    <row r="9337" spans="1:4" x14ac:dyDescent="0.25">
      <c r="A9337" s="139" t="s">
        <v>21623</v>
      </c>
      <c r="B9337" s="139" t="s">
        <v>21283</v>
      </c>
      <c r="C9337" s="139" t="s">
        <v>65</v>
      </c>
      <c r="D9337" s="139" t="s">
        <v>21624</v>
      </c>
    </row>
    <row r="9338" spans="1:4" x14ac:dyDescent="0.25">
      <c r="A9338" s="139" t="s">
        <v>21625</v>
      </c>
      <c r="B9338" s="139" t="s">
        <v>10092</v>
      </c>
      <c r="C9338" s="139" t="s">
        <v>65</v>
      </c>
      <c r="D9338" s="139" t="s">
        <v>21626</v>
      </c>
    </row>
    <row r="9339" spans="1:4" x14ac:dyDescent="0.25">
      <c r="A9339" s="139" t="s">
        <v>21627</v>
      </c>
      <c r="B9339" s="139" t="s">
        <v>10092</v>
      </c>
      <c r="C9339" s="139" t="s">
        <v>65</v>
      </c>
      <c r="D9339" s="139" t="s">
        <v>21628</v>
      </c>
    </row>
    <row r="9340" spans="1:4" x14ac:dyDescent="0.25">
      <c r="A9340" s="139" t="s">
        <v>21629</v>
      </c>
      <c r="B9340" s="139" t="s">
        <v>20189</v>
      </c>
      <c r="C9340" s="139" t="s">
        <v>65</v>
      </c>
      <c r="D9340" s="139" t="s">
        <v>21630</v>
      </c>
    </row>
    <row r="9341" spans="1:4" x14ac:dyDescent="0.25">
      <c r="A9341" s="139" t="s">
        <v>21631</v>
      </c>
      <c r="B9341" s="139" t="s">
        <v>18872</v>
      </c>
      <c r="C9341" s="139" t="s">
        <v>65</v>
      </c>
      <c r="D9341" s="139" t="s">
        <v>21632</v>
      </c>
    </row>
    <row r="9342" spans="1:4" x14ac:dyDescent="0.25">
      <c r="A9342" s="139" t="s">
        <v>21633</v>
      </c>
      <c r="B9342" s="139" t="s">
        <v>2228</v>
      </c>
      <c r="C9342" s="139" t="s">
        <v>65</v>
      </c>
      <c r="D9342" s="139" t="s">
        <v>21634</v>
      </c>
    </row>
    <row r="9343" spans="1:4" x14ac:dyDescent="0.25">
      <c r="A9343" s="139" t="s">
        <v>21635</v>
      </c>
      <c r="B9343" s="139" t="s">
        <v>18867</v>
      </c>
      <c r="C9343" s="139" t="s">
        <v>65</v>
      </c>
      <c r="D9343" s="139" t="s">
        <v>21636</v>
      </c>
    </row>
    <row r="9344" spans="1:4" x14ac:dyDescent="0.25">
      <c r="A9344" s="139" t="s">
        <v>21637</v>
      </c>
      <c r="B9344" s="139" t="s">
        <v>1998</v>
      </c>
      <c r="C9344" s="139" t="s">
        <v>65</v>
      </c>
      <c r="D9344" s="139" t="s">
        <v>21638</v>
      </c>
    </row>
    <row r="9345" spans="1:4" x14ac:dyDescent="0.25">
      <c r="A9345" s="139" t="s">
        <v>21639</v>
      </c>
      <c r="B9345" s="139" t="s">
        <v>11064</v>
      </c>
      <c r="C9345" s="139" t="s">
        <v>65</v>
      </c>
      <c r="D9345" s="139" t="s">
        <v>21640</v>
      </c>
    </row>
    <row r="9346" spans="1:4" x14ac:dyDescent="0.25">
      <c r="A9346" s="139" t="s">
        <v>21641</v>
      </c>
      <c r="B9346" s="139" t="s">
        <v>2003</v>
      </c>
      <c r="C9346" s="139" t="s">
        <v>65</v>
      </c>
      <c r="D9346" s="139" t="s">
        <v>21642</v>
      </c>
    </row>
    <row r="9347" spans="1:4" x14ac:dyDescent="0.25">
      <c r="A9347" s="139" t="s">
        <v>21643</v>
      </c>
      <c r="B9347" s="139" t="s">
        <v>20655</v>
      </c>
      <c r="C9347" s="139" t="s">
        <v>65</v>
      </c>
      <c r="D9347" s="139" t="s">
        <v>21644</v>
      </c>
    </row>
    <row r="9348" spans="1:4" x14ac:dyDescent="0.25">
      <c r="A9348" s="139" t="s">
        <v>21645</v>
      </c>
      <c r="B9348" s="139" t="s">
        <v>20662</v>
      </c>
      <c r="C9348" s="139" t="s">
        <v>65</v>
      </c>
      <c r="D9348" s="139" t="s">
        <v>21646</v>
      </c>
    </row>
    <row r="9349" spans="1:4" x14ac:dyDescent="0.25">
      <c r="A9349" s="139" t="s">
        <v>21647</v>
      </c>
      <c r="B9349" s="139" t="s">
        <v>21648</v>
      </c>
      <c r="C9349" s="139" t="s">
        <v>65</v>
      </c>
      <c r="D9349" s="139" t="s">
        <v>21649</v>
      </c>
    </row>
    <row r="9350" spans="1:4" x14ac:dyDescent="0.25">
      <c r="A9350" s="139" t="s">
        <v>21650</v>
      </c>
      <c r="B9350" s="139" t="s">
        <v>20189</v>
      </c>
      <c r="C9350" s="139" t="s">
        <v>65</v>
      </c>
      <c r="D9350" s="139" t="s">
        <v>21651</v>
      </c>
    </row>
    <row r="9351" spans="1:4" x14ac:dyDescent="0.25">
      <c r="A9351" s="139" t="s">
        <v>21652</v>
      </c>
      <c r="B9351" s="139" t="s">
        <v>18872</v>
      </c>
      <c r="C9351" s="139" t="s">
        <v>65</v>
      </c>
      <c r="D9351" s="139" t="s">
        <v>21653</v>
      </c>
    </row>
    <row r="9352" spans="1:4" x14ac:dyDescent="0.25">
      <c r="A9352" s="139" t="s">
        <v>21654</v>
      </c>
      <c r="B9352" s="139" t="s">
        <v>2228</v>
      </c>
      <c r="C9352" s="139" t="s">
        <v>65</v>
      </c>
      <c r="D9352" s="139" t="s">
        <v>21655</v>
      </c>
    </row>
    <row r="9353" spans="1:4" x14ac:dyDescent="0.25">
      <c r="A9353" s="139" t="s">
        <v>21656</v>
      </c>
      <c r="B9353" s="139" t="s">
        <v>18867</v>
      </c>
      <c r="C9353" s="139" t="s">
        <v>65</v>
      </c>
      <c r="D9353" s="139" t="s">
        <v>21657</v>
      </c>
    </row>
    <row r="9354" spans="1:4" x14ac:dyDescent="0.25">
      <c r="A9354" s="139" t="s">
        <v>21658</v>
      </c>
      <c r="B9354" s="139" t="s">
        <v>1998</v>
      </c>
      <c r="C9354" s="139" t="s">
        <v>65</v>
      </c>
      <c r="D9354" s="139" t="s">
        <v>21659</v>
      </c>
    </row>
    <row r="9355" spans="1:4" x14ac:dyDescent="0.25">
      <c r="A9355" s="139" t="s">
        <v>21660</v>
      </c>
      <c r="B9355" s="139" t="s">
        <v>11064</v>
      </c>
      <c r="C9355" s="139" t="s">
        <v>65</v>
      </c>
      <c r="D9355" s="139" t="s">
        <v>21661</v>
      </c>
    </row>
    <row r="9356" spans="1:4" x14ac:dyDescent="0.25">
      <c r="A9356" s="139" t="s">
        <v>21662</v>
      </c>
      <c r="B9356" s="139" t="s">
        <v>2003</v>
      </c>
      <c r="C9356" s="139" t="s">
        <v>65</v>
      </c>
      <c r="D9356" s="139" t="s">
        <v>21663</v>
      </c>
    </row>
    <row r="9357" spans="1:4" x14ac:dyDescent="0.25">
      <c r="A9357" s="139" t="s">
        <v>21664</v>
      </c>
      <c r="B9357" s="139" t="s">
        <v>20655</v>
      </c>
      <c r="C9357" s="139" t="s">
        <v>65</v>
      </c>
      <c r="D9357" s="139" t="s">
        <v>21665</v>
      </c>
    </row>
    <row r="9358" spans="1:4" x14ac:dyDescent="0.25">
      <c r="A9358" s="139" t="s">
        <v>21666</v>
      </c>
      <c r="B9358" s="139" t="s">
        <v>20662</v>
      </c>
      <c r="C9358" s="139" t="s">
        <v>65</v>
      </c>
      <c r="D9358" s="139" t="s">
        <v>21667</v>
      </c>
    </row>
    <row r="9359" spans="1:4" x14ac:dyDescent="0.25">
      <c r="A9359" s="139" t="s">
        <v>21668</v>
      </c>
      <c r="B9359" s="139" t="s">
        <v>21648</v>
      </c>
      <c r="C9359" s="139" t="s">
        <v>65</v>
      </c>
      <c r="D9359" s="139" t="s">
        <v>21669</v>
      </c>
    </row>
    <row r="9360" spans="1:4" x14ac:dyDescent="0.25">
      <c r="A9360" s="139" t="s">
        <v>21670</v>
      </c>
      <c r="B9360" s="139" t="s">
        <v>19609</v>
      </c>
      <c r="C9360" s="139" t="s">
        <v>65</v>
      </c>
      <c r="D9360" s="139" t="s">
        <v>21671</v>
      </c>
    </row>
    <row r="9361" spans="1:4" x14ac:dyDescent="0.25">
      <c r="A9361" s="139" t="s">
        <v>21672</v>
      </c>
      <c r="B9361" s="139" t="s">
        <v>19602</v>
      </c>
      <c r="C9361" s="139" t="s">
        <v>65</v>
      </c>
      <c r="D9361" s="139" t="s">
        <v>21673</v>
      </c>
    </row>
    <row r="9362" spans="1:4" x14ac:dyDescent="0.25">
      <c r="A9362" s="139" t="s">
        <v>21674</v>
      </c>
      <c r="B9362" s="139" t="s">
        <v>2883</v>
      </c>
      <c r="C9362" s="139" t="s">
        <v>65</v>
      </c>
      <c r="D9362" s="139" t="s">
        <v>21675</v>
      </c>
    </row>
    <row r="9363" spans="1:4" x14ac:dyDescent="0.25">
      <c r="A9363" s="139" t="s">
        <v>21676</v>
      </c>
      <c r="B9363" s="139" t="s">
        <v>21677</v>
      </c>
      <c r="C9363" s="139" t="s">
        <v>65</v>
      </c>
      <c r="D9363" s="139" t="s">
        <v>21678</v>
      </c>
    </row>
    <row r="9364" spans="1:4" x14ac:dyDescent="0.25">
      <c r="A9364" s="139" t="s">
        <v>21679</v>
      </c>
      <c r="B9364" s="139" t="s">
        <v>19609</v>
      </c>
      <c r="C9364" s="139" t="s">
        <v>65</v>
      </c>
      <c r="D9364" s="139" t="s">
        <v>21680</v>
      </c>
    </row>
    <row r="9365" spans="1:4" x14ac:dyDescent="0.25">
      <c r="A9365" s="139" t="s">
        <v>21681</v>
      </c>
      <c r="B9365" s="139" t="s">
        <v>19602</v>
      </c>
      <c r="C9365" s="139" t="s">
        <v>65</v>
      </c>
      <c r="D9365" s="139" t="s">
        <v>21682</v>
      </c>
    </row>
    <row r="9366" spans="1:4" x14ac:dyDescent="0.25">
      <c r="A9366" s="139" t="s">
        <v>21683</v>
      </c>
      <c r="B9366" s="139" t="s">
        <v>2883</v>
      </c>
      <c r="C9366" s="139" t="s">
        <v>65</v>
      </c>
      <c r="D9366" s="139" t="s">
        <v>21684</v>
      </c>
    </row>
    <row r="9367" spans="1:4" x14ac:dyDescent="0.25">
      <c r="A9367" s="139" t="s">
        <v>21685</v>
      </c>
      <c r="B9367" s="139" t="s">
        <v>21677</v>
      </c>
      <c r="C9367" s="139" t="s">
        <v>65</v>
      </c>
      <c r="D9367" s="139" t="s">
        <v>21686</v>
      </c>
    </row>
    <row r="9368" spans="1:4" x14ac:dyDescent="0.25">
      <c r="A9368" s="139" t="s">
        <v>21687</v>
      </c>
      <c r="B9368" s="139" t="s">
        <v>2331</v>
      </c>
      <c r="C9368" s="139" t="s">
        <v>65</v>
      </c>
      <c r="D9368" s="139" t="s">
        <v>21688</v>
      </c>
    </row>
    <row r="9369" spans="1:4" x14ac:dyDescent="0.25">
      <c r="A9369" s="139" t="s">
        <v>21689</v>
      </c>
      <c r="B9369" s="139" t="s">
        <v>7061</v>
      </c>
      <c r="C9369" s="139" t="s">
        <v>65</v>
      </c>
      <c r="D9369" s="139" t="s">
        <v>21690</v>
      </c>
    </row>
    <row r="9370" spans="1:4" x14ac:dyDescent="0.25">
      <c r="A9370" s="139" t="s">
        <v>21691</v>
      </c>
      <c r="B9370" s="139" t="s">
        <v>11510</v>
      </c>
      <c r="C9370" s="139" t="s">
        <v>65</v>
      </c>
      <c r="D9370" s="139" t="s">
        <v>21692</v>
      </c>
    </row>
    <row r="9371" spans="1:4" x14ac:dyDescent="0.25">
      <c r="A9371" s="139" t="s">
        <v>21693</v>
      </c>
      <c r="B9371" s="139" t="s">
        <v>4371</v>
      </c>
      <c r="C9371" s="139" t="s">
        <v>65</v>
      </c>
      <c r="D9371" s="139" t="s">
        <v>21694</v>
      </c>
    </row>
    <row r="9372" spans="1:4" x14ac:dyDescent="0.25">
      <c r="A9372" s="139" t="s">
        <v>21695</v>
      </c>
      <c r="B9372" s="139" t="s">
        <v>21696</v>
      </c>
      <c r="C9372" s="139" t="s">
        <v>65</v>
      </c>
      <c r="D9372" s="139" t="s">
        <v>21697</v>
      </c>
    </row>
    <row r="9373" spans="1:4" x14ac:dyDescent="0.25">
      <c r="A9373" s="139" t="s">
        <v>21698</v>
      </c>
      <c r="B9373" s="139" t="s">
        <v>2331</v>
      </c>
      <c r="C9373" s="139" t="s">
        <v>65</v>
      </c>
      <c r="D9373" s="139" t="s">
        <v>21699</v>
      </c>
    </row>
    <row r="9374" spans="1:4" x14ac:dyDescent="0.25">
      <c r="A9374" s="139" t="s">
        <v>21700</v>
      </c>
      <c r="B9374" s="139" t="s">
        <v>7061</v>
      </c>
      <c r="C9374" s="139" t="s">
        <v>65</v>
      </c>
      <c r="D9374" s="139" t="s">
        <v>21701</v>
      </c>
    </row>
    <row r="9375" spans="1:4" x14ac:dyDescent="0.25">
      <c r="A9375" s="139" t="s">
        <v>21702</v>
      </c>
      <c r="B9375" s="139" t="s">
        <v>11510</v>
      </c>
      <c r="C9375" s="139" t="s">
        <v>65</v>
      </c>
      <c r="D9375" s="139" t="s">
        <v>21703</v>
      </c>
    </row>
    <row r="9376" spans="1:4" x14ac:dyDescent="0.25">
      <c r="A9376" s="139" t="s">
        <v>21704</v>
      </c>
      <c r="B9376" s="139" t="s">
        <v>4371</v>
      </c>
      <c r="C9376" s="139" t="s">
        <v>65</v>
      </c>
      <c r="D9376" s="139" t="s">
        <v>21705</v>
      </c>
    </row>
    <row r="9377" spans="1:4" x14ac:dyDescent="0.25">
      <c r="A9377" s="139" t="s">
        <v>21706</v>
      </c>
      <c r="B9377" s="139" t="s">
        <v>21696</v>
      </c>
      <c r="C9377" s="139" t="s">
        <v>65</v>
      </c>
      <c r="D9377" s="139" t="s">
        <v>21707</v>
      </c>
    </row>
    <row r="9378" spans="1:4" x14ac:dyDescent="0.25">
      <c r="A9378" s="139" t="s">
        <v>21708</v>
      </c>
      <c r="B9378" s="139" t="s">
        <v>21709</v>
      </c>
      <c r="C9378" s="139" t="s">
        <v>65</v>
      </c>
      <c r="D9378" s="139" t="s">
        <v>21710</v>
      </c>
    </row>
    <row r="9379" spans="1:4" x14ac:dyDescent="0.25">
      <c r="A9379" s="139" t="s">
        <v>21711</v>
      </c>
      <c r="B9379" s="139" t="s">
        <v>3202</v>
      </c>
      <c r="C9379" s="139" t="s">
        <v>65</v>
      </c>
      <c r="D9379" s="139" t="s">
        <v>21712</v>
      </c>
    </row>
    <row r="9380" spans="1:4" x14ac:dyDescent="0.25">
      <c r="A9380" s="139" t="s">
        <v>21713</v>
      </c>
      <c r="B9380" s="139" t="s">
        <v>1189</v>
      </c>
      <c r="C9380" s="139" t="s">
        <v>65</v>
      </c>
      <c r="D9380" s="139" t="s">
        <v>21714</v>
      </c>
    </row>
    <row r="9381" spans="1:4" x14ac:dyDescent="0.25">
      <c r="A9381" s="139" t="s">
        <v>21715</v>
      </c>
      <c r="B9381" s="139" t="s">
        <v>21716</v>
      </c>
      <c r="C9381" s="139" t="s">
        <v>65</v>
      </c>
      <c r="D9381" s="139" t="s">
        <v>21717</v>
      </c>
    </row>
    <row r="9382" spans="1:4" x14ac:dyDescent="0.25">
      <c r="A9382" s="139" t="s">
        <v>21718</v>
      </c>
      <c r="B9382" s="139" t="s">
        <v>4615</v>
      </c>
      <c r="C9382" s="139" t="s">
        <v>65</v>
      </c>
      <c r="D9382" s="139" t="s">
        <v>21719</v>
      </c>
    </row>
    <row r="9383" spans="1:4" x14ac:dyDescent="0.25">
      <c r="A9383" s="139" t="s">
        <v>21720</v>
      </c>
      <c r="B9383" s="139" t="s">
        <v>2338</v>
      </c>
      <c r="C9383" s="139" t="s">
        <v>65</v>
      </c>
      <c r="D9383" s="139" t="s">
        <v>21721</v>
      </c>
    </row>
    <row r="9384" spans="1:4" x14ac:dyDescent="0.25">
      <c r="A9384" s="139" t="s">
        <v>21722</v>
      </c>
      <c r="B9384" s="139" t="s">
        <v>1693</v>
      </c>
      <c r="C9384" s="139" t="s">
        <v>65</v>
      </c>
      <c r="D9384" s="139" t="s">
        <v>21723</v>
      </c>
    </row>
    <row r="9385" spans="1:4" x14ac:dyDescent="0.25">
      <c r="A9385" s="139" t="s">
        <v>21724</v>
      </c>
      <c r="B9385" s="139" t="s">
        <v>21725</v>
      </c>
      <c r="C9385" s="139" t="s">
        <v>65</v>
      </c>
      <c r="D9385" s="139" t="s">
        <v>21726</v>
      </c>
    </row>
    <row r="9386" spans="1:4" x14ac:dyDescent="0.25">
      <c r="A9386" s="139" t="s">
        <v>21727</v>
      </c>
      <c r="B9386" s="139" t="s">
        <v>21728</v>
      </c>
      <c r="C9386" s="139" t="s">
        <v>65</v>
      </c>
      <c r="D9386" s="139" t="s">
        <v>21729</v>
      </c>
    </row>
    <row r="9387" spans="1:4" x14ac:dyDescent="0.25">
      <c r="A9387" s="139" t="s">
        <v>21730</v>
      </c>
      <c r="B9387" s="139" t="s">
        <v>21709</v>
      </c>
      <c r="C9387" s="139" t="s">
        <v>65</v>
      </c>
      <c r="D9387" s="139" t="s">
        <v>21731</v>
      </c>
    </row>
    <row r="9388" spans="1:4" x14ac:dyDescent="0.25">
      <c r="A9388" s="139" t="s">
        <v>21732</v>
      </c>
      <c r="B9388" s="139" t="s">
        <v>3202</v>
      </c>
      <c r="C9388" s="139" t="s">
        <v>65</v>
      </c>
      <c r="D9388" s="139" t="s">
        <v>21733</v>
      </c>
    </row>
    <row r="9389" spans="1:4" x14ac:dyDescent="0.25">
      <c r="A9389" s="139" t="s">
        <v>21734</v>
      </c>
      <c r="B9389" s="139" t="s">
        <v>1189</v>
      </c>
      <c r="C9389" s="139" t="s">
        <v>65</v>
      </c>
      <c r="D9389" s="139" t="s">
        <v>21735</v>
      </c>
    </row>
    <row r="9390" spans="1:4" x14ac:dyDescent="0.25">
      <c r="A9390" s="139" t="s">
        <v>21736</v>
      </c>
      <c r="B9390" s="139" t="s">
        <v>21716</v>
      </c>
      <c r="C9390" s="139" t="s">
        <v>65</v>
      </c>
      <c r="D9390" s="139" t="s">
        <v>21737</v>
      </c>
    </row>
    <row r="9391" spans="1:4" x14ac:dyDescent="0.25">
      <c r="A9391" s="139" t="s">
        <v>21738</v>
      </c>
      <c r="B9391" s="139" t="s">
        <v>4615</v>
      </c>
      <c r="C9391" s="139" t="s">
        <v>65</v>
      </c>
      <c r="D9391" s="139" t="s">
        <v>21739</v>
      </c>
    </row>
    <row r="9392" spans="1:4" x14ac:dyDescent="0.25">
      <c r="A9392" s="139" t="s">
        <v>21740</v>
      </c>
      <c r="B9392" s="139" t="s">
        <v>2338</v>
      </c>
      <c r="C9392" s="139" t="s">
        <v>65</v>
      </c>
      <c r="D9392" s="139" t="s">
        <v>21741</v>
      </c>
    </row>
    <row r="9393" spans="1:4" x14ac:dyDescent="0.25">
      <c r="A9393" s="139" t="s">
        <v>21742</v>
      </c>
      <c r="B9393" s="139" t="s">
        <v>1693</v>
      </c>
      <c r="C9393" s="139" t="s">
        <v>65</v>
      </c>
      <c r="D9393" s="139" t="s">
        <v>21743</v>
      </c>
    </row>
    <row r="9394" spans="1:4" x14ac:dyDescent="0.25">
      <c r="A9394" s="139" t="s">
        <v>21744</v>
      </c>
      <c r="B9394" s="139" t="s">
        <v>21725</v>
      </c>
      <c r="C9394" s="139" t="s">
        <v>65</v>
      </c>
      <c r="D9394" s="139" t="s">
        <v>21745</v>
      </c>
    </row>
    <row r="9395" spans="1:4" x14ac:dyDescent="0.25">
      <c r="A9395" s="139" t="s">
        <v>21746</v>
      </c>
      <c r="B9395" s="139" t="s">
        <v>21728</v>
      </c>
      <c r="C9395" s="139" t="s">
        <v>65</v>
      </c>
      <c r="D9395" s="139" t="s">
        <v>21747</v>
      </c>
    </row>
    <row r="9396" spans="1:4" x14ac:dyDescent="0.25">
      <c r="A9396" s="139" t="s">
        <v>21748</v>
      </c>
      <c r="B9396" s="139" t="s">
        <v>11198</v>
      </c>
      <c r="C9396" s="139" t="s">
        <v>65</v>
      </c>
      <c r="D9396" s="139" t="s">
        <v>21749</v>
      </c>
    </row>
    <row r="9397" spans="1:4" x14ac:dyDescent="0.25">
      <c r="A9397" s="139" t="s">
        <v>21750</v>
      </c>
      <c r="B9397" s="139" t="s">
        <v>11198</v>
      </c>
      <c r="C9397" s="139" t="s">
        <v>65</v>
      </c>
      <c r="D9397" s="139" t="s">
        <v>21751</v>
      </c>
    </row>
    <row r="9398" spans="1:4" x14ac:dyDescent="0.25">
      <c r="A9398" s="139" t="s">
        <v>21752</v>
      </c>
      <c r="B9398" s="139" t="s">
        <v>11198</v>
      </c>
      <c r="C9398" s="139" t="s">
        <v>20948</v>
      </c>
      <c r="D9398" s="139" t="s">
        <v>21753</v>
      </c>
    </row>
    <row r="9399" spans="1:4" x14ac:dyDescent="0.25">
      <c r="A9399" s="139" t="s">
        <v>21754</v>
      </c>
      <c r="B9399" s="139" t="s">
        <v>11198</v>
      </c>
      <c r="C9399" s="139" t="s">
        <v>20948</v>
      </c>
      <c r="D9399" s="139" t="s">
        <v>21755</v>
      </c>
    </row>
    <row r="9400" spans="1:4" x14ac:dyDescent="0.25">
      <c r="A9400" s="139" t="s">
        <v>21756</v>
      </c>
      <c r="B9400" s="139" t="s">
        <v>20958</v>
      </c>
      <c r="C9400" s="139" t="s">
        <v>20948</v>
      </c>
      <c r="D9400" s="139" t="s">
        <v>21757</v>
      </c>
    </row>
    <row r="9401" spans="1:4" x14ac:dyDescent="0.25">
      <c r="A9401" s="139" t="s">
        <v>21758</v>
      </c>
      <c r="B9401" s="139" t="s">
        <v>20975</v>
      </c>
      <c r="C9401" s="139" t="s">
        <v>20948</v>
      </c>
      <c r="D9401" s="139" t="s">
        <v>21759</v>
      </c>
    </row>
    <row r="9402" spans="1:4" x14ac:dyDescent="0.25">
      <c r="A9402" s="139" t="s">
        <v>21760</v>
      </c>
      <c r="B9402" s="139" t="s">
        <v>20958</v>
      </c>
      <c r="C9402" s="139" t="s">
        <v>20948</v>
      </c>
      <c r="D9402" s="139" t="s">
        <v>21761</v>
      </c>
    </row>
    <row r="9403" spans="1:4" x14ac:dyDescent="0.25">
      <c r="A9403" s="139" t="s">
        <v>21762</v>
      </c>
      <c r="B9403" s="139" t="s">
        <v>20975</v>
      </c>
      <c r="C9403" s="139" t="s">
        <v>20948</v>
      </c>
      <c r="D9403" s="139" t="s">
        <v>21763</v>
      </c>
    </row>
    <row r="9404" spans="1:4" x14ac:dyDescent="0.25">
      <c r="A9404" s="139" t="s">
        <v>21764</v>
      </c>
      <c r="B9404" s="139" t="s">
        <v>21765</v>
      </c>
      <c r="C9404" s="139" t="s">
        <v>316</v>
      </c>
      <c r="D9404" s="139" t="s">
        <v>21766</v>
      </c>
    </row>
    <row r="9405" spans="1:4" x14ac:dyDescent="0.25">
      <c r="A9405" s="139" t="s">
        <v>21767</v>
      </c>
      <c r="B9405" s="139" t="s">
        <v>5735</v>
      </c>
      <c r="C9405" s="139" t="s">
        <v>65</v>
      </c>
      <c r="D9405" s="139" t="s">
        <v>21768</v>
      </c>
    </row>
    <row r="9406" spans="1:4" x14ac:dyDescent="0.25">
      <c r="A9406" s="139" t="s">
        <v>21769</v>
      </c>
      <c r="B9406" s="139" t="s">
        <v>5735</v>
      </c>
      <c r="C9406" s="139" t="s">
        <v>65</v>
      </c>
      <c r="D9406" s="139" t="s">
        <v>21770</v>
      </c>
    </row>
    <row r="9407" spans="1:4" x14ac:dyDescent="0.25">
      <c r="A9407" s="139" t="s">
        <v>21771</v>
      </c>
      <c r="B9407" s="139" t="s">
        <v>21772</v>
      </c>
      <c r="C9407" s="139" t="s">
        <v>65</v>
      </c>
      <c r="D9407" s="139" t="s">
        <v>21773</v>
      </c>
    </row>
    <row r="9408" spans="1:4" x14ac:dyDescent="0.25">
      <c r="A9408" s="139" t="s">
        <v>21774</v>
      </c>
      <c r="B9408" s="139" t="s">
        <v>21772</v>
      </c>
      <c r="C9408" s="139" t="s">
        <v>65</v>
      </c>
      <c r="D9408" s="139" t="s">
        <v>21775</v>
      </c>
    </row>
    <row r="9409" spans="1:4" x14ac:dyDescent="0.25">
      <c r="A9409" s="139" t="s">
        <v>21776</v>
      </c>
      <c r="B9409" s="139" t="s">
        <v>21777</v>
      </c>
      <c r="C9409" s="139" t="s">
        <v>65</v>
      </c>
      <c r="D9409" s="139" t="s">
        <v>21778</v>
      </c>
    </row>
    <row r="9410" spans="1:4" x14ac:dyDescent="0.25">
      <c r="A9410" s="139" t="s">
        <v>21779</v>
      </c>
      <c r="B9410" s="139" t="s">
        <v>21777</v>
      </c>
      <c r="C9410" s="139" t="s">
        <v>65</v>
      </c>
      <c r="D9410" s="139" t="s">
        <v>21780</v>
      </c>
    </row>
    <row r="9411" spans="1:4" x14ac:dyDescent="0.25">
      <c r="A9411" s="139" t="s">
        <v>21781</v>
      </c>
      <c r="B9411" s="139" t="s">
        <v>6721</v>
      </c>
      <c r="C9411" s="139" t="s">
        <v>65</v>
      </c>
      <c r="D9411" s="139" t="s">
        <v>21782</v>
      </c>
    </row>
    <row r="9412" spans="1:4" x14ac:dyDescent="0.25">
      <c r="A9412" s="139" t="s">
        <v>21783</v>
      </c>
      <c r="B9412" s="139" t="s">
        <v>6721</v>
      </c>
      <c r="C9412" s="139" t="s">
        <v>65</v>
      </c>
      <c r="D9412" s="139" t="s">
        <v>21784</v>
      </c>
    </row>
    <row r="9413" spans="1:4" x14ac:dyDescent="0.25">
      <c r="A9413" s="139" t="s">
        <v>21785</v>
      </c>
      <c r="B9413" s="139" t="s">
        <v>1662</v>
      </c>
      <c r="C9413" s="139" t="s">
        <v>65</v>
      </c>
      <c r="D9413" s="139" t="s">
        <v>21786</v>
      </c>
    </row>
    <row r="9414" spans="1:4" x14ac:dyDescent="0.25">
      <c r="A9414" s="139" t="s">
        <v>21787</v>
      </c>
      <c r="B9414" s="139" t="s">
        <v>1662</v>
      </c>
      <c r="C9414" s="139" t="s">
        <v>65</v>
      </c>
      <c r="D9414" s="139" t="s">
        <v>21788</v>
      </c>
    </row>
    <row r="9415" spans="1:4" x14ac:dyDescent="0.25">
      <c r="A9415" s="139" t="s">
        <v>21789</v>
      </c>
      <c r="B9415" s="139" t="s">
        <v>21790</v>
      </c>
      <c r="C9415" s="139" t="s">
        <v>65</v>
      </c>
      <c r="D9415" s="139" t="s">
        <v>21791</v>
      </c>
    </row>
    <row r="9416" spans="1:4" x14ac:dyDescent="0.25">
      <c r="A9416" s="139" t="s">
        <v>21792</v>
      </c>
      <c r="B9416" s="139" t="s">
        <v>21790</v>
      </c>
      <c r="C9416" s="139" t="s">
        <v>65</v>
      </c>
      <c r="D9416" s="139" t="s">
        <v>21793</v>
      </c>
    </row>
    <row r="9417" spans="1:4" x14ac:dyDescent="0.25">
      <c r="A9417" s="139" t="s">
        <v>21794</v>
      </c>
      <c r="B9417" s="139" t="s">
        <v>18882</v>
      </c>
      <c r="C9417" s="139" t="s">
        <v>65</v>
      </c>
      <c r="D9417" s="139" t="s">
        <v>21795</v>
      </c>
    </row>
    <row r="9418" spans="1:4" x14ac:dyDescent="0.25">
      <c r="A9418" s="139" t="s">
        <v>21796</v>
      </c>
      <c r="B9418" s="139" t="s">
        <v>18882</v>
      </c>
      <c r="C9418" s="139" t="s">
        <v>65</v>
      </c>
      <c r="D9418" s="139" t="s">
        <v>21797</v>
      </c>
    </row>
    <row r="9419" spans="1:4" x14ac:dyDescent="0.25">
      <c r="A9419" s="139" t="s">
        <v>21798</v>
      </c>
      <c r="B9419" s="139" t="s">
        <v>21799</v>
      </c>
      <c r="C9419" s="139" t="s">
        <v>65</v>
      </c>
      <c r="D9419" s="139" t="s">
        <v>21800</v>
      </c>
    </row>
    <row r="9420" spans="1:4" x14ac:dyDescent="0.25">
      <c r="A9420" s="139" t="s">
        <v>21801</v>
      </c>
      <c r="B9420" s="139" t="s">
        <v>21799</v>
      </c>
      <c r="C9420" s="139" t="s">
        <v>65</v>
      </c>
      <c r="D9420" s="139" t="s">
        <v>21802</v>
      </c>
    </row>
    <row r="9421" spans="1:4" x14ac:dyDescent="0.25">
      <c r="A9421" s="139" t="s">
        <v>21803</v>
      </c>
      <c r="B9421" s="139" t="s">
        <v>21804</v>
      </c>
      <c r="C9421" s="139" t="s">
        <v>65</v>
      </c>
      <c r="D9421" s="139" t="s">
        <v>21805</v>
      </c>
    </row>
    <row r="9422" spans="1:4" x14ac:dyDescent="0.25">
      <c r="A9422" s="139" t="s">
        <v>21806</v>
      </c>
      <c r="B9422" s="139" t="s">
        <v>21804</v>
      </c>
      <c r="C9422" s="139" t="s">
        <v>65</v>
      </c>
      <c r="D9422" s="139" t="s">
        <v>21807</v>
      </c>
    </row>
    <row r="9423" spans="1:4" x14ac:dyDescent="0.25">
      <c r="A9423" s="139" t="s">
        <v>21808</v>
      </c>
      <c r="B9423" s="139" t="s">
        <v>21809</v>
      </c>
      <c r="C9423" s="139" t="s">
        <v>33</v>
      </c>
      <c r="D9423" s="139" t="s">
        <v>21810</v>
      </c>
    </row>
    <row r="9424" spans="1:4" x14ac:dyDescent="0.25">
      <c r="A9424" s="139" t="s">
        <v>21811</v>
      </c>
      <c r="B9424" s="139" t="s">
        <v>21809</v>
      </c>
      <c r="C9424" s="139" t="s">
        <v>33</v>
      </c>
      <c r="D9424" s="139" t="s">
        <v>21812</v>
      </c>
    </row>
    <row r="9425" spans="1:4" x14ac:dyDescent="0.25">
      <c r="A9425" s="139" t="s">
        <v>21813</v>
      </c>
      <c r="B9425" s="139" t="s">
        <v>16932</v>
      </c>
      <c r="C9425" s="139" t="s">
        <v>33</v>
      </c>
      <c r="D9425" s="139" t="s">
        <v>21814</v>
      </c>
    </row>
    <row r="9426" spans="1:4" x14ac:dyDescent="0.25">
      <c r="A9426" s="139" t="s">
        <v>21815</v>
      </c>
      <c r="B9426" s="139" t="s">
        <v>16932</v>
      </c>
      <c r="C9426" s="139" t="s">
        <v>33</v>
      </c>
      <c r="D9426" s="139" t="s">
        <v>21816</v>
      </c>
    </row>
    <row r="9427" spans="1:4" x14ac:dyDescent="0.25">
      <c r="A9427" s="139" t="s">
        <v>21817</v>
      </c>
      <c r="B9427" s="139" t="s">
        <v>21818</v>
      </c>
      <c r="C9427" s="139" t="s">
        <v>33</v>
      </c>
      <c r="D9427" s="139" t="s">
        <v>21819</v>
      </c>
    </row>
    <row r="9428" spans="1:4" x14ac:dyDescent="0.25">
      <c r="A9428" s="139" t="s">
        <v>21820</v>
      </c>
      <c r="B9428" s="139" t="s">
        <v>21818</v>
      </c>
      <c r="C9428" s="139" t="s">
        <v>33</v>
      </c>
      <c r="D9428" s="139" t="s">
        <v>21821</v>
      </c>
    </row>
    <row r="9429" spans="1:4" x14ac:dyDescent="0.25">
      <c r="A9429" s="139" t="s">
        <v>21822</v>
      </c>
      <c r="B9429" s="139" t="s">
        <v>4615</v>
      </c>
      <c r="C9429" s="139" t="s">
        <v>33</v>
      </c>
      <c r="D9429" s="139" t="s">
        <v>21823</v>
      </c>
    </row>
    <row r="9430" spans="1:4" x14ac:dyDescent="0.25">
      <c r="A9430" s="139" t="s">
        <v>21824</v>
      </c>
      <c r="B9430" s="139" t="s">
        <v>4615</v>
      </c>
      <c r="C9430" s="139" t="s">
        <v>33</v>
      </c>
      <c r="D9430" s="139" t="s">
        <v>21825</v>
      </c>
    </row>
    <row r="9431" spans="1:4" x14ac:dyDescent="0.25">
      <c r="A9431" s="139" t="s">
        <v>21826</v>
      </c>
      <c r="B9431" s="139" t="s">
        <v>1189</v>
      </c>
      <c r="C9431" s="139" t="s">
        <v>33</v>
      </c>
      <c r="D9431" s="139" t="s">
        <v>21827</v>
      </c>
    </row>
    <row r="9432" spans="1:4" x14ac:dyDescent="0.25">
      <c r="A9432" s="139" t="s">
        <v>21828</v>
      </c>
      <c r="B9432" s="139" t="s">
        <v>1189</v>
      </c>
      <c r="C9432" s="139" t="s">
        <v>33</v>
      </c>
      <c r="D9432" s="139" t="s">
        <v>21829</v>
      </c>
    </row>
    <row r="9433" spans="1:4" x14ac:dyDescent="0.25">
      <c r="A9433" s="139" t="s">
        <v>21830</v>
      </c>
      <c r="B9433" s="139" t="s">
        <v>21831</v>
      </c>
      <c r="C9433" s="139" t="s">
        <v>33</v>
      </c>
      <c r="D9433" s="139" t="s">
        <v>21832</v>
      </c>
    </row>
    <row r="9434" spans="1:4" x14ac:dyDescent="0.25">
      <c r="A9434" s="139" t="s">
        <v>21833</v>
      </c>
      <c r="B9434" s="139" t="s">
        <v>21831</v>
      </c>
      <c r="C9434" s="139" t="s">
        <v>33</v>
      </c>
      <c r="D9434" s="139" t="s">
        <v>21834</v>
      </c>
    </row>
    <row r="9435" spans="1:4" x14ac:dyDescent="0.25">
      <c r="A9435" s="139" t="s">
        <v>21835</v>
      </c>
      <c r="B9435" s="139" t="s">
        <v>21836</v>
      </c>
      <c r="C9435" s="139" t="s">
        <v>33</v>
      </c>
      <c r="D9435" s="139" t="s">
        <v>21837</v>
      </c>
    </row>
    <row r="9436" spans="1:4" x14ac:dyDescent="0.25">
      <c r="A9436" s="139" t="s">
        <v>21838</v>
      </c>
      <c r="B9436" s="139" t="s">
        <v>21836</v>
      </c>
      <c r="C9436" s="139" t="s">
        <v>33</v>
      </c>
      <c r="D9436" s="139" t="s">
        <v>21839</v>
      </c>
    </row>
    <row r="9437" spans="1:4" x14ac:dyDescent="0.25">
      <c r="A9437" s="139" t="s">
        <v>21840</v>
      </c>
      <c r="B9437" s="139" t="s">
        <v>21841</v>
      </c>
      <c r="C9437" s="139" t="s">
        <v>33</v>
      </c>
      <c r="D9437" s="139" t="s">
        <v>21842</v>
      </c>
    </row>
    <row r="9438" spans="1:4" x14ac:dyDescent="0.25">
      <c r="A9438" s="139" t="s">
        <v>21843</v>
      </c>
      <c r="B9438" s="139" t="s">
        <v>21841</v>
      </c>
      <c r="C9438" s="139" t="s">
        <v>33</v>
      </c>
      <c r="D9438" s="139" t="s">
        <v>21844</v>
      </c>
    </row>
    <row r="9439" spans="1:4" x14ac:dyDescent="0.25">
      <c r="A9439" s="139" t="s">
        <v>21845</v>
      </c>
      <c r="B9439" s="139" t="s">
        <v>21846</v>
      </c>
      <c r="C9439" s="139" t="s">
        <v>33</v>
      </c>
      <c r="D9439" s="139" t="s">
        <v>21847</v>
      </c>
    </row>
    <row r="9440" spans="1:4" x14ac:dyDescent="0.25">
      <c r="A9440" s="139" t="s">
        <v>21848</v>
      </c>
      <c r="B9440" s="139" t="s">
        <v>21846</v>
      </c>
      <c r="C9440" s="139" t="s">
        <v>33</v>
      </c>
      <c r="D9440" s="139" t="s">
        <v>21849</v>
      </c>
    </row>
    <row r="9441" spans="1:4" x14ac:dyDescent="0.25">
      <c r="A9441" s="139" t="s">
        <v>21850</v>
      </c>
      <c r="B9441" s="139" t="s">
        <v>21851</v>
      </c>
      <c r="C9441" s="139" t="s">
        <v>33</v>
      </c>
      <c r="D9441" s="139" t="s">
        <v>21852</v>
      </c>
    </row>
    <row r="9442" spans="1:4" x14ac:dyDescent="0.25">
      <c r="A9442" s="139" t="s">
        <v>21853</v>
      </c>
      <c r="B9442" s="139" t="s">
        <v>21851</v>
      </c>
      <c r="C9442" s="139" t="s">
        <v>33</v>
      </c>
      <c r="D9442" s="139" t="s">
        <v>21854</v>
      </c>
    </row>
    <row r="9443" spans="1:4" x14ac:dyDescent="0.25">
      <c r="A9443" s="139" t="s">
        <v>21855</v>
      </c>
      <c r="B9443" s="139" t="s">
        <v>21856</v>
      </c>
      <c r="C9443" s="139" t="s">
        <v>33</v>
      </c>
      <c r="D9443" s="139" t="s">
        <v>21857</v>
      </c>
    </row>
    <row r="9444" spans="1:4" x14ac:dyDescent="0.25">
      <c r="A9444" s="139" t="s">
        <v>21858</v>
      </c>
      <c r="B9444" s="139" t="s">
        <v>21856</v>
      </c>
      <c r="C9444" s="139" t="s">
        <v>33</v>
      </c>
      <c r="D9444" s="139" t="s">
        <v>21859</v>
      </c>
    </row>
    <row r="9445" spans="1:4" x14ac:dyDescent="0.25">
      <c r="A9445" s="139" t="s">
        <v>21860</v>
      </c>
      <c r="B9445" s="139" t="s">
        <v>21861</v>
      </c>
      <c r="C9445" s="139" t="s">
        <v>33</v>
      </c>
      <c r="D9445" s="139" t="s">
        <v>21862</v>
      </c>
    </row>
    <row r="9446" spans="1:4" x14ac:dyDescent="0.25">
      <c r="A9446" s="139" t="s">
        <v>21863</v>
      </c>
      <c r="B9446" s="139" t="s">
        <v>21861</v>
      </c>
      <c r="C9446" s="139" t="s">
        <v>33</v>
      </c>
      <c r="D9446" s="139" t="s">
        <v>21864</v>
      </c>
    </row>
    <row r="9447" spans="1:4" x14ac:dyDescent="0.25">
      <c r="A9447" s="139" t="s">
        <v>21865</v>
      </c>
      <c r="B9447" s="139" t="s">
        <v>14563</v>
      </c>
      <c r="C9447" s="139" t="s">
        <v>33</v>
      </c>
      <c r="D9447" s="139" t="s">
        <v>21866</v>
      </c>
    </row>
    <row r="9448" spans="1:4" x14ac:dyDescent="0.25">
      <c r="A9448" s="139" t="s">
        <v>21867</v>
      </c>
      <c r="B9448" s="139" t="s">
        <v>14563</v>
      </c>
      <c r="C9448" s="139" t="s">
        <v>33</v>
      </c>
      <c r="D9448" s="139" t="s">
        <v>21868</v>
      </c>
    </row>
    <row r="9449" spans="1:4" x14ac:dyDescent="0.25">
      <c r="A9449" s="139" t="s">
        <v>21869</v>
      </c>
      <c r="B9449" s="139" t="s">
        <v>13108</v>
      </c>
      <c r="C9449" s="139" t="s">
        <v>33</v>
      </c>
      <c r="D9449" s="139" t="s">
        <v>21870</v>
      </c>
    </row>
    <row r="9450" spans="1:4" x14ac:dyDescent="0.25">
      <c r="A9450" s="139" t="s">
        <v>21871</v>
      </c>
      <c r="B9450" s="139" t="s">
        <v>13108</v>
      </c>
      <c r="C9450" s="139" t="s">
        <v>33</v>
      </c>
      <c r="D9450" s="139" t="s">
        <v>21872</v>
      </c>
    </row>
    <row r="9451" spans="1:4" x14ac:dyDescent="0.25">
      <c r="A9451" s="139" t="s">
        <v>21873</v>
      </c>
      <c r="B9451" s="139" t="s">
        <v>21874</v>
      </c>
      <c r="C9451" s="139" t="s">
        <v>33</v>
      </c>
      <c r="D9451" s="139" t="s">
        <v>21875</v>
      </c>
    </row>
    <row r="9452" spans="1:4" x14ac:dyDescent="0.25">
      <c r="A9452" s="139" t="s">
        <v>21876</v>
      </c>
      <c r="B9452" s="139" t="s">
        <v>21874</v>
      </c>
      <c r="C9452" s="139" t="s">
        <v>33</v>
      </c>
      <c r="D9452" s="139" t="s">
        <v>21877</v>
      </c>
    </row>
    <row r="9453" spans="1:4" x14ac:dyDescent="0.25">
      <c r="A9453" s="139" t="s">
        <v>21878</v>
      </c>
      <c r="B9453" s="139" t="s">
        <v>21879</v>
      </c>
      <c r="C9453" s="139" t="s">
        <v>33</v>
      </c>
      <c r="D9453" s="139" t="s">
        <v>21880</v>
      </c>
    </row>
    <row r="9454" spans="1:4" x14ac:dyDescent="0.25">
      <c r="A9454" s="139" t="s">
        <v>21881</v>
      </c>
      <c r="B9454" s="139" t="s">
        <v>21879</v>
      </c>
      <c r="C9454" s="139" t="s">
        <v>33</v>
      </c>
      <c r="D9454" s="139" t="s">
        <v>21882</v>
      </c>
    </row>
    <row r="9455" spans="1:4" x14ac:dyDescent="0.25">
      <c r="A9455" s="139" t="s">
        <v>21883</v>
      </c>
      <c r="B9455" s="139" t="s">
        <v>5797</v>
      </c>
      <c r="C9455" s="139" t="s">
        <v>535</v>
      </c>
      <c r="D9455" s="139" t="s">
        <v>21884</v>
      </c>
    </row>
    <row r="9456" spans="1:4" x14ac:dyDescent="0.25">
      <c r="A9456" s="139" t="s">
        <v>21885</v>
      </c>
      <c r="B9456" s="139" t="s">
        <v>5797</v>
      </c>
      <c r="C9456" s="139" t="s">
        <v>535</v>
      </c>
      <c r="D9456" s="139" t="s">
        <v>21886</v>
      </c>
    </row>
    <row r="9457" spans="1:4" x14ac:dyDescent="0.25">
      <c r="A9457" s="139" t="s">
        <v>21887</v>
      </c>
      <c r="B9457" s="139" t="s">
        <v>2331</v>
      </c>
      <c r="C9457" s="139" t="s">
        <v>535</v>
      </c>
      <c r="D9457" s="139" t="s">
        <v>21888</v>
      </c>
    </row>
    <row r="9458" spans="1:4" x14ac:dyDescent="0.25">
      <c r="A9458" s="139" t="s">
        <v>21889</v>
      </c>
      <c r="B9458" s="139" t="s">
        <v>2331</v>
      </c>
      <c r="C9458" s="139" t="s">
        <v>535</v>
      </c>
      <c r="D9458" s="139" t="s">
        <v>21890</v>
      </c>
    </row>
    <row r="9459" spans="1:4" x14ac:dyDescent="0.25">
      <c r="A9459" s="139" t="s">
        <v>21891</v>
      </c>
      <c r="B9459" s="139" t="s">
        <v>3202</v>
      </c>
      <c r="C9459" s="139" t="s">
        <v>535</v>
      </c>
      <c r="D9459" s="139" t="s">
        <v>21892</v>
      </c>
    </row>
    <row r="9460" spans="1:4" x14ac:dyDescent="0.25">
      <c r="A9460" s="139" t="s">
        <v>21893</v>
      </c>
      <c r="B9460" s="139" t="s">
        <v>3202</v>
      </c>
      <c r="C9460" s="139" t="s">
        <v>535</v>
      </c>
      <c r="D9460" s="139" t="s">
        <v>21894</v>
      </c>
    </row>
    <row r="9461" spans="1:4" x14ac:dyDescent="0.25">
      <c r="A9461" s="139" t="s">
        <v>21895</v>
      </c>
      <c r="B9461" s="139" t="s">
        <v>16735</v>
      </c>
      <c r="C9461" s="139" t="s">
        <v>65</v>
      </c>
      <c r="D9461" s="139" t="s">
        <v>21896</v>
      </c>
    </row>
    <row r="9462" spans="1:4" x14ac:dyDescent="0.25">
      <c r="A9462" s="139" t="s">
        <v>21897</v>
      </c>
      <c r="B9462" s="139" t="s">
        <v>16735</v>
      </c>
      <c r="C9462" s="139" t="s">
        <v>65</v>
      </c>
      <c r="D9462" s="139" t="s">
        <v>21898</v>
      </c>
    </row>
    <row r="9463" spans="1:4" x14ac:dyDescent="0.25">
      <c r="A9463" s="139" t="s">
        <v>21899</v>
      </c>
      <c r="B9463" s="139" t="s">
        <v>21900</v>
      </c>
      <c r="C9463" s="139" t="s">
        <v>65</v>
      </c>
      <c r="D9463" s="139" t="s">
        <v>21901</v>
      </c>
    </row>
    <row r="9464" spans="1:4" x14ac:dyDescent="0.25">
      <c r="A9464" s="139" t="s">
        <v>21902</v>
      </c>
      <c r="B9464" s="139" t="s">
        <v>21900</v>
      </c>
      <c r="C9464" s="139" t="s">
        <v>65</v>
      </c>
      <c r="D9464" s="139" t="s">
        <v>21903</v>
      </c>
    </row>
    <row r="9465" spans="1:4" x14ac:dyDescent="0.25">
      <c r="A9465" s="139" t="s">
        <v>21904</v>
      </c>
      <c r="B9465" s="139" t="s">
        <v>21905</v>
      </c>
      <c r="C9465" s="139" t="s">
        <v>65</v>
      </c>
      <c r="D9465" s="139" t="s">
        <v>21906</v>
      </c>
    </row>
    <row r="9466" spans="1:4" x14ac:dyDescent="0.25">
      <c r="A9466" s="139" t="s">
        <v>21907</v>
      </c>
      <c r="B9466" s="139" t="s">
        <v>21905</v>
      </c>
      <c r="C9466" s="139" t="s">
        <v>65</v>
      </c>
      <c r="D9466" s="139" t="s">
        <v>21908</v>
      </c>
    </row>
    <row r="9467" spans="1:4" x14ac:dyDescent="0.25">
      <c r="A9467" s="139" t="s">
        <v>21909</v>
      </c>
      <c r="B9467" s="139" t="s">
        <v>21910</v>
      </c>
      <c r="C9467" s="139" t="s">
        <v>65</v>
      </c>
      <c r="D9467" s="139" t="s">
        <v>21911</v>
      </c>
    </row>
    <row r="9468" spans="1:4" x14ac:dyDescent="0.25">
      <c r="A9468" s="139" t="s">
        <v>21912</v>
      </c>
      <c r="B9468" s="139" t="s">
        <v>21910</v>
      </c>
      <c r="C9468" s="139" t="s">
        <v>65</v>
      </c>
      <c r="D9468" s="139" t="s">
        <v>21913</v>
      </c>
    </row>
    <row r="9469" spans="1:4" x14ac:dyDescent="0.25">
      <c r="A9469" s="139" t="s">
        <v>21914</v>
      </c>
      <c r="B9469" s="139" t="s">
        <v>6212</v>
      </c>
      <c r="C9469" s="139" t="s">
        <v>33</v>
      </c>
      <c r="D9469" s="139" t="s">
        <v>21915</v>
      </c>
    </row>
    <row r="9470" spans="1:4" x14ac:dyDescent="0.25">
      <c r="A9470" s="139" t="s">
        <v>21916</v>
      </c>
      <c r="B9470" s="139" t="s">
        <v>6212</v>
      </c>
      <c r="C9470" s="139" t="s">
        <v>33</v>
      </c>
      <c r="D9470" s="139" t="s">
        <v>21917</v>
      </c>
    </row>
    <row r="9471" spans="1:4" x14ac:dyDescent="0.25">
      <c r="A9471" s="139" t="s">
        <v>21918</v>
      </c>
      <c r="B9471" s="139" t="s">
        <v>3240</v>
      </c>
      <c r="C9471" s="139" t="s">
        <v>33</v>
      </c>
      <c r="D9471" s="139" t="s">
        <v>21919</v>
      </c>
    </row>
    <row r="9472" spans="1:4" x14ac:dyDescent="0.25">
      <c r="A9472" s="139" t="s">
        <v>21920</v>
      </c>
      <c r="B9472" s="139" t="s">
        <v>3240</v>
      </c>
      <c r="C9472" s="139" t="s">
        <v>33</v>
      </c>
      <c r="D9472" s="139" t="s">
        <v>21921</v>
      </c>
    </row>
    <row r="9473" spans="1:4" x14ac:dyDescent="0.25">
      <c r="A9473" s="139" t="s">
        <v>21922</v>
      </c>
      <c r="B9473" s="139" t="s">
        <v>2098</v>
      </c>
      <c r="C9473" s="139" t="s">
        <v>33</v>
      </c>
      <c r="D9473" s="139" t="s">
        <v>21923</v>
      </c>
    </row>
    <row r="9474" spans="1:4" x14ac:dyDescent="0.25">
      <c r="A9474" s="139" t="s">
        <v>21924</v>
      </c>
      <c r="B9474" s="139" t="s">
        <v>2098</v>
      </c>
      <c r="C9474" s="139" t="s">
        <v>33</v>
      </c>
      <c r="D9474" s="139" t="s">
        <v>21925</v>
      </c>
    </row>
    <row r="9475" spans="1:4" x14ac:dyDescent="0.25">
      <c r="A9475" s="139" t="s">
        <v>21926</v>
      </c>
      <c r="B9475" s="139" t="s">
        <v>21927</v>
      </c>
      <c r="C9475" s="139" t="s">
        <v>33</v>
      </c>
      <c r="D9475" s="139" t="s">
        <v>21928</v>
      </c>
    </row>
    <row r="9476" spans="1:4" x14ac:dyDescent="0.25">
      <c r="A9476" s="139" t="s">
        <v>21929</v>
      </c>
      <c r="B9476" s="139" t="s">
        <v>21927</v>
      </c>
      <c r="C9476" s="139" t="s">
        <v>33</v>
      </c>
      <c r="D9476" s="139" t="s">
        <v>21930</v>
      </c>
    </row>
    <row r="9477" spans="1:4" x14ac:dyDescent="0.25">
      <c r="A9477" s="139" t="s">
        <v>21931</v>
      </c>
      <c r="B9477" s="139" t="s">
        <v>1948</v>
      </c>
      <c r="C9477" s="139" t="s">
        <v>33</v>
      </c>
      <c r="D9477" s="139" t="s">
        <v>21932</v>
      </c>
    </row>
    <row r="9478" spans="1:4" x14ac:dyDescent="0.25">
      <c r="A9478" s="139" t="s">
        <v>21933</v>
      </c>
      <c r="B9478" s="139" t="s">
        <v>1948</v>
      </c>
      <c r="C9478" s="139" t="s">
        <v>33</v>
      </c>
      <c r="D9478" s="139" t="s">
        <v>21934</v>
      </c>
    </row>
    <row r="9479" spans="1:4" x14ac:dyDescent="0.25">
      <c r="A9479" s="139" t="s">
        <v>21935</v>
      </c>
      <c r="B9479" s="139" t="s">
        <v>1983</v>
      </c>
      <c r="C9479" s="139" t="s">
        <v>33</v>
      </c>
      <c r="D9479" s="139" t="s">
        <v>21936</v>
      </c>
    </row>
    <row r="9480" spans="1:4" x14ac:dyDescent="0.25">
      <c r="A9480" s="139" t="s">
        <v>21937</v>
      </c>
      <c r="B9480" s="139" t="s">
        <v>1983</v>
      </c>
      <c r="C9480" s="139" t="s">
        <v>33</v>
      </c>
      <c r="D9480" s="139" t="s">
        <v>21938</v>
      </c>
    </row>
    <row r="9481" spans="1:4" x14ac:dyDescent="0.25">
      <c r="A9481" s="139" t="s">
        <v>21939</v>
      </c>
      <c r="B9481" s="139" t="s">
        <v>18245</v>
      </c>
      <c r="C9481" s="139" t="s">
        <v>33</v>
      </c>
      <c r="D9481" s="139" t="s">
        <v>21940</v>
      </c>
    </row>
    <row r="9482" spans="1:4" x14ac:dyDescent="0.25">
      <c r="A9482" s="139" t="s">
        <v>21941</v>
      </c>
      <c r="B9482" s="139" t="s">
        <v>18245</v>
      </c>
      <c r="C9482" s="139" t="s">
        <v>33</v>
      </c>
      <c r="D9482" s="139" t="s">
        <v>21942</v>
      </c>
    </row>
    <row r="9483" spans="1:4" x14ac:dyDescent="0.25">
      <c r="A9483" s="139" t="s">
        <v>21943</v>
      </c>
      <c r="B9483" s="139" t="s">
        <v>1988</v>
      </c>
      <c r="C9483" s="139" t="s">
        <v>33</v>
      </c>
      <c r="D9483" s="139" t="s">
        <v>21944</v>
      </c>
    </row>
    <row r="9484" spans="1:4" x14ac:dyDescent="0.25">
      <c r="A9484" s="139" t="s">
        <v>21945</v>
      </c>
      <c r="B9484" s="139" t="s">
        <v>1988</v>
      </c>
      <c r="C9484" s="139" t="s">
        <v>33</v>
      </c>
      <c r="D9484" s="139" t="s">
        <v>21946</v>
      </c>
    </row>
    <row r="9485" spans="1:4" x14ac:dyDescent="0.25">
      <c r="A9485" s="139" t="s">
        <v>21947</v>
      </c>
      <c r="B9485" s="139" t="s">
        <v>2003</v>
      </c>
      <c r="C9485" s="139" t="s">
        <v>112</v>
      </c>
      <c r="D9485" s="139" t="s">
        <v>21948</v>
      </c>
    </row>
    <row r="9486" spans="1:4" x14ac:dyDescent="0.25">
      <c r="A9486" s="139" t="s">
        <v>21949</v>
      </c>
      <c r="B9486" s="139" t="s">
        <v>2003</v>
      </c>
      <c r="C9486" s="139" t="s">
        <v>127</v>
      </c>
      <c r="D9486" s="139" t="s">
        <v>21950</v>
      </c>
    </row>
    <row r="9487" spans="1:4" x14ac:dyDescent="0.25">
      <c r="A9487" s="139" t="s">
        <v>21951</v>
      </c>
      <c r="B9487" s="139" t="s">
        <v>20655</v>
      </c>
      <c r="C9487" s="139" t="s">
        <v>127</v>
      </c>
      <c r="D9487" s="139" t="s">
        <v>21952</v>
      </c>
    </row>
    <row r="9488" spans="1:4" x14ac:dyDescent="0.25">
      <c r="A9488" s="139" t="s">
        <v>21953</v>
      </c>
      <c r="B9488" s="139" t="s">
        <v>20655</v>
      </c>
      <c r="C9488" s="139" t="s">
        <v>1820</v>
      </c>
      <c r="D9488" s="139" t="s">
        <v>21954</v>
      </c>
    </row>
    <row r="9489" spans="1:4" x14ac:dyDescent="0.25">
      <c r="A9489" s="139" t="s">
        <v>21955</v>
      </c>
      <c r="B9489" s="139" t="s">
        <v>2223</v>
      </c>
      <c r="C9489" s="139" t="s">
        <v>33</v>
      </c>
      <c r="D9489" s="139" t="s">
        <v>21956</v>
      </c>
    </row>
    <row r="9490" spans="1:4" x14ac:dyDescent="0.25">
      <c r="A9490" s="139" t="s">
        <v>21957</v>
      </c>
      <c r="B9490" s="139" t="s">
        <v>2223</v>
      </c>
      <c r="C9490" s="139" t="s">
        <v>33</v>
      </c>
      <c r="D9490" s="139" t="s">
        <v>21958</v>
      </c>
    </row>
    <row r="9491" spans="1:4" x14ac:dyDescent="0.25">
      <c r="A9491" s="139" t="s">
        <v>21959</v>
      </c>
      <c r="B9491" s="139" t="s">
        <v>7550</v>
      </c>
      <c r="C9491" s="139" t="s">
        <v>65</v>
      </c>
      <c r="D9491" s="139" t="s">
        <v>21960</v>
      </c>
    </row>
    <row r="9492" spans="1:4" x14ac:dyDescent="0.25">
      <c r="A9492" s="139" t="s">
        <v>21961</v>
      </c>
      <c r="B9492" s="139" t="s">
        <v>7550</v>
      </c>
      <c r="C9492" s="139" t="s">
        <v>65</v>
      </c>
      <c r="D9492" s="139" t="s">
        <v>21962</v>
      </c>
    </row>
    <row r="9493" spans="1:4" x14ac:dyDescent="0.25">
      <c r="A9493" s="139" t="s">
        <v>21963</v>
      </c>
      <c r="B9493" s="139" t="s">
        <v>21964</v>
      </c>
      <c r="C9493" s="139" t="s">
        <v>65</v>
      </c>
      <c r="D9493" s="139" t="s">
        <v>21965</v>
      </c>
    </row>
    <row r="9494" spans="1:4" x14ac:dyDescent="0.25">
      <c r="A9494" s="139" t="s">
        <v>21966</v>
      </c>
      <c r="B9494" s="139" t="s">
        <v>21964</v>
      </c>
      <c r="C9494" s="139" t="s">
        <v>65</v>
      </c>
      <c r="D9494" s="139" t="s">
        <v>21967</v>
      </c>
    </row>
    <row r="9495" spans="1:4" x14ac:dyDescent="0.25">
      <c r="A9495" s="139" t="s">
        <v>21968</v>
      </c>
      <c r="B9495" s="139" t="s">
        <v>21969</v>
      </c>
      <c r="C9495" s="139" t="s">
        <v>65</v>
      </c>
      <c r="D9495" s="139" t="s">
        <v>21970</v>
      </c>
    </row>
    <row r="9496" spans="1:4" x14ac:dyDescent="0.25">
      <c r="A9496" s="139" t="s">
        <v>21971</v>
      </c>
      <c r="B9496" s="139" t="s">
        <v>21969</v>
      </c>
      <c r="C9496" s="139" t="s">
        <v>65</v>
      </c>
      <c r="D9496" s="139" t="s">
        <v>21972</v>
      </c>
    </row>
    <row r="9497" spans="1:4" x14ac:dyDescent="0.25">
      <c r="A9497" s="139" t="s">
        <v>21973</v>
      </c>
      <c r="B9497" s="139" t="s">
        <v>8625</v>
      </c>
      <c r="C9497" s="139" t="s">
        <v>65</v>
      </c>
      <c r="D9497" s="139" t="s">
        <v>21974</v>
      </c>
    </row>
    <row r="9498" spans="1:4" x14ac:dyDescent="0.25">
      <c r="A9498" s="139" t="s">
        <v>21975</v>
      </c>
      <c r="B9498" s="139" t="s">
        <v>8625</v>
      </c>
      <c r="C9498" s="139" t="s">
        <v>65</v>
      </c>
      <c r="D9498" s="139" t="s">
        <v>21976</v>
      </c>
    </row>
    <row r="9499" spans="1:4" x14ac:dyDescent="0.25">
      <c r="A9499" s="139" t="s">
        <v>21977</v>
      </c>
      <c r="B9499" s="139" t="s">
        <v>21978</v>
      </c>
      <c r="C9499" s="139" t="s">
        <v>65</v>
      </c>
      <c r="D9499" s="139" t="s">
        <v>21979</v>
      </c>
    </row>
    <row r="9500" spans="1:4" x14ac:dyDescent="0.25">
      <c r="A9500" s="139" t="s">
        <v>21980</v>
      </c>
      <c r="B9500" s="139" t="s">
        <v>21978</v>
      </c>
      <c r="C9500" s="139" t="s">
        <v>65</v>
      </c>
      <c r="D9500" s="139" t="s">
        <v>21981</v>
      </c>
    </row>
    <row r="9501" spans="1:4" x14ac:dyDescent="0.25">
      <c r="A9501" s="139" t="s">
        <v>21982</v>
      </c>
      <c r="B9501" s="139" t="s">
        <v>21983</v>
      </c>
      <c r="C9501" s="139" t="s">
        <v>65</v>
      </c>
      <c r="D9501" s="139" t="s">
        <v>21984</v>
      </c>
    </row>
    <row r="9502" spans="1:4" x14ac:dyDescent="0.25">
      <c r="A9502" s="139" t="s">
        <v>21985</v>
      </c>
      <c r="B9502" s="139" t="s">
        <v>21983</v>
      </c>
      <c r="C9502" s="139" t="s">
        <v>65</v>
      </c>
      <c r="D9502" s="139" t="s">
        <v>21986</v>
      </c>
    </row>
    <row r="9503" spans="1:4" x14ac:dyDescent="0.25">
      <c r="A9503" s="139" t="s">
        <v>21987</v>
      </c>
      <c r="B9503" s="139" t="s">
        <v>21988</v>
      </c>
      <c r="C9503" s="139" t="s">
        <v>65</v>
      </c>
      <c r="D9503" s="139" t="s">
        <v>21989</v>
      </c>
    </row>
    <row r="9504" spans="1:4" x14ac:dyDescent="0.25">
      <c r="A9504" s="139" t="s">
        <v>21990</v>
      </c>
      <c r="B9504" s="139" t="s">
        <v>21988</v>
      </c>
      <c r="C9504" s="139" t="s">
        <v>65</v>
      </c>
      <c r="D9504" s="139" t="s">
        <v>21991</v>
      </c>
    </row>
    <row r="9505" spans="1:4" x14ac:dyDescent="0.25">
      <c r="A9505" s="139" t="s">
        <v>21992</v>
      </c>
      <c r="B9505" s="139" t="s">
        <v>21993</v>
      </c>
      <c r="C9505" s="139" t="s">
        <v>65</v>
      </c>
      <c r="D9505" s="139" t="s">
        <v>21994</v>
      </c>
    </row>
    <row r="9506" spans="1:4" x14ac:dyDescent="0.25">
      <c r="A9506" s="139" t="s">
        <v>21995</v>
      </c>
      <c r="B9506" s="139" t="s">
        <v>21993</v>
      </c>
      <c r="C9506" s="139" t="s">
        <v>65</v>
      </c>
      <c r="D9506" s="139" t="s">
        <v>21996</v>
      </c>
    </row>
    <row r="9507" spans="1:4" x14ac:dyDescent="0.25">
      <c r="A9507" s="139" t="s">
        <v>21997</v>
      </c>
      <c r="B9507" s="139" t="s">
        <v>21998</v>
      </c>
      <c r="C9507" s="139" t="s">
        <v>33</v>
      </c>
      <c r="D9507" s="139" t="s">
        <v>21999</v>
      </c>
    </row>
    <row r="9508" spans="1:4" x14ac:dyDescent="0.25">
      <c r="A9508" s="139" t="s">
        <v>22000</v>
      </c>
      <c r="B9508" s="139" t="s">
        <v>21998</v>
      </c>
      <c r="C9508" s="139" t="s">
        <v>33</v>
      </c>
      <c r="D9508" s="139" t="s">
        <v>22001</v>
      </c>
    </row>
    <row r="9509" spans="1:4" x14ac:dyDescent="0.25">
      <c r="A9509" s="139" t="s">
        <v>22002</v>
      </c>
      <c r="B9509" s="139" t="s">
        <v>22003</v>
      </c>
      <c r="C9509" s="139" t="s">
        <v>65</v>
      </c>
      <c r="D9509" s="139" t="s">
        <v>22004</v>
      </c>
    </row>
    <row r="9510" spans="1:4" x14ac:dyDescent="0.25">
      <c r="A9510" s="139" t="s">
        <v>22005</v>
      </c>
      <c r="B9510" s="139" t="s">
        <v>22003</v>
      </c>
      <c r="C9510" s="139" t="s">
        <v>65</v>
      </c>
      <c r="D9510" s="139" t="s">
        <v>22006</v>
      </c>
    </row>
    <row r="9511" spans="1:4" x14ac:dyDescent="0.25">
      <c r="A9511" s="139" t="s">
        <v>22007</v>
      </c>
      <c r="B9511" s="139" t="s">
        <v>11163</v>
      </c>
      <c r="C9511" s="139" t="s">
        <v>2895</v>
      </c>
      <c r="D9511" s="139" t="s">
        <v>22008</v>
      </c>
    </row>
    <row r="9512" spans="1:4" x14ac:dyDescent="0.25">
      <c r="A9512" s="139" t="s">
        <v>22009</v>
      </c>
      <c r="B9512" s="139" t="s">
        <v>11163</v>
      </c>
      <c r="C9512" s="139" t="s">
        <v>2895</v>
      </c>
      <c r="D9512" s="139" t="s">
        <v>22010</v>
      </c>
    </row>
    <row r="9513" spans="1:4" x14ac:dyDescent="0.25">
      <c r="A9513" s="139" t="s">
        <v>22011</v>
      </c>
      <c r="B9513" s="139" t="s">
        <v>13273</v>
      </c>
      <c r="C9513" s="139" t="s">
        <v>2895</v>
      </c>
      <c r="D9513" s="139" t="s">
        <v>22012</v>
      </c>
    </row>
    <row r="9514" spans="1:4" x14ac:dyDescent="0.25">
      <c r="A9514" s="139" t="s">
        <v>22013</v>
      </c>
      <c r="B9514" s="139" t="s">
        <v>13273</v>
      </c>
      <c r="C9514" s="139" t="s">
        <v>2895</v>
      </c>
      <c r="D9514" s="139" t="s">
        <v>22014</v>
      </c>
    </row>
    <row r="9515" spans="1:4" x14ac:dyDescent="0.25">
      <c r="A9515" s="139" t="s">
        <v>22015</v>
      </c>
      <c r="B9515" s="139" t="s">
        <v>21210</v>
      </c>
      <c r="C9515" s="139" t="s">
        <v>2895</v>
      </c>
      <c r="D9515" s="139" t="s">
        <v>22016</v>
      </c>
    </row>
    <row r="9516" spans="1:4" x14ac:dyDescent="0.25">
      <c r="A9516" s="139" t="s">
        <v>22017</v>
      </c>
      <c r="B9516" s="139" t="s">
        <v>21210</v>
      </c>
      <c r="C9516" s="139" t="s">
        <v>2895</v>
      </c>
      <c r="D9516" s="139" t="s">
        <v>22018</v>
      </c>
    </row>
    <row r="9517" spans="1:4" x14ac:dyDescent="0.25">
      <c r="A9517" s="139" t="s">
        <v>22019</v>
      </c>
      <c r="B9517" s="139" t="s">
        <v>20481</v>
      </c>
      <c r="C9517" s="139" t="s">
        <v>2895</v>
      </c>
      <c r="D9517" s="139" t="s">
        <v>22020</v>
      </c>
    </row>
    <row r="9518" spans="1:4" x14ac:dyDescent="0.25">
      <c r="A9518" s="139" t="s">
        <v>22021</v>
      </c>
      <c r="B9518" s="139" t="s">
        <v>20481</v>
      </c>
      <c r="C9518" s="139" t="s">
        <v>2895</v>
      </c>
      <c r="D9518" s="139" t="s">
        <v>22022</v>
      </c>
    </row>
    <row r="9519" spans="1:4" x14ac:dyDescent="0.25">
      <c r="A9519" s="139" t="s">
        <v>22023</v>
      </c>
      <c r="B9519" s="139" t="s">
        <v>15167</v>
      </c>
      <c r="C9519" s="139" t="s">
        <v>2895</v>
      </c>
      <c r="D9519" s="139" t="s">
        <v>22024</v>
      </c>
    </row>
    <row r="9520" spans="1:4" x14ac:dyDescent="0.25">
      <c r="A9520" s="139" t="s">
        <v>22025</v>
      </c>
      <c r="B9520" s="139" t="s">
        <v>15167</v>
      </c>
      <c r="C9520" s="139" t="s">
        <v>2895</v>
      </c>
      <c r="D9520" s="139" t="s">
        <v>22026</v>
      </c>
    </row>
    <row r="9521" spans="1:4" x14ac:dyDescent="0.25">
      <c r="A9521" s="139" t="s">
        <v>22027</v>
      </c>
      <c r="B9521" s="139" t="s">
        <v>13317</v>
      </c>
      <c r="C9521" s="139" t="s">
        <v>2895</v>
      </c>
      <c r="D9521" s="139" t="s">
        <v>22028</v>
      </c>
    </row>
    <row r="9522" spans="1:4" x14ac:dyDescent="0.25">
      <c r="A9522" s="139" t="s">
        <v>22029</v>
      </c>
      <c r="B9522" s="139" t="s">
        <v>13317</v>
      </c>
      <c r="C9522" s="139" t="s">
        <v>2895</v>
      </c>
      <c r="D9522" s="139" t="s">
        <v>22030</v>
      </c>
    </row>
    <row r="9523" spans="1:4" x14ac:dyDescent="0.25">
      <c r="A9523" s="139" t="s">
        <v>22031</v>
      </c>
      <c r="B9523" s="139" t="s">
        <v>22032</v>
      </c>
      <c r="C9523" s="139" t="s">
        <v>2895</v>
      </c>
      <c r="D9523" s="139" t="s">
        <v>22033</v>
      </c>
    </row>
    <row r="9524" spans="1:4" x14ac:dyDescent="0.25">
      <c r="A9524" s="139" t="s">
        <v>22034</v>
      </c>
      <c r="B9524" s="139" t="s">
        <v>22032</v>
      </c>
      <c r="C9524" s="139" t="s">
        <v>2895</v>
      </c>
      <c r="D9524" s="139" t="s">
        <v>22035</v>
      </c>
    </row>
    <row r="9525" spans="1:4" x14ac:dyDescent="0.25">
      <c r="A9525" s="139" t="s">
        <v>22036</v>
      </c>
      <c r="B9525" s="139" t="s">
        <v>22037</v>
      </c>
      <c r="C9525" s="139" t="s">
        <v>2895</v>
      </c>
      <c r="D9525" s="139" t="s">
        <v>22038</v>
      </c>
    </row>
    <row r="9526" spans="1:4" x14ac:dyDescent="0.25">
      <c r="A9526" s="139" t="s">
        <v>22039</v>
      </c>
      <c r="B9526" s="139" t="s">
        <v>22037</v>
      </c>
      <c r="C9526" s="139" t="s">
        <v>2895</v>
      </c>
      <c r="D9526" s="139" t="s">
        <v>22040</v>
      </c>
    </row>
    <row r="9527" spans="1:4" x14ac:dyDescent="0.25">
      <c r="A9527" s="139" t="s">
        <v>22041</v>
      </c>
      <c r="B9527" s="139" t="s">
        <v>22042</v>
      </c>
      <c r="C9527" s="139" t="s">
        <v>2895</v>
      </c>
      <c r="D9527" s="139" t="s">
        <v>22043</v>
      </c>
    </row>
    <row r="9528" spans="1:4" x14ac:dyDescent="0.25">
      <c r="A9528" s="139" t="s">
        <v>22044</v>
      </c>
      <c r="B9528" s="139" t="s">
        <v>22042</v>
      </c>
      <c r="C9528" s="139" t="s">
        <v>2895</v>
      </c>
      <c r="D9528" s="139" t="s">
        <v>22045</v>
      </c>
    </row>
    <row r="9529" spans="1:4" x14ac:dyDescent="0.25">
      <c r="A9529" s="139" t="s">
        <v>22046</v>
      </c>
      <c r="B9529" s="139" t="s">
        <v>8054</v>
      </c>
      <c r="C9529" s="139" t="s">
        <v>2895</v>
      </c>
      <c r="D9529" s="139" t="s">
        <v>22047</v>
      </c>
    </row>
    <row r="9530" spans="1:4" x14ac:dyDescent="0.25">
      <c r="A9530" s="139" t="s">
        <v>22048</v>
      </c>
      <c r="B9530" s="139" t="s">
        <v>8054</v>
      </c>
      <c r="C9530" s="139" t="s">
        <v>2895</v>
      </c>
      <c r="D9530" s="139" t="s">
        <v>22049</v>
      </c>
    </row>
    <row r="9531" spans="1:4" x14ac:dyDescent="0.25">
      <c r="A9531" s="139" t="s">
        <v>22050</v>
      </c>
      <c r="B9531" s="139" t="s">
        <v>2018</v>
      </c>
      <c r="C9531" s="139" t="s">
        <v>2895</v>
      </c>
      <c r="D9531" s="139" t="s">
        <v>22051</v>
      </c>
    </row>
    <row r="9532" spans="1:4" x14ac:dyDescent="0.25">
      <c r="A9532" s="139" t="s">
        <v>22052</v>
      </c>
      <c r="B9532" s="139" t="s">
        <v>2018</v>
      </c>
      <c r="C9532" s="139" t="s">
        <v>2895</v>
      </c>
      <c r="D9532" s="139" t="s">
        <v>22053</v>
      </c>
    </row>
    <row r="9533" spans="1:4" x14ac:dyDescent="0.25">
      <c r="A9533" s="139" t="s">
        <v>22054</v>
      </c>
      <c r="B9533" s="139" t="s">
        <v>16165</v>
      </c>
      <c r="C9533" s="139" t="s">
        <v>2895</v>
      </c>
      <c r="D9533" s="139" t="s">
        <v>22055</v>
      </c>
    </row>
    <row r="9534" spans="1:4" x14ac:dyDescent="0.25">
      <c r="A9534" s="139" t="s">
        <v>22056</v>
      </c>
      <c r="B9534" s="139" t="s">
        <v>16165</v>
      </c>
      <c r="C9534" s="139" t="s">
        <v>2895</v>
      </c>
      <c r="D9534" s="139" t="s">
        <v>22057</v>
      </c>
    </row>
    <row r="9535" spans="1:4" x14ac:dyDescent="0.25">
      <c r="A9535" s="139" t="s">
        <v>22058</v>
      </c>
      <c r="B9535" s="139" t="s">
        <v>22032</v>
      </c>
      <c r="C9535" s="139" t="s">
        <v>2895</v>
      </c>
      <c r="D9535" s="139" t="s">
        <v>22059</v>
      </c>
    </row>
    <row r="9536" spans="1:4" x14ac:dyDescent="0.25">
      <c r="A9536" s="139" t="s">
        <v>22060</v>
      </c>
      <c r="B9536" s="139" t="s">
        <v>22032</v>
      </c>
      <c r="C9536" s="139" t="s">
        <v>2895</v>
      </c>
      <c r="D9536" s="139" t="s">
        <v>22061</v>
      </c>
    </row>
    <row r="9537" spans="1:4" x14ac:dyDescent="0.25">
      <c r="A9537" s="139" t="s">
        <v>22062</v>
      </c>
      <c r="B9537" s="139" t="s">
        <v>22037</v>
      </c>
      <c r="C9537" s="139" t="s">
        <v>2895</v>
      </c>
      <c r="D9537" s="139" t="s">
        <v>22063</v>
      </c>
    </row>
    <row r="9538" spans="1:4" x14ac:dyDescent="0.25">
      <c r="A9538" s="139" t="s">
        <v>22064</v>
      </c>
      <c r="B9538" s="139" t="s">
        <v>22037</v>
      </c>
      <c r="C9538" s="139" t="s">
        <v>2895</v>
      </c>
      <c r="D9538" s="139" t="s">
        <v>22065</v>
      </c>
    </row>
    <row r="9539" spans="1:4" x14ac:dyDescent="0.25">
      <c r="A9539" s="139" t="s">
        <v>22066</v>
      </c>
      <c r="B9539" s="139" t="s">
        <v>22042</v>
      </c>
      <c r="C9539" s="139" t="s">
        <v>2895</v>
      </c>
      <c r="D9539" s="139" t="s">
        <v>22067</v>
      </c>
    </row>
    <row r="9540" spans="1:4" x14ac:dyDescent="0.25">
      <c r="A9540" s="139" t="s">
        <v>22068</v>
      </c>
      <c r="B9540" s="139" t="s">
        <v>22042</v>
      </c>
      <c r="C9540" s="139" t="s">
        <v>2895</v>
      </c>
      <c r="D9540" s="139" t="s">
        <v>22069</v>
      </c>
    </row>
    <row r="9541" spans="1:4" x14ac:dyDescent="0.25">
      <c r="A9541" s="139" t="s">
        <v>22070</v>
      </c>
      <c r="B9541" s="139" t="s">
        <v>22071</v>
      </c>
      <c r="C9541" s="139" t="s">
        <v>2895</v>
      </c>
      <c r="D9541" s="139" t="s">
        <v>22072</v>
      </c>
    </row>
    <row r="9542" spans="1:4" x14ac:dyDescent="0.25">
      <c r="A9542" s="139" t="s">
        <v>22073</v>
      </c>
      <c r="B9542" s="139" t="s">
        <v>22071</v>
      </c>
      <c r="C9542" s="139" t="s">
        <v>2895</v>
      </c>
      <c r="D9542" s="139" t="s">
        <v>22074</v>
      </c>
    </row>
    <row r="9543" spans="1:4" x14ac:dyDescent="0.25">
      <c r="A9543" s="139" t="s">
        <v>22075</v>
      </c>
      <c r="B9543" s="139" t="s">
        <v>2018</v>
      </c>
      <c r="C9543" s="139" t="s">
        <v>2895</v>
      </c>
      <c r="D9543" s="139" t="s">
        <v>22076</v>
      </c>
    </row>
    <row r="9544" spans="1:4" x14ac:dyDescent="0.25">
      <c r="A9544" s="139" t="s">
        <v>22077</v>
      </c>
      <c r="B9544" s="139" t="s">
        <v>2018</v>
      </c>
      <c r="C9544" s="139" t="s">
        <v>2895</v>
      </c>
      <c r="D9544" s="139" t="s">
        <v>22078</v>
      </c>
    </row>
    <row r="9545" spans="1:4" x14ac:dyDescent="0.25">
      <c r="A9545" s="139" t="s">
        <v>22079</v>
      </c>
      <c r="B9545" s="139" t="s">
        <v>16165</v>
      </c>
      <c r="C9545" s="139" t="s">
        <v>2895</v>
      </c>
      <c r="D9545" s="139" t="s">
        <v>22080</v>
      </c>
    </row>
    <row r="9546" spans="1:4" x14ac:dyDescent="0.25">
      <c r="A9546" s="139" t="s">
        <v>22081</v>
      </c>
      <c r="B9546" s="139" t="s">
        <v>16165</v>
      </c>
      <c r="C9546" s="139" t="s">
        <v>2895</v>
      </c>
      <c r="D9546" s="139" t="s">
        <v>22082</v>
      </c>
    </row>
    <row r="9547" spans="1:4" x14ac:dyDescent="0.25">
      <c r="A9547" s="139" t="s">
        <v>22083</v>
      </c>
      <c r="B9547" s="139" t="s">
        <v>11163</v>
      </c>
      <c r="C9547" s="139" t="s">
        <v>2895</v>
      </c>
      <c r="D9547" s="139" t="s">
        <v>22084</v>
      </c>
    </row>
    <row r="9548" spans="1:4" x14ac:dyDescent="0.25">
      <c r="A9548" s="139" t="s">
        <v>22085</v>
      </c>
      <c r="B9548" s="139" t="s">
        <v>11163</v>
      </c>
      <c r="C9548" s="139" t="s">
        <v>2895</v>
      </c>
      <c r="D9548" s="139" t="s">
        <v>22086</v>
      </c>
    </row>
    <row r="9549" spans="1:4" x14ac:dyDescent="0.25">
      <c r="A9549" s="139" t="s">
        <v>22087</v>
      </c>
      <c r="B9549" s="139" t="s">
        <v>13273</v>
      </c>
      <c r="C9549" s="139" t="s">
        <v>2895</v>
      </c>
      <c r="D9549" s="139" t="s">
        <v>22088</v>
      </c>
    </row>
    <row r="9550" spans="1:4" x14ac:dyDescent="0.25">
      <c r="A9550" s="139" t="s">
        <v>22089</v>
      </c>
      <c r="B9550" s="139" t="s">
        <v>13273</v>
      </c>
      <c r="C9550" s="139" t="s">
        <v>2895</v>
      </c>
      <c r="D9550" s="139" t="s">
        <v>22090</v>
      </c>
    </row>
    <row r="9551" spans="1:4" x14ac:dyDescent="0.25">
      <c r="A9551" s="139" t="s">
        <v>22091</v>
      </c>
      <c r="B9551" s="139" t="s">
        <v>21210</v>
      </c>
      <c r="C9551" s="139" t="s">
        <v>2895</v>
      </c>
      <c r="D9551" s="139" t="s">
        <v>22092</v>
      </c>
    </row>
    <row r="9552" spans="1:4" x14ac:dyDescent="0.25">
      <c r="A9552" s="139" t="s">
        <v>22093</v>
      </c>
      <c r="B9552" s="139" t="s">
        <v>21210</v>
      </c>
      <c r="C9552" s="139" t="s">
        <v>2895</v>
      </c>
      <c r="D9552" s="139" t="s">
        <v>22094</v>
      </c>
    </row>
    <row r="9553" spans="1:4" x14ac:dyDescent="0.25">
      <c r="A9553" s="139" t="s">
        <v>22095</v>
      </c>
      <c r="B9553" s="139" t="s">
        <v>20481</v>
      </c>
      <c r="C9553" s="139" t="s">
        <v>2895</v>
      </c>
      <c r="D9553" s="139" t="s">
        <v>22096</v>
      </c>
    </row>
    <row r="9554" spans="1:4" x14ac:dyDescent="0.25">
      <c r="A9554" s="139" t="s">
        <v>22097</v>
      </c>
      <c r="B9554" s="139" t="s">
        <v>20481</v>
      </c>
      <c r="C9554" s="139" t="s">
        <v>2895</v>
      </c>
      <c r="D9554" s="139" t="s">
        <v>22098</v>
      </c>
    </row>
    <row r="9555" spans="1:4" x14ac:dyDescent="0.25">
      <c r="A9555" s="139" t="s">
        <v>22099</v>
      </c>
      <c r="B9555" s="139" t="s">
        <v>15167</v>
      </c>
      <c r="C9555" s="139" t="s">
        <v>2895</v>
      </c>
      <c r="D9555" s="139" t="s">
        <v>22100</v>
      </c>
    </row>
    <row r="9556" spans="1:4" x14ac:dyDescent="0.25">
      <c r="A9556" s="139" t="s">
        <v>22101</v>
      </c>
      <c r="B9556" s="139" t="s">
        <v>15167</v>
      </c>
      <c r="C9556" s="139" t="s">
        <v>2895</v>
      </c>
      <c r="D9556" s="139" t="s">
        <v>22102</v>
      </c>
    </row>
    <row r="9557" spans="1:4" x14ac:dyDescent="0.25">
      <c r="A9557" s="139" t="s">
        <v>22103</v>
      </c>
      <c r="B9557" s="139" t="s">
        <v>13317</v>
      </c>
      <c r="C9557" s="139" t="s">
        <v>2895</v>
      </c>
      <c r="D9557" s="139" t="s">
        <v>22104</v>
      </c>
    </row>
    <row r="9558" spans="1:4" x14ac:dyDescent="0.25">
      <c r="A9558" s="139" t="s">
        <v>22105</v>
      </c>
      <c r="B9558" s="139" t="s">
        <v>13317</v>
      </c>
      <c r="C9558" s="139" t="s">
        <v>2895</v>
      </c>
      <c r="D9558" s="139" t="s">
        <v>22106</v>
      </c>
    </row>
    <row r="9559" spans="1:4" x14ac:dyDescent="0.25">
      <c r="A9559" s="139" t="s">
        <v>22107</v>
      </c>
      <c r="B9559" s="139" t="s">
        <v>22108</v>
      </c>
      <c r="C9559" s="139" t="s">
        <v>33</v>
      </c>
      <c r="D9559" s="139" t="s">
        <v>22109</v>
      </c>
    </row>
    <row r="9560" spans="1:4" x14ac:dyDescent="0.25">
      <c r="A9560" s="139" t="s">
        <v>22110</v>
      </c>
      <c r="B9560" s="139" t="s">
        <v>22108</v>
      </c>
      <c r="C9560" s="139" t="s">
        <v>33</v>
      </c>
      <c r="D9560" s="139" t="s">
        <v>22111</v>
      </c>
    </row>
    <row r="9561" spans="1:4" x14ac:dyDescent="0.25">
      <c r="A9561" s="139" t="s">
        <v>22112</v>
      </c>
      <c r="B9561" s="139" t="s">
        <v>14394</v>
      </c>
      <c r="C9561" s="139" t="s">
        <v>33</v>
      </c>
      <c r="D9561" s="139" t="s">
        <v>22113</v>
      </c>
    </row>
    <row r="9562" spans="1:4" x14ac:dyDescent="0.25">
      <c r="A9562" s="139" t="s">
        <v>22114</v>
      </c>
      <c r="B9562" s="139" t="s">
        <v>14394</v>
      </c>
      <c r="C9562" s="139" t="s">
        <v>33</v>
      </c>
      <c r="D9562" s="139" t="s">
        <v>22115</v>
      </c>
    </row>
    <row r="9563" spans="1:4" x14ac:dyDescent="0.25">
      <c r="A9563" s="139" t="s">
        <v>22116</v>
      </c>
      <c r="B9563" s="139" t="s">
        <v>22117</v>
      </c>
      <c r="C9563" s="139" t="s">
        <v>33</v>
      </c>
      <c r="D9563" s="139" t="s">
        <v>22118</v>
      </c>
    </row>
    <row r="9564" spans="1:4" x14ac:dyDescent="0.25">
      <c r="A9564" s="139" t="s">
        <v>22119</v>
      </c>
      <c r="B9564" s="139" t="s">
        <v>22117</v>
      </c>
      <c r="C9564" s="139" t="s">
        <v>33</v>
      </c>
      <c r="D9564" s="139" t="s">
        <v>22120</v>
      </c>
    </row>
    <row r="9565" spans="1:4" x14ac:dyDescent="0.25">
      <c r="A9565" s="139" t="s">
        <v>22121</v>
      </c>
      <c r="B9565" s="139" t="s">
        <v>22122</v>
      </c>
      <c r="C9565" s="139" t="s">
        <v>33</v>
      </c>
      <c r="D9565" s="139" t="s">
        <v>22123</v>
      </c>
    </row>
    <row r="9566" spans="1:4" x14ac:dyDescent="0.25">
      <c r="A9566" s="139" t="s">
        <v>22124</v>
      </c>
      <c r="B9566" s="139" t="s">
        <v>22122</v>
      </c>
      <c r="C9566" s="139" t="s">
        <v>33</v>
      </c>
      <c r="D9566" s="139" t="s">
        <v>22125</v>
      </c>
    </row>
    <row r="9567" spans="1:4" x14ac:dyDescent="0.25">
      <c r="A9567" s="139" t="s">
        <v>22126</v>
      </c>
      <c r="B9567" s="139" t="s">
        <v>22127</v>
      </c>
      <c r="C9567" s="139" t="s">
        <v>33</v>
      </c>
      <c r="D9567" s="139" t="s">
        <v>22128</v>
      </c>
    </row>
    <row r="9568" spans="1:4" x14ac:dyDescent="0.25">
      <c r="A9568" s="139" t="s">
        <v>22129</v>
      </c>
      <c r="B9568" s="139" t="s">
        <v>22127</v>
      </c>
      <c r="C9568" s="139" t="s">
        <v>33</v>
      </c>
      <c r="D9568" s="139" t="s">
        <v>22130</v>
      </c>
    </row>
    <row r="9569" spans="1:4" x14ac:dyDescent="0.25">
      <c r="A9569" s="139" t="s">
        <v>22131</v>
      </c>
      <c r="B9569" s="139" t="s">
        <v>22132</v>
      </c>
      <c r="C9569" s="139" t="s">
        <v>33</v>
      </c>
      <c r="D9569" s="139" t="s">
        <v>22133</v>
      </c>
    </row>
    <row r="9570" spans="1:4" x14ac:dyDescent="0.25">
      <c r="A9570" s="139" t="s">
        <v>22134</v>
      </c>
      <c r="B9570" s="139" t="s">
        <v>22132</v>
      </c>
      <c r="C9570" s="139" t="s">
        <v>33</v>
      </c>
      <c r="D9570" s="139" t="s">
        <v>22135</v>
      </c>
    </row>
    <row r="9571" spans="1:4" x14ac:dyDescent="0.25">
      <c r="A9571" s="139" t="s">
        <v>22136</v>
      </c>
      <c r="B9571" s="139" t="s">
        <v>8054</v>
      </c>
      <c r="C9571" s="139" t="s">
        <v>33</v>
      </c>
      <c r="D9571" s="139" t="s">
        <v>22137</v>
      </c>
    </row>
    <row r="9572" spans="1:4" x14ac:dyDescent="0.25">
      <c r="A9572" s="139" t="s">
        <v>22138</v>
      </c>
      <c r="B9572" s="139" t="s">
        <v>8054</v>
      </c>
      <c r="C9572" s="139" t="s">
        <v>33</v>
      </c>
      <c r="D9572" s="139" t="s">
        <v>22139</v>
      </c>
    </row>
    <row r="9573" spans="1:4" x14ac:dyDescent="0.25">
      <c r="A9573" s="139" t="s">
        <v>22140</v>
      </c>
      <c r="B9573" s="139" t="s">
        <v>4953</v>
      </c>
      <c r="C9573" s="139" t="s">
        <v>65</v>
      </c>
      <c r="D9573" s="139" t="s">
        <v>22141</v>
      </c>
    </row>
    <row r="9574" spans="1:4" x14ac:dyDescent="0.25">
      <c r="A9574" s="139" t="s">
        <v>22142</v>
      </c>
      <c r="B9574" s="139" t="s">
        <v>4953</v>
      </c>
      <c r="C9574" s="139" t="s">
        <v>65</v>
      </c>
      <c r="D9574" s="139" t="s">
        <v>22143</v>
      </c>
    </row>
    <row r="9575" spans="1:4" x14ac:dyDescent="0.25">
      <c r="A9575" s="139" t="s">
        <v>22144</v>
      </c>
      <c r="B9575" s="139" t="s">
        <v>340</v>
      </c>
      <c r="C9575" s="139" t="s">
        <v>65</v>
      </c>
      <c r="D9575" s="139" t="s">
        <v>22145</v>
      </c>
    </row>
    <row r="9576" spans="1:4" x14ac:dyDescent="0.25">
      <c r="A9576" s="139" t="s">
        <v>22146</v>
      </c>
      <c r="B9576" s="139" t="s">
        <v>16231</v>
      </c>
      <c r="C9576" s="139" t="s">
        <v>65</v>
      </c>
      <c r="D9576" s="139" t="s">
        <v>22147</v>
      </c>
    </row>
    <row r="9577" spans="1:4" x14ac:dyDescent="0.25">
      <c r="A9577" s="139" t="s">
        <v>22148</v>
      </c>
      <c r="B9577" s="139" t="s">
        <v>16231</v>
      </c>
      <c r="C9577" s="139" t="s">
        <v>65</v>
      </c>
      <c r="D9577" s="139" t="s">
        <v>22149</v>
      </c>
    </row>
    <row r="9578" spans="1:4" x14ac:dyDescent="0.25">
      <c r="A9578" s="139" t="s">
        <v>22150</v>
      </c>
      <c r="B9578" s="139" t="s">
        <v>22151</v>
      </c>
      <c r="C9578" s="139" t="s">
        <v>65</v>
      </c>
      <c r="D9578" s="139" t="s">
        <v>22152</v>
      </c>
    </row>
    <row r="9579" spans="1:4" x14ac:dyDescent="0.25">
      <c r="A9579" s="139" t="s">
        <v>22153</v>
      </c>
      <c r="B9579" s="139" t="s">
        <v>22151</v>
      </c>
      <c r="C9579" s="139" t="s">
        <v>65</v>
      </c>
      <c r="D9579" s="139" t="s">
        <v>22154</v>
      </c>
    </row>
    <row r="9580" spans="1:4" x14ac:dyDescent="0.25">
      <c r="A9580" s="139" t="s">
        <v>22155</v>
      </c>
      <c r="B9580" s="139" t="s">
        <v>6735</v>
      </c>
      <c r="C9580" s="139" t="s">
        <v>65</v>
      </c>
      <c r="D9580" s="139" t="s">
        <v>22156</v>
      </c>
    </row>
    <row r="9581" spans="1:4" x14ac:dyDescent="0.25">
      <c r="A9581" s="139" t="s">
        <v>22157</v>
      </c>
      <c r="B9581" s="139" t="s">
        <v>6735</v>
      </c>
      <c r="C9581" s="139" t="s">
        <v>65</v>
      </c>
      <c r="D9581" s="139" t="s">
        <v>22158</v>
      </c>
    </row>
    <row r="9582" spans="1:4" x14ac:dyDescent="0.25">
      <c r="A9582" s="139" t="s">
        <v>22159</v>
      </c>
      <c r="B9582" s="139" t="s">
        <v>1233</v>
      </c>
      <c r="C9582" s="139" t="s">
        <v>65</v>
      </c>
      <c r="D9582" s="139" t="s">
        <v>22160</v>
      </c>
    </row>
    <row r="9583" spans="1:4" x14ac:dyDescent="0.25">
      <c r="A9583" s="139" t="s">
        <v>22161</v>
      </c>
      <c r="B9583" s="139" t="s">
        <v>1233</v>
      </c>
      <c r="C9583" s="139" t="s">
        <v>65</v>
      </c>
      <c r="D9583" s="139" t="s">
        <v>22162</v>
      </c>
    </row>
    <row r="9584" spans="1:4" x14ac:dyDescent="0.25">
      <c r="A9584" s="139" t="s">
        <v>22163</v>
      </c>
      <c r="B9584" s="139" t="s">
        <v>2233</v>
      </c>
      <c r="C9584" s="139" t="s">
        <v>65</v>
      </c>
      <c r="D9584" s="139" t="s">
        <v>22164</v>
      </c>
    </row>
    <row r="9585" spans="1:4" x14ac:dyDescent="0.25">
      <c r="A9585" s="139" t="s">
        <v>22165</v>
      </c>
      <c r="B9585" s="139" t="s">
        <v>2233</v>
      </c>
      <c r="C9585" s="139" t="s">
        <v>65</v>
      </c>
      <c r="D9585" s="139" t="s">
        <v>22166</v>
      </c>
    </row>
    <row r="9586" spans="1:4" x14ac:dyDescent="0.25">
      <c r="A9586" s="139" t="s">
        <v>22167</v>
      </c>
      <c r="B9586" s="139" t="s">
        <v>22168</v>
      </c>
      <c r="C9586" s="139" t="s">
        <v>33</v>
      </c>
      <c r="D9586" s="139" t="s">
        <v>22169</v>
      </c>
    </row>
    <row r="9587" spans="1:4" x14ac:dyDescent="0.25">
      <c r="A9587" s="139" t="s">
        <v>22170</v>
      </c>
      <c r="B9587" s="139" t="s">
        <v>22168</v>
      </c>
      <c r="C9587" s="139" t="s">
        <v>33</v>
      </c>
      <c r="D9587" s="139" t="s">
        <v>22171</v>
      </c>
    </row>
    <row r="9588" spans="1:4" x14ac:dyDescent="0.25">
      <c r="A9588" s="139" t="s">
        <v>22172</v>
      </c>
      <c r="B9588" s="139" t="s">
        <v>22173</v>
      </c>
      <c r="C9588" s="139" t="s">
        <v>65</v>
      </c>
      <c r="D9588" s="139" t="s">
        <v>22174</v>
      </c>
    </row>
    <row r="9589" spans="1:4" x14ac:dyDescent="0.25">
      <c r="A9589" s="139" t="s">
        <v>22175</v>
      </c>
      <c r="B9589" s="139" t="s">
        <v>22173</v>
      </c>
      <c r="C9589" s="139" t="s">
        <v>65</v>
      </c>
      <c r="D9589" s="139" t="s">
        <v>22176</v>
      </c>
    </row>
    <row r="9590" spans="1:4" x14ac:dyDescent="0.25">
      <c r="A9590" s="139" t="s">
        <v>22177</v>
      </c>
      <c r="B9590" s="139" t="s">
        <v>22178</v>
      </c>
      <c r="C9590" s="139" t="s">
        <v>65</v>
      </c>
      <c r="D9590" s="139" t="s">
        <v>22179</v>
      </c>
    </row>
    <row r="9591" spans="1:4" x14ac:dyDescent="0.25">
      <c r="A9591" s="139" t="s">
        <v>22180</v>
      </c>
      <c r="B9591" s="139" t="s">
        <v>22178</v>
      </c>
      <c r="C9591" s="139" t="s">
        <v>65</v>
      </c>
      <c r="D9591" s="139" t="s">
        <v>22181</v>
      </c>
    </row>
    <row r="9592" spans="1:4" x14ac:dyDescent="0.25">
      <c r="A9592" s="139" t="s">
        <v>22182</v>
      </c>
      <c r="B9592" s="139" t="s">
        <v>17839</v>
      </c>
      <c r="C9592" s="139" t="s">
        <v>65</v>
      </c>
      <c r="D9592" s="139" t="s">
        <v>22183</v>
      </c>
    </row>
    <row r="9593" spans="1:4" x14ac:dyDescent="0.25">
      <c r="A9593" s="139" t="s">
        <v>22184</v>
      </c>
      <c r="B9593" s="139" t="s">
        <v>17839</v>
      </c>
      <c r="C9593" s="139" t="s">
        <v>65</v>
      </c>
      <c r="D9593" s="139" t="s">
        <v>22185</v>
      </c>
    </row>
    <row r="9594" spans="1:4" x14ac:dyDescent="0.25">
      <c r="A9594" s="139" t="s">
        <v>22186</v>
      </c>
      <c r="B9594" s="139" t="s">
        <v>22187</v>
      </c>
      <c r="C9594" s="139" t="s">
        <v>33</v>
      </c>
      <c r="D9594" s="139" t="s">
        <v>22188</v>
      </c>
    </row>
    <row r="9595" spans="1:4" x14ac:dyDescent="0.25">
      <c r="A9595" s="139" t="s">
        <v>22189</v>
      </c>
      <c r="B9595" s="139" t="s">
        <v>22071</v>
      </c>
      <c r="C9595" s="139" t="s">
        <v>65</v>
      </c>
      <c r="D9595" s="139" t="s">
        <v>22190</v>
      </c>
    </row>
    <row r="9596" spans="1:4" x14ac:dyDescent="0.25">
      <c r="A9596" s="139" t="s">
        <v>22191</v>
      </c>
      <c r="B9596" s="139" t="s">
        <v>22071</v>
      </c>
      <c r="C9596" s="139" t="s">
        <v>65</v>
      </c>
      <c r="D9596" s="139" t="s">
        <v>22192</v>
      </c>
    </row>
    <row r="9597" spans="1:4" x14ac:dyDescent="0.25">
      <c r="A9597" s="139" t="s">
        <v>22193</v>
      </c>
      <c r="B9597" s="139" t="s">
        <v>22194</v>
      </c>
      <c r="C9597" s="139" t="s">
        <v>65</v>
      </c>
      <c r="D9597" s="139" t="s">
        <v>22195</v>
      </c>
    </row>
    <row r="9598" spans="1:4" x14ac:dyDescent="0.25">
      <c r="A9598" s="139" t="s">
        <v>22196</v>
      </c>
      <c r="B9598" s="139" t="s">
        <v>22194</v>
      </c>
      <c r="C9598" s="139" t="s">
        <v>65</v>
      </c>
      <c r="D9598" s="139" t="s">
        <v>22197</v>
      </c>
    </row>
    <row r="9599" spans="1:4" x14ac:dyDescent="0.25">
      <c r="A9599" s="139" t="s">
        <v>22198</v>
      </c>
      <c r="B9599" s="139" t="s">
        <v>22199</v>
      </c>
      <c r="C9599" s="139" t="s">
        <v>65</v>
      </c>
      <c r="D9599" s="139" t="s">
        <v>22200</v>
      </c>
    </row>
    <row r="9600" spans="1:4" x14ac:dyDescent="0.25">
      <c r="A9600" s="139" t="s">
        <v>22201</v>
      </c>
      <c r="B9600" s="139" t="s">
        <v>22199</v>
      </c>
      <c r="C9600" s="139" t="s">
        <v>65</v>
      </c>
      <c r="D9600" s="139" t="s">
        <v>22202</v>
      </c>
    </row>
    <row r="9601" spans="1:4" x14ac:dyDescent="0.25">
      <c r="A9601" s="139" t="s">
        <v>22203</v>
      </c>
      <c r="B9601" s="139" t="s">
        <v>22204</v>
      </c>
      <c r="C9601" s="139" t="s">
        <v>65</v>
      </c>
      <c r="D9601" s="139" t="s">
        <v>22205</v>
      </c>
    </row>
    <row r="9602" spans="1:4" x14ac:dyDescent="0.25">
      <c r="A9602" s="139" t="s">
        <v>22206</v>
      </c>
      <c r="B9602" s="139" t="s">
        <v>22204</v>
      </c>
      <c r="C9602" s="139" t="s">
        <v>65</v>
      </c>
      <c r="D9602" s="139" t="s">
        <v>22207</v>
      </c>
    </row>
    <row r="9603" spans="1:4" x14ac:dyDescent="0.25">
      <c r="A9603" s="139" t="s">
        <v>22208</v>
      </c>
      <c r="B9603" s="139" t="s">
        <v>17834</v>
      </c>
      <c r="C9603" s="139" t="s">
        <v>65</v>
      </c>
      <c r="D9603" s="139" t="s">
        <v>22209</v>
      </c>
    </row>
    <row r="9604" spans="1:4" x14ac:dyDescent="0.25">
      <c r="A9604" s="139" t="s">
        <v>22210</v>
      </c>
      <c r="B9604" s="139" t="s">
        <v>17834</v>
      </c>
      <c r="C9604" s="139" t="s">
        <v>65</v>
      </c>
      <c r="D9604" s="139" t="s">
        <v>22211</v>
      </c>
    </row>
    <row r="9605" spans="1:4" x14ac:dyDescent="0.25">
      <c r="A9605" s="139" t="s">
        <v>22212</v>
      </c>
      <c r="B9605" s="139" t="s">
        <v>15466</v>
      </c>
      <c r="C9605" s="139" t="s">
        <v>65</v>
      </c>
      <c r="D9605" s="139" t="s">
        <v>22213</v>
      </c>
    </row>
    <row r="9606" spans="1:4" x14ac:dyDescent="0.25">
      <c r="A9606" s="139" t="s">
        <v>22214</v>
      </c>
      <c r="B9606" s="139" t="s">
        <v>15466</v>
      </c>
      <c r="C9606" s="139" t="s">
        <v>65</v>
      </c>
      <c r="D9606" s="139" t="s">
        <v>22215</v>
      </c>
    </row>
    <row r="9607" spans="1:4" x14ac:dyDescent="0.25">
      <c r="A9607" s="139" t="s">
        <v>22216</v>
      </c>
      <c r="B9607" s="139" t="s">
        <v>15476</v>
      </c>
      <c r="C9607" s="139" t="s">
        <v>65</v>
      </c>
      <c r="D9607" s="139" t="s">
        <v>22217</v>
      </c>
    </row>
    <row r="9608" spans="1:4" x14ac:dyDescent="0.25">
      <c r="A9608" s="139" t="s">
        <v>22218</v>
      </c>
      <c r="B9608" s="139" t="s">
        <v>15476</v>
      </c>
      <c r="C9608" s="139" t="s">
        <v>65</v>
      </c>
      <c r="D9608" s="139" t="s">
        <v>22219</v>
      </c>
    </row>
    <row r="9609" spans="1:4" x14ac:dyDescent="0.25">
      <c r="A9609" s="139" t="s">
        <v>22220</v>
      </c>
      <c r="B9609" s="139" t="s">
        <v>22187</v>
      </c>
      <c r="C9609" s="139" t="s">
        <v>33</v>
      </c>
      <c r="D9609" s="139" t="s">
        <v>22221</v>
      </c>
    </row>
    <row r="9610" spans="1:4" x14ac:dyDescent="0.25">
      <c r="A9610" s="139" t="s">
        <v>22222</v>
      </c>
      <c r="B9610" s="139" t="s">
        <v>22032</v>
      </c>
      <c r="C9610" s="139" t="s">
        <v>65</v>
      </c>
      <c r="D9610" s="139" t="s">
        <v>22223</v>
      </c>
    </row>
    <row r="9611" spans="1:4" x14ac:dyDescent="0.25">
      <c r="A9611" s="139" t="s">
        <v>22224</v>
      </c>
      <c r="B9611" s="139" t="s">
        <v>22032</v>
      </c>
      <c r="C9611" s="139" t="s">
        <v>65</v>
      </c>
      <c r="D9611" s="139" t="s">
        <v>22225</v>
      </c>
    </row>
    <row r="9612" spans="1:4" x14ac:dyDescent="0.25">
      <c r="A9612" s="139" t="s">
        <v>22226</v>
      </c>
      <c r="B9612" s="139" t="s">
        <v>22037</v>
      </c>
      <c r="C9612" s="139" t="s">
        <v>65</v>
      </c>
      <c r="D9612" s="139" t="s">
        <v>22227</v>
      </c>
    </row>
    <row r="9613" spans="1:4" x14ac:dyDescent="0.25">
      <c r="A9613" s="139" t="s">
        <v>22228</v>
      </c>
      <c r="B9613" s="139" t="s">
        <v>22037</v>
      </c>
      <c r="C9613" s="139" t="s">
        <v>65</v>
      </c>
      <c r="D9613" s="139" t="s">
        <v>22229</v>
      </c>
    </row>
    <row r="9614" spans="1:4" x14ac:dyDescent="0.25">
      <c r="A9614" s="139" t="s">
        <v>22230</v>
      </c>
      <c r="B9614" s="139" t="s">
        <v>22042</v>
      </c>
      <c r="C9614" s="139" t="s">
        <v>65</v>
      </c>
      <c r="D9614" s="139" t="s">
        <v>22231</v>
      </c>
    </row>
    <row r="9615" spans="1:4" x14ac:dyDescent="0.25">
      <c r="A9615" s="139" t="s">
        <v>22232</v>
      </c>
      <c r="B9615" s="139" t="s">
        <v>22042</v>
      </c>
      <c r="C9615" s="139" t="s">
        <v>65</v>
      </c>
      <c r="D9615" s="139" t="s">
        <v>22233</v>
      </c>
    </row>
    <row r="9616" spans="1:4" x14ac:dyDescent="0.25">
      <c r="A9616" s="139" t="s">
        <v>22234</v>
      </c>
      <c r="B9616" s="139" t="s">
        <v>22235</v>
      </c>
      <c r="C9616" s="139" t="s">
        <v>33</v>
      </c>
      <c r="D9616" s="139" t="s">
        <v>22236</v>
      </c>
    </row>
    <row r="9617" spans="1:4" x14ac:dyDescent="0.25">
      <c r="A9617" s="139" t="s">
        <v>22237</v>
      </c>
      <c r="B9617" s="139" t="s">
        <v>22235</v>
      </c>
      <c r="C9617" s="139" t="s">
        <v>33</v>
      </c>
      <c r="D9617" s="139" t="s">
        <v>22238</v>
      </c>
    </row>
    <row r="9618" spans="1:4" x14ac:dyDescent="0.25">
      <c r="A9618" s="139" t="s">
        <v>22239</v>
      </c>
      <c r="B9618" s="139" t="s">
        <v>4857</v>
      </c>
      <c r="C9618" s="139" t="s">
        <v>65</v>
      </c>
      <c r="D9618" s="139" t="s">
        <v>22240</v>
      </c>
    </row>
    <row r="9619" spans="1:4" x14ac:dyDescent="0.25">
      <c r="A9619" s="139" t="s">
        <v>22241</v>
      </c>
      <c r="B9619" s="139" t="s">
        <v>4857</v>
      </c>
      <c r="C9619" s="139" t="s">
        <v>65</v>
      </c>
      <c r="D9619" s="139" t="s">
        <v>22242</v>
      </c>
    </row>
    <row r="9620" spans="1:4" x14ac:dyDescent="0.25">
      <c r="A9620" s="139" t="s">
        <v>22243</v>
      </c>
      <c r="B9620" s="139" t="s">
        <v>22244</v>
      </c>
      <c r="C9620" s="139" t="s">
        <v>33</v>
      </c>
      <c r="D9620" s="139" t="s">
        <v>22245</v>
      </c>
    </row>
    <row r="9621" spans="1:4" x14ac:dyDescent="0.25">
      <c r="A9621" s="139" t="s">
        <v>22246</v>
      </c>
      <c r="B9621" s="139" t="s">
        <v>22244</v>
      </c>
      <c r="C9621" s="139" t="s">
        <v>33</v>
      </c>
      <c r="D9621" s="139" t="s">
        <v>22247</v>
      </c>
    </row>
    <row r="9622" spans="1:4" x14ac:dyDescent="0.25">
      <c r="A9622" s="139" t="s">
        <v>22248</v>
      </c>
      <c r="B9622" s="139" t="s">
        <v>21804</v>
      </c>
      <c r="C9622" s="139" t="s">
        <v>33</v>
      </c>
      <c r="D9622" s="139" t="s">
        <v>22249</v>
      </c>
    </row>
    <row r="9623" spans="1:4" x14ac:dyDescent="0.25">
      <c r="A9623" s="139" t="s">
        <v>22250</v>
      </c>
      <c r="B9623" s="139" t="s">
        <v>21804</v>
      </c>
      <c r="C9623" s="139" t="s">
        <v>33</v>
      </c>
      <c r="D9623" s="139" t="s">
        <v>22251</v>
      </c>
    </row>
    <row r="9624" spans="1:4" x14ac:dyDescent="0.25">
      <c r="A9624" s="139" t="s">
        <v>22252</v>
      </c>
      <c r="B9624" s="139" t="s">
        <v>14685</v>
      </c>
      <c r="C9624" s="139" t="s">
        <v>33</v>
      </c>
      <c r="D9624" s="139" t="s">
        <v>22253</v>
      </c>
    </row>
    <row r="9625" spans="1:4" x14ac:dyDescent="0.25">
      <c r="A9625" s="139" t="s">
        <v>22254</v>
      </c>
      <c r="B9625" s="139" t="s">
        <v>14685</v>
      </c>
      <c r="C9625" s="139" t="s">
        <v>33</v>
      </c>
      <c r="D9625" s="139" t="s">
        <v>22255</v>
      </c>
    </row>
    <row r="9626" spans="1:4" x14ac:dyDescent="0.25">
      <c r="A9626" s="139" t="s">
        <v>22256</v>
      </c>
      <c r="B9626" s="139" t="s">
        <v>2974</v>
      </c>
      <c r="C9626" s="139" t="s">
        <v>658</v>
      </c>
      <c r="D9626" s="139" t="s">
        <v>22257</v>
      </c>
    </row>
    <row r="9627" spans="1:4" x14ac:dyDescent="0.25">
      <c r="A9627" s="139" t="s">
        <v>22258</v>
      </c>
      <c r="B9627" s="139" t="s">
        <v>2974</v>
      </c>
      <c r="C9627" s="139" t="s">
        <v>658</v>
      </c>
      <c r="D9627" s="139" t="s">
        <v>22259</v>
      </c>
    </row>
    <row r="9628" spans="1:4" x14ac:dyDescent="0.25">
      <c r="A9628" s="139" t="s">
        <v>22260</v>
      </c>
      <c r="B9628" s="139" t="s">
        <v>2058</v>
      </c>
      <c r="C9628" s="139" t="s">
        <v>33</v>
      </c>
      <c r="D9628" s="139" t="s">
        <v>22261</v>
      </c>
    </row>
    <row r="9629" spans="1:4" x14ac:dyDescent="0.25">
      <c r="A9629" s="139" t="s">
        <v>22262</v>
      </c>
      <c r="B9629" s="139" t="s">
        <v>2058</v>
      </c>
      <c r="C9629" s="139" t="s">
        <v>33</v>
      </c>
      <c r="D9629" s="139" t="s">
        <v>22263</v>
      </c>
    </row>
    <row r="9630" spans="1:4" x14ac:dyDescent="0.25">
      <c r="A9630" s="139" t="s">
        <v>22264</v>
      </c>
      <c r="B9630" s="139" t="s">
        <v>22265</v>
      </c>
      <c r="C9630" s="139" t="s">
        <v>33</v>
      </c>
      <c r="D9630" s="139" t="s">
        <v>22266</v>
      </c>
    </row>
    <row r="9631" spans="1:4" x14ac:dyDescent="0.25">
      <c r="A9631" s="139" t="s">
        <v>22267</v>
      </c>
      <c r="B9631" s="139" t="s">
        <v>22265</v>
      </c>
      <c r="C9631" s="139" t="s">
        <v>33</v>
      </c>
      <c r="D9631" s="139" t="s">
        <v>22268</v>
      </c>
    </row>
    <row r="9632" spans="1:4" x14ac:dyDescent="0.25">
      <c r="A9632" s="139" t="s">
        <v>22269</v>
      </c>
      <c r="B9632" s="139" t="s">
        <v>22270</v>
      </c>
      <c r="C9632" s="139" t="s">
        <v>33</v>
      </c>
      <c r="D9632" s="139" t="s">
        <v>22271</v>
      </c>
    </row>
    <row r="9633" spans="1:4" x14ac:dyDescent="0.25">
      <c r="A9633" s="139" t="s">
        <v>22272</v>
      </c>
      <c r="B9633" s="139" t="s">
        <v>22270</v>
      </c>
      <c r="C9633" s="139" t="s">
        <v>33</v>
      </c>
      <c r="D9633" s="139" t="s">
        <v>22273</v>
      </c>
    </row>
    <row r="9634" spans="1:4" x14ac:dyDescent="0.25">
      <c r="A9634" s="139" t="s">
        <v>22274</v>
      </c>
      <c r="B9634" s="139" t="s">
        <v>17762</v>
      </c>
      <c r="C9634" s="139" t="s">
        <v>33</v>
      </c>
      <c r="D9634" s="139" t="s">
        <v>22275</v>
      </c>
    </row>
    <row r="9635" spans="1:4" x14ac:dyDescent="0.25">
      <c r="A9635" s="139" t="s">
        <v>22276</v>
      </c>
      <c r="B9635" s="139" t="s">
        <v>17762</v>
      </c>
      <c r="C9635" s="139" t="s">
        <v>33</v>
      </c>
      <c r="D9635" s="139" t="s">
        <v>22277</v>
      </c>
    </row>
    <row r="9636" spans="1:4" x14ac:dyDescent="0.25">
      <c r="A9636" s="139" t="s">
        <v>22278</v>
      </c>
      <c r="B9636" s="139" t="s">
        <v>22279</v>
      </c>
      <c r="C9636" s="139" t="s">
        <v>33</v>
      </c>
      <c r="D9636" s="139" t="s">
        <v>22280</v>
      </c>
    </row>
    <row r="9637" spans="1:4" x14ac:dyDescent="0.25">
      <c r="A9637" s="139" t="s">
        <v>22281</v>
      </c>
      <c r="B9637" s="139" t="s">
        <v>22279</v>
      </c>
      <c r="C9637" s="139" t="s">
        <v>33</v>
      </c>
      <c r="D9637" s="139" t="s">
        <v>22282</v>
      </c>
    </row>
    <row r="9638" spans="1:4" x14ac:dyDescent="0.25">
      <c r="A9638" s="139" t="s">
        <v>22283</v>
      </c>
      <c r="B9638" s="139" t="s">
        <v>22284</v>
      </c>
      <c r="C9638" s="139" t="s">
        <v>33</v>
      </c>
      <c r="D9638" s="139" t="s">
        <v>22285</v>
      </c>
    </row>
    <row r="9639" spans="1:4" x14ac:dyDescent="0.25">
      <c r="A9639" s="139" t="s">
        <v>22286</v>
      </c>
      <c r="B9639" s="139" t="s">
        <v>22284</v>
      </c>
      <c r="C9639" s="139" t="s">
        <v>33</v>
      </c>
      <c r="D9639" s="139" t="s">
        <v>22287</v>
      </c>
    </row>
    <row r="9640" spans="1:4" x14ac:dyDescent="0.25">
      <c r="A9640" s="139" t="s">
        <v>22288</v>
      </c>
      <c r="B9640" s="139" t="s">
        <v>22289</v>
      </c>
      <c r="C9640" s="139" t="s">
        <v>33</v>
      </c>
      <c r="D9640" s="139" t="s">
        <v>22290</v>
      </c>
    </row>
    <row r="9641" spans="1:4" x14ac:dyDescent="0.25">
      <c r="A9641" s="139" t="s">
        <v>22291</v>
      </c>
      <c r="B9641" s="139" t="s">
        <v>22289</v>
      </c>
      <c r="C9641" s="139" t="s">
        <v>33</v>
      </c>
      <c r="D9641" s="139" t="s">
        <v>22292</v>
      </c>
    </row>
    <row r="9642" spans="1:4" x14ac:dyDescent="0.25">
      <c r="A9642" s="139" t="s">
        <v>22293</v>
      </c>
      <c r="B9642" s="139" t="s">
        <v>22294</v>
      </c>
      <c r="C9642" s="139" t="s">
        <v>33</v>
      </c>
      <c r="D9642" s="139" t="s">
        <v>22295</v>
      </c>
    </row>
    <row r="9643" spans="1:4" x14ac:dyDescent="0.25">
      <c r="A9643" s="139" t="s">
        <v>22296</v>
      </c>
      <c r="B9643" s="139" t="s">
        <v>22294</v>
      </c>
      <c r="C9643" s="139" t="s">
        <v>33</v>
      </c>
      <c r="D9643" s="139" t="s">
        <v>22297</v>
      </c>
    </row>
    <row r="9644" spans="1:4" x14ac:dyDescent="0.25">
      <c r="A9644" s="139" t="s">
        <v>22298</v>
      </c>
      <c r="B9644" s="139" t="s">
        <v>22299</v>
      </c>
      <c r="C9644" s="139" t="s">
        <v>33</v>
      </c>
      <c r="D9644" s="139" t="s">
        <v>22300</v>
      </c>
    </row>
    <row r="9645" spans="1:4" x14ac:dyDescent="0.25">
      <c r="A9645" s="139" t="s">
        <v>22301</v>
      </c>
      <c r="B9645" s="139" t="s">
        <v>22299</v>
      </c>
      <c r="C9645" s="139" t="s">
        <v>33</v>
      </c>
      <c r="D9645" s="139" t="s">
        <v>22302</v>
      </c>
    </row>
    <row r="9646" spans="1:4" x14ac:dyDescent="0.25">
      <c r="A9646" s="139" t="s">
        <v>22303</v>
      </c>
      <c r="B9646" s="139" t="s">
        <v>22304</v>
      </c>
      <c r="C9646" s="139" t="s">
        <v>33</v>
      </c>
      <c r="D9646" s="139" t="s">
        <v>22305</v>
      </c>
    </row>
    <row r="9647" spans="1:4" x14ac:dyDescent="0.25">
      <c r="A9647" s="139" t="s">
        <v>22306</v>
      </c>
      <c r="B9647" s="139" t="s">
        <v>22304</v>
      </c>
      <c r="C9647" s="139" t="s">
        <v>33</v>
      </c>
      <c r="D9647" s="139" t="s">
        <v>22307</v>
      </c>
    </row>
    <row r="9648" spans="1:4" x14ac:dyDescent="0.25">
      <c r="A9648" s="139" t="s">
        <v>22308</v>
      </c>
      <c r="B9648" s="139" t="s">
        <v>22309</v>
      </c>
      <c r="C9648" s="139" t="s">
        <v>33</v>
      </c>
      <c r="D9648" s="139" t="s">
        <v>22310</v>
      </c>
    </row>
    <row r="9649" spans="1:4" x14ac:dyDescent="0.25">
      <c r="A9649" s="139" t="s">
        <v>22311</v>
      </c>
      <c r="B9649" s="139" t="s">
        <v>22309</v>
      </c>
      <c r="C9649" s="139" t="s">
        <v>33</v>
      </c>
      <c r="D9649" s="139" t="s">
        <v>22312</v>
      </c>
    </row>
    <row r="9650" spans="1:4" x14ac:dyDescent="0.25">
      <c r="A9650" s="139" t="s">
        <v>22313</v>
      </c>
      <c r="B9650" s="139" t="s">
        <v>22314</v>
      </c>
      <c r="C9650" s="139" t="s">
        <v>65</v>
      </c>
      <c r="D9650" s="139" t="s">
        <v>22315</v>
      </c>
    </row>
    <row r="9651" spans="1:4" x14ac:dyDescent="0.25">
      <c r="A9651" s="139" t="s">
        <v>22316</v>
      </c>
      <c r="B9651" s="139" t="s">
        <v>22314</v>
      </c>
      <c r="C9651" s="139" t="s">
        <v>65</v>
      </c>
      <c r="D9651" s="139" t="s">
        <v>22317</v>
      </c>
    </row>
    <row r="9652" spans="1:4" x14ac:dyDescent="0.25">
      <c r="A9652" s="139" t="s">
        <v>22318</v>
      </c>
      <c r="B9652" s="139" t="s">
        <v>1892</v>
      </c>
      <c r="C9652" s="139" t="s">
        <v>65</v>
      </c>
      <c r="D9652" s="139" t="s">
        <v>22319</v>
      </c>
    </row>
    <row r="9653" spans="1:4" x14ac:dyDescent="0.25">
      <c r="A9653" s="139" t="s">
        <v>22320</v>
      </c>
      <c r="B9653" s="139" t="s">
        <v>1892</v>
      </c>
      <c r="C9653" s="139" t="s">
        <v>65</v>
      </c>
      <c r="D9653" s="139" t="s">
        <v>22321</v>
      </c>
    </row>
    <row r="9654" spans="1:4" x14ac:dyDescent="0.25">
      <c r="A9654" s="139" t="s">
        <v>22322</v>
      </c>
      <c r="B9654" s="139" t="s">
        <v>5900</v>
      </c>
      <c r="C9654" s="139" t="s">
        <v>65</v>
      </c>
      <c r="D9654" s="139" t="s">
        <v>22323</v>
      </c>
    </row>
    <row r="9655" spans="1:4" x14ac:dyDescent="0.25">
      <c r="A9655" s="139" t="s">
        <v>22324</v>
      </c>
      <c r="B9655" s="139" t="s">
        <v>5900</v>
      </c>
      <c r="C9655" s="139" t="s">
        <v>65</v>
      </c>
      <c r="D9655" s="139" t="s">
        <v>22325</v>
      </c>
    </row>
    <row r="9656" spans="1:4" x14ac:dyDescent="0.25">
      <c r="A9656" s="139" t="s">
        <v>22326</v>
      </c>
      <c r="B9656" s="139" t="s">
        <v>335</v>
      </c>
      <c r="C9656" s="139" t="s">
        <v>65</v>
      </c>
      <c r="D9656" s="139" t="s">
        <v>22327</v>
      </c>
    </row>
    <row r="9657" spans="1:4" x14ac:dyDescent="0.25">
      <c r="A9657" s="139" t="s">
        <v>22328</v>
      </c>
      <c r="B9657" s="139" t="s">
        <v>335</v>
      </c>
      <c r="C9657" s="139" t="s">
        <v>65</v>
      </c>
      <c r="D9657" s="139" t="s">
        <v>22329</v>
      </c>
    </row>
    <row r="9658" spans="1:4" x14ac:dyDescent="0.25">
      <c r="A9658" s="139" t="s">
        <v>22330</v>
      </c>
      <c r="B9658" s="139" t="s">
        <v>22331</v>
      </c>
      <c r="C9658" s="139" t="s">
        <v>65</v>
      </c>
      <c r="D9658" s="139" t="s">
        <v>22332</v>
      </c>
    </row>
    <row r="9659" spans="1:4" x14ac:dyDescent="0.25">
      <c r="A9659" s="139" t="s">
        <v>22333</v>
      </c>
      <c r="B9659" s="139" t="s">
        <v>22331</v>
      </c>
      <c r="C9659" s="139" t="s">
        <v>65</v>
      </c>
      <c r="D9659" s="139" t="s">
        <v>22334</v>
      </c>
    </row>
    <row r="9660" spans="1:4" x14ac:dyDescent="0.25">
      <c r="A9660" s="139" t="s">
        <v>22335</v>
      </c>
      <c r="B9660" s="139" t="s">
        <v>22336</v>
      </c>
      <c r="C9660" s="139" t="s">
        <v>65</v>
      </c>
      <c r="D9660" s="139" t="s">
        <v>22337</v>
      </c>
    </row>
    <row r="9661" spans="1:4" x14ac:dyDescent="0.25">
      <c r="A9661" s="139" t="s">
        <v>22338</v>
      </c>
      <c r="B9661" s="139" t="s">
        <v>22336</v>
      </c>
      <c r="C9661" s="139" t="s">
        <v>65</v>
      </c>
      <c r="D9661" s="139" t="s">
        <v>22339</v>
      </c>
    </row>
    <row r="9662" spans="1:4" x14ac:dyDescent="0.25">
      <c r="A9662" s="139" t="s">
        <v>22340</v>
      </c>
      <c r="B9662" s="139" t="s">
        <v>22341</v>
      </c>
      <c r="C9662" s="139" t="s">
        <v>65</v>
      </c>
      <c r="D9662" s="139" t="s">
        <v>22342</v>
      </c>
    </row>
    <row r="9663" spans="1:4" x14ac:dyDescent="0.25">
      <c r="A9663" s="139" t="s">
        <v>22343</v>
      </c>
      <c r="B9663" s="139" t="s">
        <v>22341</v>
      </c>
      <c r="C9663" s="139" t="s">
        <v>65</v>
      </c>
      <c r="D9663" s="139" t="s">
        <v>22344</v>
      </c>
    </row>
    <row r="9664" spans="1:4" x14ac:dyDescent="0.25">
      <c r="A9664" s="139" t="s">
        <v>22345</v>
      </c>
      <c r="B9664" s="139" t="s">
        <v>6904</v>
      </c>
      <c r="C9664" s="139" t="s">
        <v>65</v>
      </c>
      <c r="D9664" s="139" t="s">
        <v>22346</v>
      </c>
    </row>
    <row r="9665" spans="1:4" x14ac:dyDescent="0.25">
      <c r="A9665" s="139" t="s">
        <v>22347</v>
      </c>
      <c r="B9665" s="139" t="s">
        <v>6904</v>
      </c>
      <c r="C9665" s="139" t="s">
        <v>65</v>
      </c>
      <c r="D9665" s="139" t="s">
        <v>22348</v>
      </c>
    </row>
    <row r="9666" spans="1:4" x14ac:dyDescent="0.25">
      <c r="A9666" s="139" t="s">
        <v>22349</v>
      </c>
      <c r="B9666" s="139" t="s">
        <v>875</v>
      </c>
      <c r="C9666" s="139" t="s">
        <v>65</v>
      </c>
      <c r="D9666" s="139" t="s">
        <v>22350</v>
      </c>
    </row>
    <row r="9667" spans="1:4" x14ac:dyDescent="0.25">
      <c r="A9667" s="139" t="s">
        <v>22351</v>
      </c>
      <c r="B9667" s="139" t="s">
        <v>875</v>
      </c>
      <c r="C9667" s="139" t="s">
        <v>65</v>
      </c>
      <c r="D9667" s="139" t="s">
        <v>22352</v>
      </c>
    </row>
    <row r="9668" spans="1:4" x14ac:dyDescent="0.25">
      <c r="A9668" s="139" t="s">
        <v>22353</v>
      </c>
      <c r="B9668" s="139" t="s">
        <v>22354</v>
      </c>
      <c r="C9668" s="139" t="s">
        <v>65</v>
      </c>
      <c r="D9668" s="139" t="s">
        <v>22355</v>
      </c>
    </row>
    <row r="9669" spans="1:4" x14ac:dyDescent="0.25">
      <c r="A9669" s="139" t="s">
        <v>22356</v>
      </c>
      <c r="B9669" s="139" t="s">
        <v>22354</v>
      </c>
      <c r="C9669" s="139" t="s">
        <v>65</v>
      </c>
      <c r="D9669" s="139" t="s">
        <v>22357</v>
      </c>
    </row>
    <row r="9670" spans="1:4" x14ac:dyDescent="0.25">
      <c r="A9670" s="139" t="s">
        <v>22358</v>
      </c>
      <c r="B9670" s="139" t="s">
        <v>21851</v>
      </c>
      <c r="C9670" s="139" t="s">
        <v>65</v>
      </c>
      <c r="D9670" s="139" t="s">
        <v>22359</v>
      </c>
    </row>
    <row r="9671" spans="1:4" x14ac:dyDescent="0.25">
      <c r="A9671" s="139" t="s">
        <v>22360</v>
      </c>
      <c r="B9671" s="139" t="s">
        <v>21851</v>
      </c>
      <c r="C9671" s="139" t="s">
        <v>65</v>
      </c>
      <c r="D9671" s="139" t="s">
        <v>22361</v>
      </c>
    </row>
    <row r="9672" spans="1:4" x14ac:dyDescent="0.25">
      <c r="A9672" s="139" t="s">
        <v>22362</v>
      </c>
      <c r="B9672" s="139" t="s">
        <v>340</v>
      </c>
      <c r="C9672" s="139" t="s">
        <v>65</v>
      </c>
      <c r="D9672" s="139" t="s">
        <v>22363</v>
      </c>
    </row>
    <row r="9673" spans="1:4" x14ac:dyDescent="0.25">
      <c r="A9673" s="139" t="s">
        <v>22364</v>
      </c>
      <c r="B9673" s="139" t="s">
        <v>1049</v>
      </c>
      <c r="C9673" s="139" t="s">
        <v>65</v>
      </c>
      <c r="D9673" s="139" t="s">
        <v>22365</v>
      </c>
    </row>
    <row r="9674" spans="1:4" x14ac:dyDescent="0.25">
      <c r="A9674" s="139" t="s">
        <v>22366</v>
      </c>
      <c r="B9674" s="139" t="s">
        <v>1049</v>
      </c>
      <c r="C9674" s="139" t="s">
        <v>65</v>
      </c>
      <c r="D9674" s="139" t="s">
        <v>22367</v>
      </c>
    </row>
    <row r="9675" spans="1:4" x14ac:dyDescent="0.25">
      <c r="A9675" s="139" t="s">
        <v>22368</v>
      </c>
      <c r="B9675" s="139" t="s">
        <v>22369</v>
      </c>
      <c r="C9675" s="139" t="s">
        <v>65</v>
      </c>
      <c r="D9675" s="139" t="s">
        <v>22370</v>
      </c>
    </row>
    <row r="9676" spans="1:4" x14ac:dyDescent="0.25">
      <c r="A9676" s="139" t="s">
        <v>22371</v>
      </c>
      <c r="B9676" s="139" t="s">
        <v>22369</v>
      </c>
      <c r="C9676" s="139" t="s">
        <v>65</v>
      </c>
      <c r="D9676" s="139" t="s">
        <v>22372</v>
      </c>
    </row>
    <row r="9677" spans="1:4" x14ac:dyDescent="0.25">
      <c r="A9677" s="139" t="s">
        <v>22373</v>
      </c>
      <c r="B9677" s="139" t="s">
        <v>137</v>
      </c>
      <c r="C9677" s="139" t="s">
        <v>65</v>
      </c>
      <c r="D9677" s="139" t="s">
        <v>22374</v>
      </c>
    </row>
    <row r="9678" spans="1:4" x14ac:dyDescent="0.25">
      <c r="A9678" s="139" t="s">
        <v>22375</v>
      </c>
      <c r="B9678" s="139" t="s">
        <v>137</v>
      </c>
      <c r="C9678" s="139" t="s">
        <v>65</v>
      </c>
      <c r="D9678" s="139" t="s">
        <v>22376</v>
      </c>
    </row>
    <row r="9679" spans="1:4" x14ac:dyDescent="0.25">
      <c r="A9679" s="139" t="s">
        <v>22377</v>
      </c>
      <c r="B9679" s="139" t="s">
        <v>22378</v>
      </c>
      <c r="C9679" s="139" t="s">
        <v>65</v>
      </c>
      <c r="D9679" s="139" t="s">
        <v>22379</v>
      </c>
    </row>
    <row r="9680" spans="1:4" x14ac:dyDescent="0.25">
      <c r="A9680" s="139" t="s">
        <v>22380</v>
      </c>
      <c r="B9680" s="139" t="s">
        <v>22378</v>
      </c>
      <c r="C9680" s="139" t="s">
        <v>65</v>
      </c>
      <c r="D9680" s="139" t="s">
        <v>22381</v>
      </c>
    </row>
    <row r="9681" spans="1:4" x14ac:dyDescent="0.25">
      <c r="A9681" s="139" t="s">
        <v>22382</v>
      </c>
      <c r="B9681" s="139" t="s">
        <v>22383</v>
      </c>
      <c r="C9681" s="139" t="s">
        <v>65</v>
      </c>
      <c r="D9681" s="139" t="s">
        <v>22384</v>
      </c>
    </row>
    <row r="9682" spans="1:4" x14ac:dyDescent="0.25">
      <c r="A9682" s="139" t="s">
        <v>22385</v>
      </c>
      <c r="B9682" s="139" t="s">
        <v>22383</v>
      </c>
      <c r="C9682" s="139" t="s">
        <v>65</v>
      </c>
      <c r="D9682" s="139" t="s">
        <v>22386</v>
      </c>
    </row>
    <row r="9683" spans="1:4" x14ac:dyDescent="0.25">
      <c r="A9683" s="139" t="s">
        <v>22387</v>
      </c>
      <c r="B9683" s="139" t="s">
        <v>22388</v>
      </c>
      <c r="C9683" s="139" t="s">
        <v>33</v>
      </c>
      <c r="D9683" s="139" t="s">
        <v>22389</v>
      </c>
    </row>
    <row r="9684" spans="1:4" x14ac:dyDescent="0.25">
      <c r="A9684" s="139" t="s">
        <v>22390</v>
      </c>
      <c r="B9684" s="139" t="s">
        <v>22388</v>
      </c>
      <c r="C9684" s="139" t="s">
        <v>33</v>
      </c>
      <c r="D9684" s="139" t="s">
        <v>22391</v>
      </c>
    </row>
    <row r="9685" spans="1:4" x14ac:dyDescent="0.25">
      <c r="A9685" s="139" t="s">
        <v>22392</v>
      </c>
      <c r="B9685" s="139" t="s">
        <v>22393</v>
      </c>
      <c r="C9685" s="139" t="s">
        <v>33</v>
      </c>
      <c r="D9685" s="139" t="s">
        <v>22394</v>
      </c>
    </row>
    <row r="9686" spans="1:4" x14ac:dyDescent="0.25">
      <c r="A9686" s="139" t="s">
        <v>22395</v>
      </c>
      <c r="B9686" s="139" t="s">
        <v>22393</v>
      </c>
      <c r="C9686" s="139" t="s">
        <v>33</v>
      </c>
      <c r="D9686" s="139" t="s">
        <v>22396</v>
      </c>
    </row>
    <row r="9687" spans="1:4" x14ac:dyDescent="0.25">
      <c r="A9687" s="139" t="s">
        <v>22397</v>
      </c>
      <c r="B9687" s="139" t="s">
        <v>15177</v>
      </c>
      <c r="C9687" s="139" t="s">
        <v>33</v>
      </c>
      <c r="D9687" s="139" t="s">
        <v>22398</v>
      </c>
    </row>
    <row r="9688" spans="1:4" x14ac:dyDescent="0.25">
      <c r="A9688" s="139" t="s">
        <v>22399</v>
      </c>
      <c r="B9688" s="139" t="s">
        <v>15177</v>
      </c>
      <c r="C9688" s="139" t="s">
        <v>33</v>
      </c>
      <c r="D9688" s="139" t="s">
        <v>22400</v>
      </c>
    </row>
    <row r="9689" spans="1:4" x14ac:dyDescent="0.25">
      <c r="A9689" s="139" t="s">
        <v>22401</v>
      </c>
      <c r="B9689" s="139" t="s">
        <v>13433</v>
      </c>
      <c r="C9689" s="139" t="s">
        <v>33</v>
      </c>
      <c r="D9689" s="139" t="s">
        <v>22402</v>
      </c>
    </row>
    <row r="9690" spans="1:4" x14ac:dyDescent="0.25">
      <c r="A9690" s="139" t="s">
        <v>22403</v>
      </c>
      <c r="B9690" s="139" t="s">
        <v>13433</v>
      </c>
      <c r="C9690" s="139" t="s">
        <v>33</v>
      </c>
      <c r="D9690" s="139" t="s">
        <v>22404</v>
      </c>
    </row>
    <row r="9691" spans="1:4" x14ac:dyDescent="0.25">
      <c r="A9691" s="139" t="s">
        <v>22405</v>
      </c>
      <c r="B9691" s="139" t="s">
        <v>13146</v>
      </c>
      <c r="C9691" s="139" t="s">
        <v>33</v>
      </c>
      <c r="D9691" s="139" t="s">
        <v>22406</v>
      </c>
    </row>
    <row r="9692" spans="1:4" x14ac:dyDescent="0.25">
      <c r="A9692" s="139" t="s">
        <v>22407</v>
      </c>
      <c r="B9692" s="139" t="s">
        <v>13146</v>
      </c>
      <c r="C9692" s="139" t="s">
        <v>33</v>
      </c>
      <c r="D9692" s="139" t="s">
        <v>22408</v>
      </c>
    </row>
    <row r="9693" spans="1:4" x14ac:dyDescent="0.25">
      <c r="A9693" s="139" t="s">
        <v>22409</v>
      </c>
      <c r="B9693" s="139" t="s">
        <v>17667</v>
      </c>
      <c r="C9693" s="139" t="s">
        <v>65</v>
      </c>
      <c r="D9693" s="139" t="s">
        <v>22410</v>
      </c>
    </row>
    <row r="9694" spans="1:4" x14ac:dyDescent="0.25">
      <c r="A9694" s="139" t="s">
        <v>22411</v>
      </c>
      <c r="B9694" s="139" t="s">
        <v>17667</v>
      </c>
      <c r="C9694" s="139" t="s">
        <v>65</v>
      </c>
      <c r="D9694" s="139" t="s">
        <v>22412</v>
      </c>
    </row>
    <row r="9695" spans="1:4" x14ac:dyDescent="0.25">
      <c r="A9695" s="139" t="s">
        <v>22413</v>
      </c>
      <c r="B9695" s="139" t="s">
        <v>7807</v>
      </c>
      <c r="C9695" s="139" t="s">
        <v>65</v>
      </c>
      <c r="D9695" s="139" t="s">
        <v>22414</v>
      </c>
    </row>
    <row r="9696" spans="1:4" x14ac:dyDescent="0.25">
      <c r="A9696" s="139" t="s">
        <v>22415</v>
      </c>
      <c r="B9696" s="139" t="s">
        <v>7807</v>
      </c>
      <c r="C9696" s="139" t="s">
        <v>65</v>
      </c>
      <c r="D9696" s="139" t="s">
        <v>22416</v>
      </c>
    </row>
    <row r="9697" spans="1:4" x14ac:dyDescent="0.25">
      <c r="A9697" s="139" t="s">
        <v>22417</v>
      </c>
      <c r="B9697" s="139" t="s">
        <v>7787</v>
      </c>
      <c r="C9697" s="139" t="s">
        <v>65</v>
      </c>
      <c r="D9697" s="139" t="s">
        <v>22418</v>
      </c>
    </row>
    <row r="9698" spans="1:4" x14ac:dyDescent="0.25">
      <c r="A9698" s="139" t="s">
        <v>22419</v>
      </c>
      <c r="B9698" s="139" t="s">
        <v>7787</v>
      </c>
      <c r="C9698" s="139" t="s">
        <v>65</v>
      </c>
      <c r="D9698" s="139" t="s">
        <v>22420</v>
      </c>
    </row>
    <row r="9699" spans="1:4" x14ac:dyDescent="0.25">
      <c r="A9699" s="139" t="s">
        <v>22421</v>
      </c>
      <c r="B9699" s="139" t="s">
        <v>3235</v>
      </c>
      <c r="C9699" s="139" t="s">
        <v>33</v>
      </c>
      <c r="D9699" s="139" t="s">
        <v>22422</v>
      </c>
    </row>
    <row r="9700" spans="1:4" x14ac:dyDescent="0.25">
      <c r="A9700" s="139" t="s">
        <v>22423</v>
      </c>
      <c r="B9700" s="139" t="s">
        <v>3235</v>
      </c>
      <c r="C9700" s="139" t="s">
        <v>33</v>
      </c>
      <c r="D9700" s="139" t="s">
        <v>22424</v>
      </c>
    </row>
    <row r="9701" spans="1:4" x14ac:dyDescent="0.25">
      <c r="A9701" s="139" t="s">
        <v>22425</v>
      </c>
      <c r="B9701" s="139" t="s">
        <v>18872</v>
      </c>
      <c r="C9701" s="139" t="s">
        <v>33</v>
      </c>
      <c r="D9701" s="139" t="s">
        <v>22426</v>
      </c>
    </row>
    <row r="9702" spans="1:4" x14ac:dyDescent="0.25">
      <c r="A9702" s="139" t="s">
        <v>22427</v>
      </c>
      <c r="B9702" s="139" t="s">
        <v>18872</v>
      </c>
      <c r="C9702" s="139" t="s">
        <v>33</v>
      </c>
      <c r="D9702" s="139" t="s">
        <v>22428</v>
      </c>
    </row>
    <row r="9703" spans="1:4" x14ac:dyDescent="0.25">
      <c r="A9703" s="139" t="s">
        <v>22429</v>
      </c>
      <c r="B9703" s="139" t="s">
        <v>22430</v>
      </c>
      <c r="C9703" s="139" t="s">
        <v>33</v>
      </c>
      <c r="D9703" s="139" t="s">
        <v>22431</v>
      </c>
    </row>
    <row r="9704" spans="1:4" x14ac:dyDescent="0.25">
      <c r="A9704" s="139" t="s">
        <v>22432</v>
      </c>
      <c r="B9704" s="139" t="s">
        <v>22430</v>
      </c>
      <c r="C9704" s="139" t="s">
        <v>33</v>
      </c>
      <c r="D9704" s="139" t="s">
        <v>22433</v>
      </c>
    </row>
    <row r="9705" spans="1:4" x14ac:dyDescent="0.25">
      <c r="A9705" s="139" t="s">
        <v>22434</v>
      </c>
      <c r="B9705" s="139" t="s">
        <v>15706</v>
      </c>
      <c r="C9705" s="139" t="s">
        <v>33</v>
      </c>
      <c r="D9705" s="139" t="s">
        <v>22435</v>
      </c>
    </row>
    <row r="9706" spans="1:4" x14ac:dyDescent="0.25">
      <c r="A9706" s="139" t="s">
        <v>22436</v>
      </c>
      <c r="B9706" s="139" t="s">
        <v>15706</v>
      </c>
      <c r="C9706" s="139" t="s">
        <v>33</v>
      </c>
      <c r="D9706" s="139" t="s">
        <v>22437</v>
      </c>
    </row>
    <row r="9707" spans="1:4" x14ac:dyDescent="0.25">
      <c r="A9707" s="139" t="s">
        <v>22438</v>
      </c>
      <c r="B9707" s="139" t="s">
        <v>1973</v>
      </c>
      <c r="C9707" s="139" t="s">
        <v>33</v>
      </c>
      <c r="D9707" s="139" t="s">
        <v>22439</v>
      </c>
    </row>
    <row r="9708" spans="1:4" x14ac:dyDescent="0.25">
      <c r="A9708" s="139" t="s">
        <v>22440</v>
      </c>
      <c r="B9708" s="139" t="s">
        <v>1973</v>
      </c>
      <c r="C9708" s="139" t="s">
        <v>33</v>
      </c>
      <c r="D9708" s="139" t="s">
        <v>22441</v>
      </c>
    </row>
    <row r="9709" spans="1:4" x14ac:dyDescent="0.25">
      <c r="A9709" s="139" t="s">
        <v>22442</v>
      </c>
      <c r="B9709" s="139" t="s">
        <v>1978</v>
      </c>
      <c r="C9709" s="139" t="s">
        <v>33</v>
      </c>
      <c r="D9709" s="139" t="s">
        <v>22443</v>
      </c>
    </row>
    <row r="9710" spans="1:4" x14ac:dyDescent="0.25">
      <c r="A9710" s="139" t="s">
        <v>22444</v>
      </c>
      <c r="B9710" s="139" t="s">
        <v>1978</v>
      </c>
      <c r="C9710" s="139" t="s">
        <v>33</v>
      </c>
      <c r="D9710" s="139" t="s">
        <v>22445</v>
      </c>
    </row>
    <row r="9711" spans="1:4" x14ac:dyDescent="0.25">
      <c r="A9711" s="139" t="s">
        <v>22446</v>
      </c>
      <c r="B9711" s="139" t="s">
        <v>3250</v>
      </c>
      <c r="C9711" s="139" t="s">
        <v>33</v>
      </c>
      <c r="D9711" s="139" t="s">
        <v>22447</v>
      </c>
    </row>
    <row r="9712" spans="1:4" x14ac:dyDescent="0.25">
      <c r="A9712" s="139" t="s">
        <v>22448</v>
      </c>
      <c r="B9712" s="139" t="s">
        <v>3250</v>
      </c>
      <c r="C9712" s="139" t="s">
        <v>33</v>
      </c>
      <c r="D9712" s="139" t="s">
        <v>22449</v>
      </c>
    </row>
    <row r="9713" spans="1:4" x14ac:dyDescent="0.25">
      <c r="A9713" s="139" t="s">
        <v>22450</v>
      </c>
      <c r="B9713" s="139" t="s">
        <v>2277</v>
      </c>
      <c r="C9713" s="139" t="s">
        <v>33</v>
      </c>
      <c r="D9713" s="139" t="s">
        <v>22451</v>
      </c>
    </row>
    <row r="9714" spans="1:4" x14ac:dyDescent="0.25">
      <c r="A9714" s="139" t="s">
        <v>22452</v>
      </c>
      <c r="B9714" s="139" t="s">
        <v>2277</v>
      </c>
      <c r="C9714" s="139" t="s">
        <v>33</v>
      </c>
      <c r="D9714" s="139" t="s">
        <v>22453</v>
      </c>
    </row>
    <row r="9715" spans="1:4" x14ac:dyDescent="0.25">
      <c r="A9715" s="139" t="s">
        <v>22454</v>
      </c>
      <c r="B9715" s="139" t="s">
        <v>1998</v>
      </c>
      <c r="C9715" s="139" t="s">
        <v>33</v>
      </c>
      <c r="D9715" s="139" t="s">
        <v>22455</v>
      </c>
    </row>
    <row r="9716" spans="1:4" x14ac:dyDescent="0.25">
      <c r="A9716" s="139" t="s">
        <v>22456</v>
      </c>
      <c r="B9716" s="139" t="s">
        <v>1998</v>
      </c>
      <c r="C9716" s="139" t="s">
        <v>33</v>
      </c>
      <c r="D9716" s="139" t="s">
        <v>22457</v>
      </c>
    </row>
    <row r="9717" spans="1:4" x14ac:dyDescent="0.25">
      <c r="A9717" s="139" t="s">
        <v>22458</v>
      </c>
      <c r="B9717" s="139" t="s">
        <v>2068</v>
      </c>
      <c r="C9717" s="139" t="s">
        <v>33</v>
      </c>
      <c r="D9717" s="139" t="s">
        <v>22459</v>
      </c>
    </row>
    <row r="9718" spans="1:4" x14ac:dyDescent="0.25">
      <c r="A9718" s="139" t="s">
        <v>22460</v>
      </c>
      <c r="B9718" s="139" t="s">
        <v>2068</v>
      </c>
      <c r="C9718" s="139" t="s">
        <v>33</v>
      </c>
      <c r="D9718" s="139" t="s">
        <v>22461</v>
      </c>
    </row>
    <row r="9719" spans="1:4" x14ac:dyDescent="0.25">
      <c r="A9719" s="139" t="s">
        <v>22462</v>
      </c>
      <c r="B9719" s="139" t="s">
        <v>12946</v>
      </c>
      <c r="C9719" s="139" t="s">
        <v>33</v>
      </c>
      <c r="D9719" s="139" t="s">
        <v>22463</v>
      </c>
    </row>
    <row r="9720" spans="1:4" x14ac:dyDescent="0.25">
      <c r="A9720" s="139" t="s">
        <v>22464</v>
      </c>
      <c r="B9720" s="139" t="s">
        <v>12946</v>
      </c>
      <c r="C9720" s="139" t="s">
        <v>33</v>
      </c>
      <c r="D9720" s="139" t="s">
        <v>22465</v>
      </c>
    </row>
    <row r="9721" spans="1:4" x14ac:dyDescent="0.25">
      <c r="A9721" s="139" t="s">
        <v>22466</v>
      </c>
      <c r="B9721" s="139" t="s">
        <v>2073</v>
      </c>
      <c r="C9721" s="139" t="s">
        <v>33</v>
      </c>
      <c r="D9721" s="139" t="s">
        <v>22467</v>
      </c>
    </row>
    <row r="9722" spans="1:4" x14ac:dyDescent="0.25">
      <c r="A9722" s="139" t="s">
        <v>22468</v>
      </c>
      <c r="B9722" s="139" t="s">
        <v>2073</v>
      </c>
      <c r="C9722" s="139" t="s">
        <v>33</v>
      </c>
      <c r="D9722" s="139" t="s">
        <v>22469</v>
      </c>
    </row>
    <row r="9723" spans="1:4" x14ac:dyDescent="0.25">
      <c r="A9723" s="139" t="s">
        <v>22470</v>
      </c>
      <c r="B9723" s="139" t="s">
        <v>6197</v>
      </c>
      <c r="C9723" s="139" t="s">
        <v>33</v>
      </c>
      <c r="D9723" s="139" t="s">
        <v>22471</v>
      </c>
    </row>
    <row r="9724" spans="1:4" x14ac:dyDescent="0.25">
      <c r="A9724" s="139" t="s">
        <v>22472</v>
      </c>
      <c r="B9724" s="139" t="s">
        <v>6197</v>
      </c>
      <c r="C9724" s="139" t="s">
        <v>33</v>
      </c>
      <c r="D9724" s="139" t="s">
        <v>22473</v>
      </c>
    </row>
    <row r="9725" spans="1:4" x14ac:dyDescent="0.25">
      <c r="A9725" s="139" t="s">
        <v>22474</v>
      </c>
      <c r="B9725" s="139" t="s">
        <v>2078</v>
      </c>
      <c r="C9725" s="139" t="s">
        <v>33</v>
      </c>
      <c r="D9725" s="139" t="s">
        <v>22475</v>
      </c>
    </row>
    <row r="9726" spans="1:4" x14ac:dyDescent="0.25">
      <c r="A9726" s="139" t="s">
        <v>22476</v>
      </c>
      <c r="B9726" s="139" t="s">
        <v>2078</v>
      </c>
      <c r="C9726" s="139" t="s">
        <v>33</v>
      </c>
      <c r="D9726" s="139" t="s">
        <v>22477</v>
      </c>
    </row>
    <row r="9727" spans="1:4" x14ac:dyDescent="0.25">
      <c r="A9727" s="139" t="s">
        <v>22478</v>
      </c>
      <c r="B9727" s="139" t="s">
        <v>6202</v>
      </c>
      <c r="C9727" s="139" t="s">
        <v>33</v>
      </c>
      <c r="D9727" s="139" t="s">
        <v>22479</v>
      </c>
    </row>
    <row r="9728" spans="1:4" x14ac:dyDescent="0.25">
      <c r="A9728" s="139" t="s">
        <v>22480</v>
      </c>
      <c r="B9728" s="139" t="s">
        <v>6202</v>
      </c>
      <c r="C9728" s="139" t="s">
        <v>33</v>
      </c>
      <c r="D9728" s="139" t="s">
        <v>22481</v>
      </c>
    </row>
    <row r="9729" spans="1:4" x14ac:dyDescent="0.25">
      <c r="A9729" s="139" t="s">
        <v>22482</v>
      </c>
      <c r="B9729" s="139" t="s">
        <v>2083</v>
      </c>
      <c r="C9729" s="139" t="s">
        <v>33</v>
      </c>
      <c r="D9729" s="139" t="s">
        <v>22483</v>
      </c>
    </row>
    <row r="9730" spans="1:4" x14ac:dyDescent="0.25">
      <c r="A9730" s="139" t="s">
        <v>22484</v>
      </c>
      <c r="B9730" s="139" t="s">
        <v>2083</v>
      </c>
      <c r="C9730" s="139" t="s">
        <v>33</v>
      </c>
      <c r="D9730" s="139" t="s">
        <v>22485</v>
      </c>
    </row>
    <row r="9731" spans="1:4" x14ac:dyDescent="0.25">
      <c r="A9731" s="139" t="s">
        <v>22486</v>
      </c>
      <c r="B9731" s="139" t="s">
        <v>2088</v>
      </c>
      <c r="C9731" s="139" t="s">
        <v>33</v>
      </c>
      <c r="D9731" s="139" t="s">
        <v>22487</v>
      </c>
    </row>
    <row r="9732" spans="1:4" x14ac:dyDescent="0.25">
      <c r="A9732" s="139" t="s">
        <v>22488</v>
      </c>
      <c r="B9732" s="139" t="s">
        <v>2088</v>
      </c>
      <c r="C9732" s="139" t="s">
        <v>33</v>
      </c>
      <c r="D9732" s="139" t="s">
        <v>22489</v>
      </c>
    </row>
    <row r="9733" spans="1:4" x14ac:dyDescent="0.25">
      <c r="A9733" s="139" t="s">
        <v>22490</v>
      </c>
      <c r="B9733" s="139" t="s">
        <v>2093</v>
      </c>
      <c r="C9733" s="139" t="s">
        <v>33</v>
      </c>
      <c r="D9733" s="139" t="s">
        <v>22491</v>
      </c>
    </row>
    <row r="9734" spans="1:4" x14ac:dyDescent="0.25">
      <c r="A9734" s="139" t="s">
        <v>22492</v>
      </c>
      <c r="B9734" s="139" t="s">
        <v>2093</v>
      </c>
      <c r="C9734" s="139" t="s">
        <v>33</v>
      </c>
      <c r="D9734" s="139" t="s">
        <v>22493</v>
      </c>
    </row>
    <row r="9735" spans="1:4" x14ac:dyDescent="0.25">
      <c r="A9735" s="139" t="s">
        <v>22494</v>
      </c>
      <c r="B9735" s="139" t="s">
        <v>6222</v>
      </c>
      <c r="C9735" s="139" t="s">
        <v>33</v>
      </c>
      <c r="D9735" s="139" t="s">
        <v>22495</v>
      </c>
    </row>
    <row r="9736" spans="1:4" x14ac:dyDescent="0.25">
      <c r="A9736" s="139" t="s">
        <v>22496</v>
      </c>
      <c r="B9736" s="139" t="s">
        <v>6222</v>
      </c>
      <c r="C9736" s="139" t="s">
        <v>33</v>
      </c>
      <c r="D9736" s="139" t="s">
        <v>22497</v>
      </c>
    </row>
    <row r="9737" spans="1:4" x14ac:dyDescent="0.25">
      <c r="A9737" s="139" t="s">
        <v>22498</v>
      </c>
      <c r="B9737" s="139" t="s">
        <v>2103</v>
      </c>
      <c r="C9737" s="139" t="s">
        <v>33</v>
      </c>
      <c r="D9737" s="139" t="s">
        <v>22499</v>
      </c>
    </row>
    <row r="9738" spans="1:4" x14ac:dyDescent="0.25">
      <c r="A9738" s="139" t="s">
        <v>22500</v>
      </c>
      <c r="B9738" s="139" t="s">
        <v>2103</v>
      </c>
      <c r="C9738" s="139" t="s">
        <v>33</v>
      </c>
      <c r="D9738" s="139" t="s">
        <v>22501</v>
      </c>
    </row>
    <row r="9739" spans="1:4" x14ac:dyDescent="0.25">
      <c r="A9739" s="139" t="s">
        <v>22502</v>
      </c>
      <c r="B9739" s="139" t="s">
        <v>1852</v>
      </c>
      <c r="C9739" s="139" t="s">
        <v>33</v>
      </c>
      <c r="D9739" s="139" t="s">
        <v>22503</v>
      </c>
    </row>
    <row r="9740" spans="1:4" x14ac:dyDescent="0.25">
      <c r="A9740" s="139" t="s">
        <v>22504</v>
      </c>
      <c r="B9740" s="139" t="s">
        <v>1852</v>
      </c>
      <c r="C9740" s="139" t="s">
        <v>33</v>
      </c>
      <c r="D9740" s="139" t="s">
        <v>22505</v>
      </c>
    </row>
    <row r="9741" spans="1:4" x14ac:dyDescent="0.25">
      <c r="A9741" s="139" t="s">
        <v>22506</v>
      </c>
      <c r="B9741" s="139" t="s">
        <v>22507</v>
      </c>
      <c r="C9741" s="139" t="s">
        <v>316</v>
      </c>
      <c r="D9741" s="139" t="s">
        <v>22508</v>
      </c>
    </row>
    <row r="9742" spans="1:4" x14ac:dyDescent="0.25">
      <c r="A9742" s="139" t="s">
        <v>22509</v>
      </c>
      <c r="B9742" s="139" t="s">
        <v>22507</v>
      </c>
      <c r="C9742" s="139" t="s">
        <v>316</v>
      </c>
      <c r="D9742" s="139" t="s">
        <v>22510</v>
      </c>
    </row>
    <row r="9743" spans="1:4" x14ac:dyDescent="0.25">
      <c r="A9743" s="139" t="s">
        <v>22511</v>
      </c>
      <c r="B9743" s="139" t="s">
        <v>22512</v>
      </c>
      <c r="C9743" s="139" t="s">
        <v>316</v>
      </c>
      <c r="D9743" s="139" t="s">
        <v>22513</v>
      </c>
    </row>
    <row r="9744" spans="1:4" x14ac:dyDescent="0.25">
      <c r="A9744" s="139" t="s">
        <v>22514</v>
      </c>
      <c r="B9744" s="139" t="s">
        <v>22512</v>
      </c>
      <c r="C9744" s="139" t="s">
        <v>316</v>
      </c>
      <c r="D9744" s="139" t="s">
        <v>22515</v>
      </c>
    </row>
    <row r="9745" spans="1:4" x14ac:dyDescent="0.25">
      <c r="A9745" s="139" t="s">
        <v>22516</v>
      </c>
      <c r="B9745" s="139" t="s">
        <v>22517</v>
      </c>
      <c r="C9745" s="139" t="s">
        <v>316</v>
      </c>
      <c r="D9745" s="139" t="s">
        <v>22518</v>
      </c>
    </row>
    <row r="9746" spans="1:4" x14ac:dyDescent="0.25">
      <c r="A9746" s="139" t="s">
        <v>22519</v>
      </c>
      <c r="B9746" s="139" t="s">
        <v>22517</v>
      </c>
      <c r="C9746" s="139" t="s">
        <v>316</v>
      </c>
      <c r="D9746" s="139" t="s">
        <v>22520</v>
      </c>
    </row>
    <row r="9747" spans="1:4" x14ac:dyDescent="0.25">
      <c r="A9747" s="139" t="s">
        <v>22521</v>
      </c>
      <c r="B9747" s="139" t="s">
        <v>21765</v>
      </c>
      <c r="C9747" s="139" t="s">
        <v>316</v>
      </c>
      <c r="D9747" s="139" t="s">
        <v>22522</v>
      </c>
    </row>
    <row r="9748" spans="1:4" x14ac:dyDescent="0.25">
      <c r="A9748" s="139" t="s">
        <v>22523</v>
      </c>
      <c r="B9748" s="139" t="s">
        <v>19556</v>
      </c>
      <c r="C9748" s="139" t="s">
        <v>33</v>
      </c>
      <c r="D9748" s="139" t="s">
        <v>22524</v>
      </c>
    </row>
    <row r="9749" spans="1:4" x14ac:dyDescent="0.25">
      <c r="A9749" s="139" t="s">
        <v>22525</v>
      </c>
      <c r="B9749" s="139" t="s">
        <v>19556</v>
      </c>
      <c r="C9749" s="139" t="s">
        <v>33</v>
      </c>
      <c r="D9749" s="139" t="s">
        <v>22526</v>
      </c>
    </row>
    <row r="9750" spans="1:4" x14ac:dyDescent="0.25">
      <c r="A9750" s="139" t="s">
        <v>22527</v>
      </c>
      <c r="B9750" s="139" t="s">
        <v>22528</v>
      </c>
      <c r="C9750" s="139" t="s">
        <v>33</v>
      </c>
      <c r="D9750" s="139" t="s">
        <v>22529</v>
      </c>
    </row>
    <row r="9751" spans="1:4" x14ac:dyDescent="0.25">
      <c r="A9751" s="139" t="s">
        <v>22530</v>
      </c>
      <c r="B9751" s="139" t="s">
        <v>22528</v>
      </c>
      <c r="C9751" s="139" t="s">
        <v>33</v>
      </c>
      <c r="D9751" s="139" t="s">
        <v>22531</v>
      </c>
    </row>
    <row r="9752" spans="1:4" x14ac:dyDescent="0.25">
      <c r="A9752" s="139" t="s">
        <v>22532</v>
      </c>
      <c r="B9752" s="139" t="s">
        <v>22533</v>
      </c>
      <c r="C9752" s="139" t="s">
        <v>33</v>
      </c>
      <c r="D9752" s="139" t="s">
        <v>22534</v>
      </c>
    </row>
    <row r="9753" spans="1:4" x14ac:dyDescent="0.25">
      <c r="A9753" s="139" t="s">
        <v>22535</v>
      </c>
      <c r="B9753" s="139" t="s">
        <v>22533</v>
      </c>
      <c r="C9753" s="139" t="s">
        <v>33</v>
      </c>
      <c r="D9753" s="139" t="s">
        <v>22536</v>
      </c>
    </row>
    <row r="9754" spans="1:4" x14ac:dyDescent="0.25">
      <c r="A9754" s="139" t="s">
        <v>22537</v>
      </c>
      <c r="B9754" s="139" t="s">
        <v>22538</v>
      </c>
      <c r="C9754" s="139" t="s">
        <v>33</v>
      </c>
      <c r="D9754" s="139" t="s">
        <v>22539</v>
      </c>
    </row>
    <row r="9755" spans="1:4" x14ac:dyDescent="0.25">
      <c r="A9755" s="139" t="s">
        <v>22540</v>
      </c>
      <c r="B9755" s="139" t="s">
        <v>22538</v>
      </c>
      <c r="C9755" s="139" t="s">
        <v>33</v>
      </c>
      <c r="D9755" s="139" t="s">
        <v>22541</v>
      </c>
    </row>
    <row r="9756" spans="1:4" x14ac:dyDescent="0.25">
      <c r="A9756" s="139" t="s">
        <v>22542</v>
      </c>
      <c r="B9756" s="139" t="s">
        <v>22543</v>
      </c>
      <c r="C9756" s="139" t="s">
        <v>33</v>
      </c>
      <c r="D9756" s="139" t="s">
        <v>22544</v>
      </c>
    </row>
    <row r="9757" spans="1:4" x14ac:dyDescent="0.25">
      <c r="A9757" s="139" t="s">
        <v>22545</v>
      </c>
      <c r="B9757" s="139" t="s">
        <v>22543</v>
      </c>
      <c r="C9757" s="139" t="s">
        <v>33</v>
      </c>
      <c r="D9757" s="139" t="s">
        <v>22546</v>
      </c>
    </row>
    <row r="9758" spans="1:4" x14ac:dyDescent="0.25">
      <c r="A9758" s="139" t="s">
        <v>22547</v>
      </c>
      <c r="B9758" s="139" t="s">
        <v>22548</v>
      </c>
      <c r="C9758" s="139" t="s">
        <v>33</v>
      </c>
      <c r="D9758" s="139" t="s">
        <v>22549</v>
      </c>
    </row>
    <row r="9759" spans="1:4" x14ac:dyDescent="0.25">
      <c r="A9759" s="139" t="s">
        <v>22550</v>
      </c>
      <c r="B9759" s="139" t="s">
        <v>22548</v>
      </c>
      <c r="C9759" s="139" t="s">
        <v>33</v>
      </c>
      <c r="D9759" s="139" t="s">
        <v>22551</v>
      </c>
    </row>
    <row r="9760" spans="1:4" x14ac:dyDescent="0.25">
      <c r="A9760" s="139" t="s">
        <v>22552</v>
      </c>
      <c r="B9760" s="139" t="s">
        <v>22553</v>
      </c>
      <c r="C9760" s="139" t="s">
        <v>33</v>
      </c>
      <c r="D9760" s="139" t="s">
        <v>22554</v>
      </c>
    </row>
    <row r="9761" spans="1:4" x14ac:dyDescent="0.25">
      <c r="A9761" s="139" t="s">
        <v>22555</v>
      </c>
      <c r="B9761" s="139" t="s">
        <v>22553</v>
      </c>
      <c r="C9761" s="139" t="s">
        <v>33</v>
      </c>
      <c r="D9761" s="139" t="s">
        <v>22556</v>
      </c>
    </row>
    <row r="9762" spans="1:4" x14ac:dyDescent="0.25">
      <c r="A9762" s="139" t="s">
        <v>22557</v>
      </c>
      <c r="B9762" s="139" t="s">
        <v>22558</v>
      </c>
      <c r="C9762" s="139" t="s">
        <v>33</v>
      </c>
      <c r="D9762" s="139" t="s">
        <v>22559</v>
      </c>
    </row>
    <row r="9763" spans="1:4" x14ac:dyDescent="0.25">
      <c r="A9763" s="139" t="s">
        <v>22560</v>
      </c>
      <c r="B9763" s="139" t="s">
        <v>22558</v>
      </c>
      <c r="C9763" s="139" t="s">
        <v>33</v>
      </c>
      <c r="D9763" s="139" t="s">
        <v>22561</v>
      </c>
    </row>
    <row r="9764" spans="1:4" x14ac:dyDescent="0.25">
      <c r="A9764" s="139" t="s">
        <v>22562</v>
      </c>
      <c r="B9764" s="139" t="s">
        <v>5946</v>
      </c>
      <c r="C9764" s="139" t="s">
        <v>65</v>
      </c>
      <c r="D9764" s="139" t="s">
        <v>22563</v>
      </c>
    </row>
    <row r="9765" spans="1:4" x14ac:dyDescent="0.25">
      <c r="A9765" s="139" t="s">
        <v>22564</v>
      </c>
      <c r="B9765" s="139" t="s">
        <v>5946</v>
      </c>
      <c r="C9765" s="139" t="s">
        <v>65</v>
      </c>
      <c r="D9765" s="139" t="s">
        <v>22565</v>
      </c>
    </row>
    <row r="9766" spans="1:4" x14ac:dyDescent="0.25">
      <c r="A9766" s="139" t="s">
        <v>22566</v>
      </c>
      <c r="B9766" s="139" t="s">
        <v>5595</v>
      </c>
      <c r="C9766" s="139" t="s">
        <v>65</v>
      </c>
      <c r="D9766" s="139" t="s">
        <v>22567</v>
      </c>
    </row>
    <row r="9767" spans="1:4" x14ac:dyDescent="0.25">
      <c r="A9767" s="139" t="s">
        <v>22568</v>
      </c>
      <c r="B9767" s="139" t="s">
        <v>5595</v>
      </c>
      <c r="C9767" s="139" t="s">
        <v>65</v>
      </c>
      <c r="D9767" s="139" t="s">
        <v>22569</v>
      </c>
    </row>
    <row r="9768" spans="1:4" x14ac:dyDescent="0.25">
      <c r="A9768" s="139" t="s">
        <v>22570</v>
      </c>
      <c r="B9768" s="139" t="s">
        <v>22571</v>
      </c>
      <c r="C9768" s="139" t="s">
        <v>65</v>
      </c>
      <c r="D9768" s="139" t="s">
        <v>22572</v>
      </c>
    </row>
    <row r="9769" spans="1:4" x14ac:dyDescent="0.25">
      <c r="A9769" s="139" t="s">
        <v>22573</v>
      </c>
      <c r="B9769" s="139" t="s">
        <v>22571</v>
      </c>
      <c r="C9769" s="139" t="s">
        <v>65</v>
      </c>
      <c r="D9769" s="139" t="s">
        <v>22574</v>
      </c>
    </row>
    <row r="9770" spans="1:4" x14ac:dyDescent="0.25">
      <c r="A9770" s="139" t="s">
        <v>22575</v>
      </c>
      <c r="B9770" s="139" t="s">
        <v>7822</v>
      </c>
      <c r="C9770" s="139" t="s">
        <v>65</v>
      </c>
      <c r="D9770" s="139" t="s">
        <v>22576</v>
      </c>
    </row>
    <row r="9771" spans="1:4" x14ac:dyDescent="0.25">
      <c r="A9771" s="139" t="s">
        <v>22577</v>
      </c>
      <c r="B9771" s="139" t="s">
        <v>7822</v>
      </c>
      <c r="C9771" s="139" t="s">
        <v>65</v>
      </c>
      <c r="D9771" s="139" t="s">
        <v>22578</v>
      </c>
    </row>
    <row r="9772" spans="1:4" x14ac:dyDescent="0.25">
      <c r="A9772" s="139" t="s">
        <v>22579</v>
      </c>
      <c r="B9772" s="139" t="s">
        <v>7817</v>
      </c>
      <c r="C9772" s="139" t="s">
        <v>65</v>
      </c>
      <c r="D9772" s="139" t="s">
        <v>22580</v>
      </c>
    </row>
    <row r="9773" spans="1:4" x14ac:dyDescent="0.25">
      <c r="A9773" s="139" t="s">
        <v>22581</v>
      </c>
      <c r="B9773" s="139" t="s">
        <v>7817</v>
      </c>
      <c r="C9773" s="139" t="s">
        <v>65</v>
      </c>
      <c r="D9773" s="139" t="s">
        <v>22582</v>
      </c>
    </row>
    <row r="9774" spans="1:4" x14ac:dyDescent="0.25">
      <c r="A9774" s="139" t="s">
        <v>22583</v>
      </c>
      <c r="B9774" s="139" t="s">
        <v>11981</v>
      </c>
      <c r="C9774" s="139" t="s">
        <v>65</v>
      </c>
      <c r="D9774" s="139" t="s">
        <v>22584</v>
      </c>
    </row>
    <row r="9775" spans="1:4" x14ac:dyDescent="0.25">
      <c r="A9775" s="139" t="s">
        <v>22585</v>
      </c>
      <c r="B9775" s="139" t="s">
        <v>11981</v>
      </c>
      <c r="C9775" s="139" t="s">
        <v>65</v>
      </c>
      <c r="D9775" s="139" t="s">
        <v>22586</v>
      </c>
    </row>
    <row r="9776" spans="1:4" x14ac:dyDescent="0.25">
      <c r="A9776" s="139" t="s">
        <v>22587</v>
      </c>
      <c r="B9776" s="139" t="s">
        <v>1474</v>
      </c>
      <c r="C9776" s="139" t="s">
        <v>65</v>
      </c>
      <c r="D9776" s="139" t="s">
        <v>22588</v>
      </c>
    </row>
    <row r="9777" spans="1:4" x14ac:dyDescent="0.25">
      <c r="A9777" s="139" t="s">
        <v>22589</v>
      </c>
      <c r="B9777" s="139" t="s">
        <v>1474</v>
      </c>
      <c r="C9777" s="139" t="s">
        <v>65</v>
      </c>
      <c r="D9777" s="139" t="s">
        <v>22590</v>
      </c>
    </row>
    <row r="9778" spans="1:4" x14ac:dyDescent="0.25">
      <c r="A9778" s="139" t="s">
        <v>22591</v>
      </c>
      <c r="B9778" s="139" t="s">
        <v>22592</v>
      </c>
      <c r="C9778" s="139" t="s">
        <v>65</v>
      </c>
      <c r="D9778" s="139" t="s">
        <v>22593</v>
      </c>
    </row>
    <row r="9779" spans="1:4" x14ac:dyDescent="0.25">
      <c r="A9779" s="139" t="s">
        <v>22594</v>
      </c>
      <c r="B9779" s="139" t="s">
        <v>22592</v>
      </c>
      <c r="C9779" s="139" t="s">
        <v>65</v>
      </c>
      <c r="D9779" s="139" t="s">
        <v>22595</v>
      </c>
    </row>
    <row r="9780" spans="1:4" x14ac:dyDescent="0.25">
      <c r="A9780" s="139" t="s">
        <v>22596</v>
      </c>
      <c r="B9780" s="139" t="s">
        <v>7536</v>
      </c>
      <c r="C9780" s="139" t="s">
        <v>65</v>
      </c>
      <c r="D9780" s="139" t="s">
        <v>22597</v>
      </c>
    </row>
    <row r="9781" spans="1:4" x14ac:dyDescent="0.25">
      <c r="A9781" s="139" t="s">
        <v>22598</v>
      </c>
      <c r="B9781" s="139" t="s">
        <v>7536</v>
      </c>
      <c r="C9781" s="139" t="s">
        <v>65</v>
      </c>
      <c r="D9781" s="139" t="s">
        <v>22599</v>
      </c>
    </row>
    <row r="9782" spans="1:4" x14ac:dyDescent="0.25">
      <c r="A9782" s="139" t="s">
        <v>22600</v>
      </c>
      <c r="B9782" s="139" t="s">
        <v>22601</v>
      </c>
      <c r="C9782" s="139" t="s">
        <v>65</v>
      </c>
      <c r="D9782" s="139" t="s">
        <v>22602</v>
      </c>
    </row>
    <row r="9783" spans="1:4" x14ac:dyDescent="0.25">
      <c r="A9783" s="139" t="s">
        <v>22603</v>
      </c>
      <c r="B9783" s="139" t="s">
        <v>22601</v>
      </c>
      <c r="C9783" s="139" t="s">
        <v>65</v>
      </c>
      <c r="D9783" s="139" t="s">
        <v>22604</v>
      </c>
    </row>
    <row r="9784" spans="1:4" x14ac:dyDescent="0.25">
      <c r="A9784" s="139" t="s">
        <v>22605</v>
      </c>
      <c r="B9784" s="139" t="s">
        <v>22606</v>
      </c>
      <c r="C9784" s="139" t="s">
        <v>65</v>
      </c>
      <c r="D9784" s="139" t="s">
        <v>22607</v>
      </c>
    </row>
    <row r="9785" spans="1:4" x14ac:dyDescent="0.25">
      <c r="A9785" s="139" t="s">
        <v>22608</v>
      </c>
      <c r="B9785" s="139" t="s">
        <v>22606</v>
      </c>
      <c r="C9785" s="139" t="s">
        <v>65</v>
      </c>
      <c r="D9785" s="139" t="s">
        <v>22609</v>
      </c>
    </row>
    <row r="9786" spans="1:4" x14ac:dyDescent="0.25">
      <c r="A9786" s="139" t="s">
        <v>22610</v>
      </c>
      <c r="B9786" s="139" t="s">
        <v>22611</v>
      </c>
      <c r="C9786" s="139" t="s">
        <v>65</v>
      </c>
      <c r="D9786" s="139" t="s">
        <v>22612</v>
      </c>
    </row>
    <row r="9787" spans="1:4" x14ac:dyDescent="0.25">
      <c r="A9787" s="139" t="s">
        <v>22613</v>
      </c>
      <c r="B9787" s="139" t="s">
        <v>22611</v>
      </c>
      <c r="C9787" s="139" t="s">
        <v>65</v>
      </c>
      <c r="D9787" s="139" t="s">
        <v>22614</v>
      </c>
    </row>
    <row r="9788" spans="1:4" x14ac:dyDescent="0.25">
      <c r="A9788" s="139" t="s">
        <v>22615</v>
      </c>
      <c r="B9788" s="139" t="s">
        <v>22616</v>
      </c>
      <c r="C9788" s="139" t="s">
        <v>65</v>
      </c>
      <c r="D9788" s="139" t="s">
        <v>22617</v>
      </c>
    </row>
    <row r="9789" spans="1:4" x14ac:dyDescent="0.25">
      <c r="A9789" s="139" t="s">
        <v>22618</v>
      </c>
      <c r="B9789" s="139" t="s">
        <v>22244</v>
      </c>
      <c r="C9789" s="139" t="s">
        <v>65</v>
      </c>
      <c r="D9789" s="139" t="s">
        <v>22619</v>
      </c>
    </row>
    <row r="9790" spans="1:4" x14ac:dyDescent="0.25">
      <c r="A9790" s="139" t="s">
        <v>22620</v>
      </c>
      <c r="B9790" s="139" t="s">
        <v>22244</v>
      </c>
      <c r="C9790" s="139" t="s">
        <v>65</v>
      </c>
      <c r="D9790" s="139" t="s">
        <v>22621</v>
      </c>
    </row>
    <row r="9791" spans="1:4" x14ac:dyDescent="0.25">
      <c r="A9791" s="139" t="s">
        <v>22622</v>
      </c>
      <c r="B9791" s="139" t="s">
        <v>18173</v>
      </c>
      <c r="C9791" s="139" t="s">
        <v>65</v>
      </c>
      <c r="D9791" s="139" t="s">
        <v>22623</v>
      </c>
    </row>
    <row r="9792" spans="1:4" x14ac:dyDescent="0.25">
      <c r="A9792" s="139" t="s">
        <v>22624</v>
      </c>
      <c r="B9792" s="139" t="s">
        <v>18173</v>
      </c>
      <c r="C9792" s="139" t="s">
        <v>65</v>
      </c>
      <c r="D9792" s="139" t="s">
        <v>22625</v>
      </c>
    </row>
    <row r="9793" spans="1:4" x14ac:dyDescent="0.25">
      <c r="A9793" s="139" t="s">
        <v>22626</v>
      </c>
      <c r="B9793" s="139" t="s">
        <v>22627</v>
      </c>
      <c r="C9793" s="139" t="s">
        <v>65</v>
      </c>
      <c r="D9793" s="139" t="s">
        <v>22628</v>
      </c>
    </row>
    <row r="9794" spans="1:4" x14ac:dyDescent="0.25">
      <c r="A9794" s="139" t="s">
        <v>22629</v>
      </c>
      <c r="B9794" s="139" t="s">
        <v>22627</v>
      </c>
      <c r="C9794" s="139" t="s">
        <v>65</v>
      </c>
      <c r="D9794" s="139" t="s">
        <v>22630</v>
      </c>
    </row>
    <row r="9795" spans="1:4" x14ac:dyDescent="0.25">
      <c r="A9795" s="139" t="s">
        <v>22631</v>
      </c>
      <c r="B9795" s="139" t="s">
        <v>22632</v>
      </c>
      <c r="C9795" s="139" t="s">
        <v>65</v>
      </c>
      <c r="D9795" s="139" t="s">
        <v>22633</v>
      </c>
    </row>
    <row r="9796" spans="1:4" x14ac:dyDescent="0.25">
      <c r="A9796" s="139" t="s">
        <v>22634</v>
      </c>
      <c r="B9796" s="139" t="s">
        <v>22632</v>
      </c>
      <c r="C9796" s="139" t="s">
        <v>65</v>
      </c>
      <c r="D9796" s="139" t="s">
        <v>22635</v>
      </c>
    </row>
    <row r="9797" spans="1:4" x14ac:dyDescent="0.25">
      <c r="A9797" s="139" t="s">
        <v>22636</v>
      </c>
      <c r="B9797" s="139" t="s">
        <v>22637</v>
      </c>
      <c r="C9797" s="139" t="s">
        <v>65</v>
      </c>
      <c r="D9797" s="139" t="s">
        <v>22638</v>
      </c>
    </row>
    <row r="9798" spans="1:4" x14ac:dyDescent="0.25">
      <c r="A9798" s="139" t="s">
        <v>22639</v>
      </c>
      <c r="B9798" s="139" t="s">
        <v>22637</v>
      </c>
      <c r="C9798" s="139" t="s">
        <v>65</v>
      </c>
      <c r="D9798" s="139" t="s">
        <v>22640</v>
      </c>
    </row>
    <row r="9799" spans="1:4" x14ac:dyDescent="0.25">
      <c r="A9799" s="139" t="s">
        <v>22641</v>
      </c>
      <c r="B9799" s="139" t="s">
        <v>22642</v>
      </c>
      <c r="C9799" s="139" t="s">
        <v>65</v>
      </c>
      <c r="D9799" s="139" t="s">
        <v>22643</v>
      </c>
    </row>
    <row r="9800" spans="1:4" x14ac:dyDescent="0.25">
      <c r="A9800" s="139" t="s">
        <v>22644</v>
      </c>
      <c r="B9800" s="139" t="s">
        <v>22642</v>
      </c>
      <c r="C9800" s="139" t="s">
        <v>65</v>
      </c>
      <c r="D9800" s="139" t="s">
        <v>22645</v>
      </c>
    </row>
    <row r="9801" spans="1:4" x14ac:dyDescent="0.25">
      <c r="A9801" s="139" t="s">
        <v>22646</v>
      </c>
      <c r="B9801" s="139" t="s">
        <v>4547</v>
      </c>
      <c r="C9801" s="139" t="s">
        <v>65</v>
      </c>
      <c r="D9801" s="139" t="s">
        <v>22647</v>
      </c>
    </row>
    <row r="9802" spans="1:4" x14ac:dyDescent="0.25">
      <c r="A9802" s="139" t="s">
        <v>22648</v>
      </c>
      <c r="B9802" s="139" t="s">
        <v>4547</v>
      </c>
      <c r="C9802" s="139" t="s">
        <v>65</v>
      </c>
      <c r="D9802" s="139" t="s">
        <v>22649</v>
      </c>
    </row>
    <row r="9803" spans="1:4" x14ac:dyDescent="0.25">
      <c r="A9803" s="139" t="s">
        <v>22650</v>
      </c>
      <c r="B9803" s="139" t="s">
        <v>428</v>
      </c>
      <c r="C9803" s="139" t="s">
        <v>65</v>
      </c>
      <c r="D9803" s="139" t="s">
        <v>22651</v>
      </c>
    </row>
    <row r="9804" spans="1:4" x14ac:dyDescent="0.25">
      <c r="A9804" s="139" t="s">
        <v>22652</v>
      </c>
      <c r="B9804" s="139" t="s">
        <v>428</v>
      </c>
      <c r="C9804" s="139" t="s">
        <v>65</v>
      </c>
      <c r="D9804" s="139" t="s">
        <v>22653</v>
      </c>
    </row>
    <row r="9805" spans="1:4" x14ac:dyDescent="0.25">
      <c r="A9805" s="139" t="s">
        <v>22654</v>
      </c>
      <c r="B9805" s="139" t="s">
        <v>332</v>
      </c>
      <c r="C9805" s="139" t="s">
        <v>65</v>
      </c>
      <c r="D9805" s="139" t="s">
        <v>22655</v>
      </c>
    </row>
    <row r="9806" spans="1:4" x14ac:dyDescent="0.25">
      <c r="A9806" s="139" t="s">
        <v>22656</v>
      </c>
      <c r="B9806" s="139" t="s">
        <v>332</v>
      </c>
      <c r="C9806" s="139" t="s">
        <v>65</v>
      </c>
      <c r="D9806" s="139" t="s">
        <v>22657</v>
      </c>
    </row>
    <row r="9807" spans="1:4" x14ac:dyDescent="0.25">
      <c r="A9807" s="139" t="s">
        <v>22658</v>
      </c>
      <c r="B9807" s="139" t="s">
        <v>1238</v>
      </c>
      <c r="C9807" s="139" t="s">
        <v>65</v>
      </c>
      <c r="D9807" s="139" t="s">
        <v>22659</v>
      </c>
    </row>
    <row r="9808" spans="1:4" x14ac:dyDescent="0.25">
      <c r="A9808" s="139" t="s">
        <v>22660</v>
      </c>
      <c r="B9808" s="139" t="s">
        <v>1238</v>
      </c>
      <c r="C9808" s="139" t="s">
        <v>65</v>
      </c>
      <c r="D9808" s="139" t="s">
        <v>22661</v>
      </c>
    </row>
    <row r="9809" spans="1:4" x14ac:dyDescent="0.25">
      <c r="A9809" s="139" t="s">
        <v>22662</v>
      </c>
      <c r="B9809" s="139" t="s">
        <v>329</v>
      </c>
      <c r="C9809" s="139" t="s">
        <v>65</v>
      </c>
      <c r="D9809" s="139" t="s">
        <v>22663</v>
      </c>
    </row>
    <row r="9810" spans="1:4" x14ac:dyDescent="0.25">
      <c r="A9810" s="139" t="s">
        <v>22664</v>
      </c>
      <c r="B9810" s="139" t="s">
        <v>329</v>
      </c>
      <c r="C9810" s="139" t="s">
        <v>65</v>
      </c>
      <c r="D9810" s="139" t="s">
        <v>22665</v>
      </c>
    </row>
    <row r="9811" spans="1:4" x14ac:dyDescent="0.25">
      <c r="A9811" s="139" t="s">
        <v>22666</v>
      </c>
      <c r="B9811" s="139" t="s">
        <v>2178</v>
      </c>
      <c r="C9811" s="139" t="s">
        <v>65</v>
      </c>
      <c r="D9811" s="139" t="s">
        <v>22667</v>
      </c>
    </row>
    <row r="9812" spans="1:4" x14ac:dyDescent="0.25">
      <c r="A9812" s="139" t="s">
        <v>22668</v>
      </c>
      <c r="B9812" s="139" t="s">
        <v>18867</v>
      </c>
      <c r="C9812" s="139" t="s">
        <v>316</v>
      </c>
      <c r="D9812" s="139" t="s">
        <v>22669</v>
      </c>
    </row>
    <row r="9813" spans="1:4" x14ac:dyDescent="0.25">
      <c r="A9813" s="139" t="s">
        <v>22670</v>
      </c>
      <c r="B9813" s="139" t="s">
        <v>18867</v>
      </c>
      <c r="C9813" s="139" t="s">
        <v>316</v>
      </c>
      <c r="D9813" s="139" t="s">
        <v>22671</v>
      </c>
    </row>
    <row r="9814" spans="1:4" x14ac:dyDescent="0.25">
      <c r="A9814" s="139" t="s">
        <v>22672</v>
      </c>
      <c r="B9814" s="139" t="s">
        <v>22673</v>
      </c>
      <c r="C9814" s="139" t="s">
        <v>316</v>
      </c>
      <c r="D9814" s="139" t="s">
        <v>22674</v>
      </c>
    </row>
    <row r="9815" spans="1:4" x14ac:dyDescent="0.25">
      <c r="A9815" s="139" t="s">
        <v>22675</v>
      </c>
      <c r="B9815" s="139" t="s">
        <v>22673</v>
      </c>
      <c r="C9815" s="139" t="s">
        <v>316</v>
      </c>
      <c r="D9815" s="139" t="s">
        <v>22676</v>
      </c>
    </row>
    <row r="9816" spans="1:4" x14ac:dyDescent="0.25">
      <c r="A9816" s="139" t="s">
        <v>22677</v>
      </c>
      <c r="B9816" s="139" t="s">
        <v>11429</v>
      </c>
      <c r="C9816" s="139" t="s">
        <v>316</v>
      </c>
      <c r="D9816" s="139" t="s">
        <v>22678</v>
      </c>
    </row>
    <row r="9817" spans="1:4" x14ac:dyDescent="0.25">
      <c r="A9817" s="139" t="s">
        <v>22679</v>
      </c>
      <c r="B9817" s="139" t="s">
        <v>11429</v>
      </c>
      <c r="C9817" s="139" t="s">
        <v>316</v>
      </c>
      <c r="D9817" s="139" t="s">
        <v>22680</v>
      </c>
    </row>
    <row r="9818" spans="1:4" x14ac:dyDescent="0.25">
      <c r="A9818" s="139" t="s">
        <v>22681</v>
      </c>
      <c r="B9818" s="139" t="s">
        <v>17373</v>
      </c>
      <c r="C9818" s="139" t="s">
        <v>316</v>
      </c>
      <c r="D9818" s="139" t="s">
        <v>22682</v>
      </c>
    </row>
    <row r="9819" spans="1:4" x14ac:dyDescent="0.25">
      <c r="A9819" s="139" t="s">
        <v>22683</v>
      </c>
      <c r="B9819" s="139" t="s">
        <v>17373</v>
      </c>
      <c r="C9819" s="139" t="s">
        <v>316</v>
      </c>
      <c r="D9819" s="139" t="s">
        <v>22684</v>
      </c>
    </row>
    <row r="9820" spans="1:4" x14ac:dyDescent="0.25">
      <c r="A9820" s="139" t="s">
        <v>22685</v>
      </c>
      <c r="B9820" s="139" t="s">
        <v>18887</v>
      </c>
      <c r="C9820" s="139" t="s">
        <v>316</v>
      </c>
      <c r="D9820" s="139" t="s">
        <v>22686</v>
      </c>
    </row>
    <row r="9821" spans="1:4" x14ac:dyDescent="0.25">
      <c r="A9821" s="139" t="s">
        <v>22687</v>
      </c>
      <c r="B9821" s="139" t="s">
        <v>18887</v>
      </c>
      <c r="C9821" s="139" t="s">
        <v>316</v>
      </c>
      <c r="D9821" s="139" t="s">
        <v>22688</v>
      </c>
    </row>
    <row r="9822" spans="1:4" x14ac:dyDescent="0.25">
      <c r="A9822" s="139" t="s">
        <v>22689</v>
      </c>
      <c r="B9822" s="139" t="s">
        <v>20560</v>
      </c>
      <c r="C9822" s="139" t="s">
        <v>316</v>
      </c>
      <c r="D9822" s="139" t="s">
        <v>22690</v>
      </c>
    </row>
    <row r="9823" spans="1:4" x14ac:dyDescent="0.25">
      <c r="A9823" s="139" t="s">
        <v>22691</v>
      </c>
      <c r="B9823" s="139" t="s">
        <v>20560</v>
      </c>
      <c r="C9823" s="139" t="s">
        <v>316</v>
      </c>
      <c r="D9823" s="139" t="s">
        <v>22692</v>
      </c>
    </row>
    <row r="9824" spans="1:4" x14ac:dyDescent="0.25">
      <c r="A9824" s="139" t="s">
        <v>22693</v>
      </c>
      <c r="B9824" s="139" t="s">
        <v>19143</v>
      </c>
      <c r="C9824" s="139" t="s">
        <v>316</v>
      </c>
      <c r="D9824" s="139" t="s">
        <v>22694</v>
      </c>
    </row>
    <row r="9825" spans="1:4" x14ac:dyDescent="0.25">
      <c r="A9825" s="139" t="s">
        <v>22695</v>
      </c>
      <c r="B9825" s="139" t="s">
        <v>19143</v>
      </c>
      <c r="C9825" s="139" t="s">
        <v>316</v>
      </c>
      <c r="D9825" s="139" t="s">
        <v>22696</v>
      </c>
    </row>
    <row r="9826" spans="1:4" x14ac:dyDescent="0.25">
      <c r="A9826" s="139" t="s">
        <v>22697</v>
      </c>
      <c r="B9826" s="139" t="s">
        <v>18931</v>
      </c>
      <c r="C9826" s="139" t="s">
        <v>316</v>
      </c>
      <c r="D9826" s="139" t="s">
        <v>22698</v>
      </c>
    </row>
    <row r="9827" spans="1:4" x14ac:dyDescent="0.25">
      <c r="A9827" s="139" t="s">
        <v>22699</v>
      </c>
      <c r="B9827" s="139" t="s">
        <v>18931</v>
      </c>
      <c r="C9827" s="139" t="s">
        <v>316</v>
      </c>
      <c r="D9827" s="139" t="s">
        <v>22700</v>
      </c>
    </row>
    <row r="9828" spans="1:4" x14ac:dyDescent="0.25">
      <c r="A9828" s="139" t="s">
        <v>22701</v>
      </c>
      <c r="B9828" s="139" t="s">
        <v>12041</v>
      </c>
      <c r="C9828" s="139" t="s">
        <v>65</v>
      </c>
      <c r="D9828" s="139" t="s">
        <v>22702</v>
      </c>
    </row>
    <row r="9829" spans="1:4" x14ac:dyDescent="0.25">
      <c r="A9829" s="139" t="s">
        <v>22703</v>
      </c>
      <c r="B9829" s="139" t="s">
        <v>12041</v>
      </c>
      <c r="C9829" s="139" t="s">
        <v>65</v>
      </c>
      <c r="D9829" s="139" t="s">
        <v>22704</v>
      </c>
    </row>
    <row r="9830" spans="1:4" x14ac:dyDescent="0.25">
      <c r="A9830" s="139" t="s">
        <v>22705</v>
      </c>
      <c r="B9830" s="139" t="s">
        <v>5231</v>
      </c>
      <c r="C9830" s="139" t="s">
        <v>65</v>
      </c>
      <c r="D9830" s="139" t="s">
        <v>22706</v>
      </c>
    </row>
    <row r="9831" spans="1:4" x14ac:dyDescent="0.25">
      <c r="A9831" s="139" t="s">
        <v>22707</v>
      </c>
      <c r="B9831" s="139" t="s">
        <v>5231</v>
      </c>
      <c r="C9831" s="139" t="s">
        <v>65</v>
      </c>
      <c r="D9831" s="139" t="s">
        <v>22708</v>
      </c>
    </row>
    <row r="9832" spans="1:4" x14ac:dyDescent="0.25">
      <c r="A9832" s="139" t="s">
        <v>22709</v>
      </c>
      <c r="B9832" s="139" t="s">
        <v>5241</v>
      </c>
      <c r="C9832" s="139" t="s">
        <v>65</v>
      </c>
      <c r="D9832" s="139" t="s">
        <v>22710</v>
      </c>
    </row>
    <row r="9833" spans="1:4" x14ac:dyDescent="0.25">
      <c r="A9833" s="139" t="s">
        <v>22711</v>
      </c>
      <c r="B9833" s="139" t="s">
        <v>5241</v>
      </c>
      <c r="C9833" s="139" t="s">
        <v>65</v>
      </c>
      <c r="D9833" s="139" t="s">
        <v>22712</v>
      </c>
    </row>
    <row r="9834" spans="1:4" x14ac:dyDescent="0.25">
      <c r="A9834" s="139" t="s">
        <v>22713</v>
      </c>
      <c r="B9834" s="139" t="s">
        <v>9931</v>
      </c>
      <c r="C9834" s="139" t="s">
        <v>65</v>
      </c>
      <c r="D9834" s="139" t="s">
        <v>22714</v>
      </c>
    </row>
    <row r="9835" spans="1:4" x14ac:dyDescent="0.25">
      <c r="A9835" s="139" t="s">
        <v>22715</v>
      </c>
      <c r="B9835" s="139" t="s">
        <v>9931</v>
      </c>
      <c r="C9835" s="139" t="s">
        <v>65</v>
      </c>
      <c r="D9835" s="139" t="s">
        <v>22716</v>
      </c>
    </row>
    <row r="9836" spans="1:4" x14ac:dyDescent="0.25">
      <c r="A9836" s="139" t="s">
        <v>22717</v>
      </c>
      <c r="B9836" s="139" t="s">
        <v>22718</v>
      </c>
      <c r="C9836" s="139" t="s">
        <v>65</v>
      </c>
      <c r="D9836" s="139" t="s">
        <v>22719</v>
      </c>
    </row>
    <row r="9837" spans="1:4" x14ac:dyDescent="0.25">
      <c r="A9837" s="139" t="s">
        <v>22720</v>
      </c>
      <c r="B9837" s="139" t="s">
        <v>22718</v>
      </c>
      <c r="C9837" s="139" t="s">
        <v>65</v>
      </c>
      <c r="D9837" s="139" t="s">
        <v>22721</v>
      </c>
    </row>
    <row r="9838" spans="1:4" x14ac:dyDescent="0.25">
      <c r="A9838" s="139" t="s">
        <v>22722</v>
      </c>
      <c r="B9838" s="139" t="s">
        <v>5264</v>
      </c>
      <c r="C9838" s="139" t="s">
        <v>65</v>
      </c>
      <c r="D9838" s="139" t="s">
        <v>22723</v>
      </c>
    </row>
    <row r="9839" spans="1:4" x14ac:dyDescent="0.25">
      <c r="A9839" s="139" t="s">
        <v>22724</v>
      </c>
      <c r="B9839" s="139" t="s">
        <v>5264</v>
      </c>
      <c r="C9839" s="139" t="s">
        <v>65</v>
      </c>
      <c r="D9839" s="139" t="s">
        <v>22725</v>
      </c>
    </row>
    <row r="9840" spans="1:4" x14ac:dyDescent="0.25">
      <c r="A9840" s="139" t="s">
        <v>22726</v>
      </c>
      <c r="B9840" s="139" t="s">
        <v>5304</v>
      </c>
      <c r="C9840" s="139" t="s">
        <v>65</v>
      </c>
      <c r="D9840" s="139" t="s">
        <v>22727</v>
      </c>
    </row>
    <row r="9841" spans="1:4" x14ac:dyDescent="0.25">
      <c r="A9841" s="139" t="s">
        <v>22728</v>
      </c>
      <c r="B9841" s="139" t="s">
        <v>5304</v>
      </c>
      <c r="C9841" s="139" t="s">
        <v>65</v>
      </c>
      <c r="D9841" s="139" t="s">
        <v>22729</v>
      </c>
    </row>
    <row r="9842" spans="1:4" x14ac:dyDescent="0.25">
      <c r="A9842" s="139" t="s">
        <v>22730</v>
      </c>
      <c r="B9842" s="139" t="s">
        <v>22731</v>
      </c>
      <c r="C9842" s="139" t="s">
        <v>65</v>
      </c>
      <c r="D9842" s="139" t="s">
        <v>22732</v>
      </c>
    </row>
    <row r="9843" spans="1:4" x14ac:dyDescent="0.25">
      <c r="A9843" s="139" t="s">
        <v>22733</v>
      </c>
      <c r="B9843" s="139" t="s">
        <v>22731</v>
      </c>
      <c r="C9843" s="139" t="s">
        <v>65</v>
      </c>
      <c r="D9843" s="139" t="s">
        <v>22734</v>
      </c>
    </row>
    <row r="9844" spans="1:4" x14ac:dyDescent="0.25">
      <c r="A9844" s="139" t="s">
        <v>22735</v>
      </c>
      <c r="B9844" s="139" t="s">
        <v>22736</v>
      </c>
      <c r="C9844" s="139" t="s">
        <v>316</v>
      </c>
      <c r="D9844" s="139" t="s">
        <v>22737</v>
      </c>
    </row>
    <row r="9845" spans="1:4" x14ac:dyDescent="0.25">
      <c r="A9845" s="139" t="s">
        <v>22738</v>
      </c>
      <c r="B9845" s="139" t="s">
        <v>22736</v>
      </c>
      <c r="C9845" s="139" t="s">
        <v>316</v>
      </c>
      <c r="D9845" s="139" t="s">
        <v>22739</v>
      </c>
    </row>
    <row r="9846" spans="1:4" x14ac:dyDescent="0.25">
      <c r="A9846" s="139" t="s">
        <v>22740</v>
      </c>
      <c r="B9846" s="139" t="s">
        <v>22741</v>
      </c>
      <c r="C9846" s="139" t="s">
        <v>316</v>
      </c>
      <c r="D9846" s="139" t="s">
        <v>22742</v>
      </c>
    </row>
    <row r="9847" spans="1:4" x14ac:dyDescent="0.25">
      <c r="A9847" s="139" t="s">
        <v>22743</v>
      </c>
      <c r="B9847" s="139" t="s">
        <v>22741</v>
      </c>
      <c r="C9847" s="139" t="s">
        <v>316</v>
      </c>
      <c r="D9847" s="139" t="s">
        <v>22744</v>
      </c>
    </row>
    <row r="9848" spans="1:4" x14ac:dyDescent="0.25">
      <c r="A9848" s="139" t="s">
        <v>22745</v>
      </c>
      <c r="B9848" s="139" t="s">
        <v>22746</v>
      </c>
      <c r="C9848" s="139" t="s">
        <v>316</v>
      </c>
      <c r="D9848" s="139" t="s">
        <v>22747</v>
      </c>
    </row>
    <row r="9849" spans="1:4" x14ac:dyDescent="0.25">
      <c r="A9849" s="139" t="s">
        <v>22748</v>
      </c>
      <c r="B9849" s="139" t="s">
        <v>22746</v>
      </c>
      <c r="C9849" s="139" t="s">
        <v>316</v>
      </c>
      <c r="D9849" s="139" t="s">
        <v>22749</v>
      </c>
    </row>
    <row r="9850" spans="1:4" x14ac:dyDescent="0.25">
      <c r="A9850" s="139" t="s">
        <v>22750</v>
      </c>
      <c r="B9850" s="139" t="s">
        <v>547</v>
      </c>
      <c r="C9850" s="139" t="s">
        <v>65</v>
      </c>
      <c r="D9850" s="139" t="s">
        <v>22751</v>
      </c>
    </row>
    <row r="9851" spans="1:4" x14ac:dyDescent="0.25">
      <c r="A9851" s="139" t="s">
        <v>22752</v>
      </c>
      <c r="B9851" s="139" t="s">
        <v>547</v>
      </c>
      <c r="C9851" s="139" t="s">
        <v>65</v>
      </c>
      <c r="D9851" s="139" t="s">
        <v>22753</v>
      </c>
    </row>
    <row r="9852" spans="1:4" x14ac:dyDescent="0.25">
      <c r="A9852" s="139" t="s">
        <v>22754</v>
      </c>
      <c r="B9852" s="139" t="s">
        <v>22755</v>
      </c>
      <c r="C9852" s="139" t="s">
        <v>65</v>
      </c>
      <c r="D9852" s="139" t="s">
        <v>22756</v>
      </c>
    </row>
    <row r="9853" spans="1:4" x14ac:dyDescent="0.25">
      <c r="A9853" s="139" t="s">
        <v>22757</v>
      </c>
      <c r="B9853" s="139" t="s">
        <v>22755</v>
      </c>
      <c r="C9853" s="139" t="s">
        <v>65</v>
      </c>
      <c r="D9853" s="139" t="s">
        <v>22758</v>
      </c>
    </row>
    <row r="9854" spans="1:4" x14ac:dyDescent="0.25">
      <c r="A9854" s="139" t="s">
        <v>22759</v>
      </c>
      <c r="B9854" s="139" t="s">
        <v>22760</v>
      </c>
      <c r="C9854" s="139" t="s">
        <v>65</v>
      </c>
      <c r="D9854" s="139" t="s">
        <v>22761</v>
      </c>
    </row>
    <row r="9855" spans="1:4" x14ac:dyDescent="0.25">
      <c r="A9855" s="139" t="s">
        <v>22762</v>
      </c>
      <c r="B9855" s="139" t="s">
        <v>22760</v>
      </c>
      <c r="C9855" s="139" t="s">
        <v>65</v>
      </c>
      <c r="D9855" s="139" t="s">
        <v>22763</v>
      </c>
    </row>
    <row r="9856" spans="1:4" x14ac:dyDescent="0.25">
      <c r="A9856" s="139" t="s">
        <v>22764</v>
      </c>
      <c r="B9856" s="139" t="s">
        <v>22765</v>
      </c>
      <c r="C9856" s="139" t="s">
        <v>65</v>
      </c>
      <c r="D9856" s="139" t="s">
        <v>22766</v>
      </c>
    </row>
    <row r="9857" spans="1:4" x14ac:dyDescent="0.25">
      <c r="A9857" s="139" t="s">
        <v>22767</v>
      </c>
      <c r="B9857" s="139" t="s">
        <v>22765</v>
      </c>
      <c r="C9857" s="139" t="s">
        <v>65</v>
      </c>
      <c r="D9857" s="139" t="s">
        <v>22768</v>
      </c>
    </row>
    <row r="9858" spans="1:4" x14ac:dyDescent="0.25">
      <c r="A9858" s="139" t="s">
        <v>22769</v>
      </c>
      <c r="B9858" s="139" t="s">
        <v>21841</v>
      </c>
      <c r="C9858" s="139" t="s">
        <v>65</v>
      </c>
      <c r="D9858" s="139" t="s">
        <v>22770</v>
      </c>
    </row>
    <row r="9859" spans="1:4" x14ac:dyDescent="0.25">
      <c r="A9859" s="139" t="s">
        <v>22771</v>
      </c>
      <c r="B9859" s="139" t="s">
        <v>21841</v>
      </c>
      <c r="C9859" s="139" t="s">
        <v>65</v>
      </c>
      <c r="D9859" s="139" t="s">
        <v>22772</v>
      </c>
    </row>
    <row r="9860" spans="1:4" x14ac:dyDescent="0.25">
      <c r="A9860" s="139" t="s">
        <v>22773</v>
      </c>
      <c r="B9860" s="139" t="s">
        <v>22774</v>
      </c>
      <c r="C9860" s="139" t="s">
        <v>65</v>
      </c>
      <c r="D9860" s="139" t="s">
        <v>22775</v>
      </c>
    </row>
    <row r="9861" spans="1:4" x14ac:dyDescent="0.25">
      <c r="A9861" s="139" t="s">
        <v>22776</v>
      </c>
      <c r="B9861" s="139" t="s">
        <v>22774</v>
      </c>
      <c r="C9861" s="139" t="s">
        <v>65</v>
      </c>
      <c r="D9861" s="139" t="s">
        <v>22777</v>
      </c>
    </row>
    <row r="9862" spans="1:4" x14ac:dyDescent="0.25">
      <c r="A9862" s="139" t="s">
        <v>22778</v>
      </c>
      <c r="B9862" s="139" t="s">
        <v>22779</v>
      </c>
      <c r="C9862" s="139" t="s">
        <v>33</v>
      </c>
      <c r="D9862" s="139" t="s">
        <v>22780</v>
      </c>
    </row>
    <row r="9863" spans="1:4" x14ac:dyDescent="0.25">
      <c r="A9863" s="139" t="s">
        <v>22781</v>
      </c>
      <c r="B9863" s="139" t="s">
        <v>22779</v>
      </c>
      <c r="C9863" s="139" t="s">
        <v>33</v>
      </c>
      <c r="D9863" s="139" t="s">
        <v>22782</v>
      </c>
    </row>
    <row r="9864" spans="1:4" x14ac:dyDescent="0.25">
      <c r="A9864" s="139" t="s">
        <v>22783</v>
      </c>
      <c r="B9864" s="139" t="s">
        <v>22784</v>
      </c>
      <c r="C9864" s="139" t="s">
        <v>33</v>
      </c>
      <c r="D9864" s="139" t="s">
        <v>22785</v>
      </c>
    </row>
    <row r="9865" spans="1:4" x14ac:dyDescent="0.25">
      <c r="A9865" s="139" t="s">
        <v>22786</v>
      </c>
      <c r="B9865" s="139" t="s">
        <v>22784</v>
      </c>
      <c r="C9865" s="139" t="s">
        <v>33</v>
      </c>
      <c r="D9865" s="139" t="s">
        <v>22787</v>
      </c>
    </row>
    <row r="9866" spans="1:4" x14ac:dyDescent="0.25">
      <c r="A9866" s="139" t="s">
        <v>22788</v>
      </c>
      <c r="B9866" s="139" t="s">
        <v>22789</v>
      </c>
      <c r="C9866" s="139" t="s">
        <v>33</v>
      </c>
      <c r="D9866" s="139" t="s">
        <v>22790</v>
      </c>
    </row>
    <row r="9867" spans="1:4" x14ac:dyDescent="0.25">
      <c r="A9867" s="139" t="s">
        <v>22791</v>
      </c>
      <c r="B9867" s="139" t="s">
        <v>22789</v>
      </c>
      <c r="C9867" s="139" t="s">
        <v>33</v>
      </c>
      <c r="D9867" s="139" t="s">
        <v>22792</v>
      </c>
    </row>
    <row r="9868" spans="1:4" x14ac:dyDescent="0.25">
      <c r="A9868" s="139" t="s">
        <v>22793</v>
      </c>
      <c r="B9868" s="139" t="s">
        <v>22794</v>
      </c>
      <c r="C9868" s="139" t="s">
        <v>33</v>
      </c>
      <c r="D9868" s="139" t="s">
        <v>22795</v>
      </c>
    </row>
    <row r="9869" spans="1:4" x14ac:dyDescent="0.25">
      <c r="A9869" s="139" t="s">
        <v>22796</v>
      </c>
      <c r="B9869" s="139" t="s">
        <v>22794</v>
      </c>
      <c r="C9869" s="139" t="s">
        <v>33</v>
      </c>
      <c r="D9869" s="139" t="s">
        <v>22797</v>
      </c>
    </row>
    <row r="9870" spans="1:4" x14ac:dyDescent="0.25">
      <c r="A9870" s="139" t="s">
        <v>22798</v>
      </c>
      <c r="B9870" s="139" t="s">
        <v>22799</v>
      </c>
      <c r="C9870" s="139" t="s">
        <v>33</v>
      </c>
      <c r="D9870" s="139" t="s">
        <v>22800</v>
      </c>
    </row>
    <row r="9871" spans="1:4" x14ac:dyDescent="0.25">
      <c r="A9871" s="139" t="s">
        <v>22801</v>
      </c>
      <c r="B9871" s="139" t="s">
        <v>22799</v>
      </c>
      <c r="C9871" s="139" t="s">
        <v>33</v>
      </c>
      <c r="D9871" s="139" t="s">
        <v>22802</v>
      </c>
    </row>
    <row r="9872" spans="1:4" x14ac:dyDescent="0.25">
      <c r="A9872" s="139" t="s">
        <v>22803</v>
      </c>
      <c r="B9872" s="139" t="s">
        <v>22804</v>
      </c>
      <c r="C9872" s="139" t="s">
        <v>33</v>
      </c>
      <c r="D9872" s="139" t="s">
        <v>22805</v>
      </c>
    </row>
    <row r="9873" spans="1:4" x14ac:dyDescent="0.25">
      <c r="A9873" s="139" t="s">
        <v>22806</v>
      </c>
      <c r="B9873" s="139" t="s">
        <v>22804</v>
      </c>
      <c r="C9873" s="139" t="s">
        <v>33</v>
      </c>
      <c r="D9873" s="139" t="s">
        <v>22807</v>
      </c>
    </row>
    <row r="9874" spans="1:4" x14ac:dyDescent="0.25">
      <c r="A9874" s="139" t="s">
        <v>22808</v>
      </c>
      <c r="B9874" s="139" t="s">
        <v>22774</v>
      </c>
      <c r="C9874" s="139" t="s">
        <v>33</v>
      </c>
      <c r="D9874" s="139" t="s">
        <v>22809</v>
      </c>
    </row>
    <row r="9875" spans="1:4" x14ac:dyDescent="0.25">
      <c r="A9875" s="139" t="s">
        <v>22810</v>
      </c>
      <c r="B9875" s="139" t="s">
        <v>22774</v>
      </c>
      <c r="C9875" s="139" t="s">
        <v>33</v>
      </c>
      <c r="D9875" s="139" t="s">
        <v>22811</v>
      </c>
    </row>
    <row r="9876" spans="1:4" x14ac:dyDescent="0.25">
      <c r="A9876" s="139" t="s">
        <v>22812</v>
      </c>
      <c r="B9876" s="139" t="s">
        <v>22813</v>
      </c>
      <c r="C9876" s="139" t="s">
        <v>33</v>
      </c>
      <c r="D9876" s="139" t="s">
        <v>22814</v>
      </c>
    </row>
    <row r="9877" spans="1:4" x14ac:dyDescent="0.25">
      <c r="A9877" s="139" t="s">
        <v>22815</v>
      </c>
      <c r="B9877" s="139" t="s">
        <v>22813</v>
      </c>
      <c r="C9877" s="139" t="s">
        <v>33</v>
      </c>
      <c r="D9877" s="139" t="s">
        <v>22816</v>
      </c>
    </row>
    <row r="9878" spans="1:4" x14ac:dyDescent="0.25">
      <c r="A9878" s="139" t="s">
        <v>22817</v>
      </c>
      <c r="B9878" s="139" t="s">
        <v>19898</v>
      </c>
      <c r="C9878" s="139" t="s">
        <v>33</v>
      </c>
      <c r="D9878" s="139" t="s">
        <v>22818</v>
      </c>
    </row>
    <row r="9879" spans="1:4" x14ac:dyDescent="0.25">
      <c r="A9879" s="139" t="s">
        <v>22819</v>
      </c>
      <c r="B9879" s="139" t="s">
        <v>22616</v>
      </c>
      <c r="C9879" s="139" t="s">
        <v>65</v>
      </c>
      <c r="D9879" s="139" t="s">
        <v>22820</v>
      </c>
    </row>
    <row r="9880" spans="1:4" x14ac:dyDescent="0.25">
      <c r="A9880" s="139" t="s">
        <v>22821</v>
      </c>
      <c r="B9880" s="139" t="s">
        <v>2178</v>
      </c>
      <c r="C9880" s="139" t="s">
        <v>65</v>
      </c>
      <c r="D9880" s="139" t="s">
        <v>22822</v>
      </c>
    </row>
    <row r="9881" spans="1:4" x14ac:dyDescent="0.25">
      <c r="A9881" s="139" t="s">
        <v>22823</v>
      </c>
      <c r="B9881" s="139" t="s">
        <v>22824</v>
      </c>
      <c r="C9881" s="139" t="s">
        <v>65</v>
      </c>
      <c r="D9881" s="139" t="s">
        <v>22825</v>
      </c>
    </row>
    <row r="9882" spans="1:4" x14ac:dyDescent="0.25">
      <c r="A9882" s="139" t="s">
        <v>22826</v>
      </c>
      <c r="B9882" s="139" t="s">
        <v>22824</v>
      </c>
      <c r="C9882" s="139" t="s">
        <v>65</v>
      </c>
      <c r="D9882" s="139" t="s">
        <v>22827</v>
      </c>
    </row>
    <row r="9883" spans="1:4" x14ac:dyDescent="0.25">
      <c r="A9883" s="139" t="s">
        <v>22828</v>
      </c>
      <c r="B9883" s="139" t="s">
        <v>17626</v>
      </c>
      <c r="C9883" s="139" t="s">
        <v>65</v>
      </c>
      <c r="D9883" s="139" t="s">
        <v>22829</v>
      </c>
    </row>
    <row r="9884" spans="1:4" x14ac:dyDescent="0.25">
      <c r="A9884" s="139" t="s">
        <v>22830</v>
      </c>
      <c r="B9884" s="139" t="s">
        <v>17626</v>
      </c>
      <c r="C9884" s="139" t="s">
        <v>65</v>
      </c>
      <c r="D9884" s="139" t="s">
        <v>22831</v>
      </c>
    </row>
    <row r="9885" spans="1:4" x14ac:dyDescent="0.25">
      <c r="A9885" s="139" t="s">
        <v>22832</v>
      </c>
      <c r="B9885" s="139" t="s">
        <v>18579</v>
      </c>
      <c r="C9885" s="139" t="s">
        <v>65</v>
      </c>
      <c r="D9885" s="139" t="s">
        <v>22833</v>
      </c>
    </row>
    <row r="9886" spans="1:4" x14ac:dyDescent="0.25">
      <c r="A9886" s="139" t="s">
        <v>22834</v>
      </c>
      <c r="B9886" s="139" t="s">
        <v>18579</v>
      </c>
      <c r="C9886" s="139" t="s">
        <v>65</v>
      </c>
      <c r="D9886" s="139" t="s">
        <v>22835</v>
      </c>
    </row>
    <row r="9887" spans="1:4" x14ac:dyDescent="0.25">
      <c r="A9887" s="139" t="s">
        <v>22836</v>
      </c>
      <c r="B9887" s="139" t="s">
        <v>4156</v>
      </c>
      <c r="C9887" s="139" t="s">
        <v>65</v>
      </c>
      <c r="D9887" s="139" t="s">
        <v>22837</v>
      </c>
    </row>
    <row r="9888" spans="1:4" x14ac:dyDescent="0.25">
      <c r="A9888" s="139" t="s">
        <v>22838</v>
      </c>
      <c r="B9888" s="139" t="s">
        <v>4156</v>
      </c>
      <c r="C9888" s="139" t="s">
        <v>65</v>
      </c>
      <c r="D9888" s="139" t="s">
        <v>22839</v>
      </c>
    </row>
    <row r="9889" spans="1:4" x14ac:dyDescent="0.25">
      <c r="A9889" s="139" t="s">
        <v>22840</v>
      </c>
      <c r="B9889" s="139" t="s">
        <v>6118</v>
      </c>
      <c r="C9889" s="139" t="s">
        <v>65</v>
      </c>
      <c r="D9889" s="139" t="s">
        <v>22841</v>
      </c>
    </row>
    <row r="9890" spans="1:4" x14ac:dyDescent="0.25">
      <c r="A9890" s="139" t="s">
        <v>22842</v>
      </c>
      <c r="B9890" s="139" t="s">
        <v>6118</v>
      </c>
      <c r="C9890" s="139" t="s">
        <v>65</v>
      </c>
      <c r="D9890" s="139" t="s">
        <v>22843</v>
      </c>
    </row>
    <row r="9891" spans="1:4" x14ac:dyDescent="0.25">
      <c r="A9891" s="139" t="s">
        <v>22844</v>
      </c>
      <c r="B9891" s="139" t="s">
        <v>7441</v>
      </c>
      <c r="C9891" s="139" t="s">
        <v>65</v>
      </c>
      <c r="D9891" s="139" t="s">
        <v>22845</v>
      </c>
    </row>
    <row r="9892" spans="1:4" x14ac:dyDescent="0.25">
      <c r="A9892" s="139" t="s">
        <v>22846</v>
      </c>
      <c r="B9892" s="139" t="s">
        <v>7441</v>
      </c>
      <c r="C9892" s="139" t="s">
        <v>65</v>
      </c>
      <c r="D9892" s="139" t="s">
        <v>22847</v>
      </c>
    </row>
    <row r="9893" spans="1:4" x14ac:dyDescent="0.25">
      <c r="A9893" s="139" t="s">
        <v>22848</v>
      </c>
      <c r="B9893" s="139" t="s">
        <v>22279</v>
      </c>
      <c r="C9893" s="139" t="s">
        <v>65</v>
      </c>
      <c r="D9893" s="139" t="s">
        <v>22849</v>
      </c>
    </row>
    <row r="9894" spans="1:4" x14ac:dyDescent="0.25">
      <c r="A9894" s="139" t="s">
        <v>22850</v>
      </c>
      <c r="B9894" s="139" t="s">
        <v>22279</v>
      </c>
      <c r="C9894" s="139" t="s">
        <v>65</v>
      </c>
      <c r="D9894" s="139" t="s">
        <v>22851</v>
      </c>
    </row>
    <row r="9895" spans="1:4" x14ac:dyDescent="0.25">
      <c r="A9895" s="139" t="s">
        <v>22852</v>
      </c>
      <c r="B9895" s="139" t="s">
        <v>18892</v>
      </c>
      <c r="C9895" s="139" t="s">
        <v>65</v>
      </c>
      <c r="D9895" s="139" t="s">
        <v>22853</v>
      </c>
    </row>
    <row r="9896" spans="1:4" x14ac:dyDescent="0.25">
      <c r="A9896" s="139" t="s">
        <v>22854</v>
      </c>
      <c r="B9896" s="139" t="s">
        <v>18892</v>
      </c>
      <c r="C9896" s="139" t="s">
        <v>65</v>
      </c>
      <c r="D9896" s="139" t="s">
        <v>22855</v>
      </c>
    </row>
    <row r="9897" spans="1:4" x14ac:dyDescent="0.25">
      <c r="A9897" s="139" t="s">
        <v>22856</v>
      </c>
      <c r="B9897" s="139" t="s">
        <v>2974</v>
      </c>
      <c r="C9897" s="139" t="s">
        <v>316</v>
      </c>
      <c r="D9897" s="139" t="s">
        <v>22857</v>
      </c>
    </row>
    <row r="9898" spans="1:4" x14ac:dyDescent="0.25">
      <c r="A9898" s="139" t="s">
        <v>22858</v>
      </c>
      <c r="B9898" s="139" t="s">
        <v>2974</v>
      </c>
      <c r="C9898" s="139" t="s">
        <v>316</v>
      </c>
      <c r="D9898" s="139" t="s">
        <v>22859</v>
      </c>
    </row>
    <row r="9899" spans="1:4" x14ac:dyDescent="0.25">
      <c r="A9899" s="139" t="s">
        <v>22860</v>
      </c>
      <c r="B9899" s="139" t="s">
        <v>19898</v>
      </c>
      <c r="C9899" s="139" t="s">
        <v>33</v>
      </c>
      <c r="D9899" s="139" t="s">
        <v>22861</v>
      </c>
    </row>
    <row r="9900" spans="1:4" x14ac:dyDescent="0.25">
      <c r="A9900" s="139" t="s">
        <v>22862</v>
      </c>
      <c r="B9900" s="139" t="s">
        <v>22863</v>
      </c>
      <c r="C9900" s="139" t="s">
        <v>33</v>
      </c>
      <c r="D9900" s="139" t="s">
        <v>22864</v>
      </c>
    </row>
    <row r="9901" spans="1:4" x14ac:dyDescent="0.25">
      <c r="A9901" s="139" t="s">
        <v>22865</v>
      </c>
      <c r="B9901" s="139" t="s">
        <v>22863</v>
      </c>
      <c r="C9901" s="139" t="s">
        <v>33</v>
      </c>
      <c r="D9901" s="139" t="s">
        <v>22866</v>
      </c>
    </row>
    <row r="9902" spans="1:4" x14ac:dyDescent="0.25">
      <c r="A9902" s="139" t="s">
        <v>22867</v>
      </c>
      <c r="B9902" s="139" t="s">
        <v>22868</v>
      </c>
      <c r="C9902" s="139" t="s">
        <v>33</v>
      </c>
      <c r="D9902" s="139" t="s">
        <v>22869</v>
      </c>
    </row>
    <row r="9903" spans="1:4" x14ac:dyDescent="0.25">
      <c r="A9903" s="139" t="s">
        <v>22870</v>
      </c>
      <c r="B9903" s="139" t="s">
        <v>22868</v>
      </c>
      <c r="C9903" s="139" t="s">
        <v>33</v>
      </c>
      <c r="D9903" s="139" t="s">
        <v>22871</v>
      </c>
    </row>
    <row r="9904" spans="1:4" x14ac:dyDescent="0.25">
      <c r="A9904" s="139" t="s">
        <v>22872</v>
      </c>
      <c r="B9904" s="139" t="s">
        <v>22873</v>
      </c>
      <c r="C9904" s="139" t="s">
        <v>33</v>
      </c>
      <c r="D9904" s="139" t="s">
        <v>22874</v>
      </c>
    </row>
    <row r="9905" spans="1:4" x14ac:dyDescent="0.25">
      <c r="A9905" s="139" t="s">
        <v>22875</v>
      </c>
      <c r="B9905" s="139" t="s">
        <v>22873</v>
      </c>
      <c r="C9905" s="139" t="s">
        <v>33</v>
      </c>
      <c r="D9905" s="139" t="s">
        <v>22876</v>
      </c>
    </row>
    <row r="9906" spans="1:4" x14ac:dyDescent="0.25">
      <c r="A9906" s="139" t="s">
        <v>22877</v>
      </c>
      <c r="B9906" s="139" t="s">
        <v>22878</v>
      </c>
      <c r="C9906" s="139" t="s">
        <v>33</v>
      </c>
      <c r="D9906" s="139" t="s">
        <v>22879</v>
      </c>
    </row>
    <row r="9907" spans="1:4" x14ac:dyDescent="0.25">
      <c r="A9907" s="139" t="s">
        <v>22880</v>
      </c>
      <c r="B9907" s="139" t="s">
        <v>22878</v>
      </c>
      <c r="C9907" s="139" t="s">
        <v>33</v>
      </c>
      <c r="D9907" s="139" t="s">
        <v>22881</v>
      </c>
    </row>
    <row r="9908" spans="1:4" x14ac:dyDescent="0.25">
      <c r="A9908" s="139" t="s">
        <v>22882</v>
      </c>
      <c r="B9908" s="139" t="s">
        <v>22883</v>
      </c>
      <c r="C9908" s="139" t="s">
        <v>33</v>
      </c>
      <c r="D9908" s="139" t="s">
        <v>22884</v>
      </c>
    </row>
    <row r="9909" spans="1:4" x14ac:dyDescent="0.25">
      <c r="A9909" s="139" t="s">
        <v>22885</v>
      </c>
      <c r="B9909" s="139" t="s">
        <v>22883</v>
      </c>
      <c r="C9909" s="139" t="s">
        <v>33</v>
      </c>
      <c r="D9909" s="139" t="s">
        <v>22886</v>
      </c>
    </row>
    <row r="9910" spans="1:4" x14ac:dyDescent="0.25">
      <c r="A9910" s="139" t="s">
        <v>22887</v>
      </c>
      <c r="B9910" s="139" t="s">
        <v>2163</v>
      </c>
      <c r="C9910" s="139" t="s">
        <v>65</v>
      </c>
      <c r="D9910" s="139" t="s">
        <v>22888</v>
      </c>
    </row>
    <row r="9911" spans="1:4" x14ac:dyDescent="0.25">
      <c r="A9911" s="139" t="s">
        <v>22889</v>
      </c>
      <c r="B9911" s="139" t="s">
        <v>2163</v>
      </c>
      <c r="C9911" s="139" t="s">
        <v>65</v>
      </c>
      <c r="D9911" s="139" t="s">
        <v>22890</v>
      </c>
    </row>
    <row r="9912" spans="1:4" x14ac:dyDescent="0.25">
      <c r="A9912" s="139" t="s">
        <v>22891</v>
      </c>
      <c r="B9912" s="139" t="s">
        <v>2955</v>
      </c>
      <c r="C9912" s="139" t="s">
        <v>65</v>
      </c>
      <c r="D9912" s="139" t="s">
        <v>22892</v>
      </c>
    </row>
    <row r="9913" spans="1:4" x14ac:dyDescent="0.25">
      <c r="A9913" s="139" t="s">
        <v>22893</v>
      </c>
      <c r="B9913" s="139" t="s">
        <v>2955</v>
      </c>
      <c r="C9913" s="139" t="s">
        <v>65</v>
      </c>
      <c r="D9913" s="139" t="s">
        <v>22894</v>
      </c>
    </row>
    <row r="9914" spans="1:4" x14ac:dyDescent="0.25">
      <c r="A9914" s="139" t="s">
        <v>22895</v>
      </c>
      <c r="B9914" s="139" t="s">
        <v>22896</v>
      </c>
      <c r="C9914" s="139" t="s">
        <v>33</v>
      </c>
      <c r="D9914" s="139" t="s">
        <v>22897</v>
      </c>
    </row>
    <row r="9915" spans="1:4" x14ac:dyDescent="0.25">
      <c r="A9915" s="139" t="s">
        <v>22898</v>
      </c>
      <c r="B9915" s="139" t="s">
        <v>22896</v>
      </c>
      <c r="C9915" s="139" t="s">
        <v>33</v>
      </c>
      <c r="D9915" s="139" t="s">
        <v>22899</v>
      </c>
    </row>
    <row r="9916" spans="1:4" x14ac:dyDescent="0.25">
      <c r="A9916" s="139" t="s">
        <v>22900</v>
      </c>
      <c r="B9916" s="139" t="s">
        <v>22901</v>
      </c>
      <c r="C9916" s="139" t="s">
        <v>33</v>
      </c>
      <c r="D9916" s="139" t="s">
        <v>22902</v>
      </c>
    </row>
    <row r="9917" spans="1:4" x14ac:dyDescent="0.25">
      <c r="A9917" s="139" t="s">
        <v>22903</v>
      </c>
      <c r="B9917" s="139" t="s">
        <v>22904</v>
      </c>
      <c r="C9917" s="139" t="s">
        <v>33</v>
      </c>
      <c r="D9917" s="139" t="s">
        <v>22905</v>
      </c>
    </row>
    <row r="9918" spans="1:4" x14ac:dyDescent="0.25">
      <c r="A9918" s="139" t="s">
        <v>22906</v>
      </c>
      <c r="B9918" s="139" t="s">
        <v>22904</v>
      </c>
      <c r="C9918" s="139" t="s">
        <v>33</v>
      </c>
      <c r="D9918" s="139" t="s">
        <v>22907</v>
      </c>
    </row>
    <row r="9919" spans="1:4" x14ac:dyDescent="0.25">
      <c r="A9919" s="139" t="s">
        <v>22908</v>
      </c>
      <c r="B9919" s="139" t="s">
        <v>8108</v>
      </c>
      <c r="C9919" s="139" t="s">
        <v>33</v>
      </c>
      <c r="D9919" s="139" t="s">
        <v>22909</v>
      </c>
    </row>
    <row r="9920" spans="1:4" x14ac:dyDescent="0.25">
      <c r="A9920" s="139" t="s">
        <v>22910</v>
      </c>
      <c r="B9920" s="139" t="s">
        <v>8108</v>
      </c>
      <c r="C9920" s="139" t="s">
        <v>33</v>
      </c>
      <c r="D9920" s="139" t="s">
        <v>22911</v>
      </c>
    </row>
    <row r="9921" spans="1:4" x14ac:dyDescent="0.25">
      <c r="A9921" s="139" t="s">
        <v>22912</v>
      </c>
      <c r="B9921" s="139" t="s">
        <v>22913</v>
      </c>
      <c r="C9921" s="139" t="s">
        <v>33</v>
      </c>
      <c r="D9921" s="139" t="s">
        <v>22914</v>
      </c>
    </row>
    <row r="9922" spans="1:4" x14ac:dyDescent="0.25">
      <c r="A9922" s="139" t="s">
        <v>22915</v>
      </c>
      <c r="B9922" s="139" t="s">
        <v>22913</v>
      </c>
      <c r="C9922" s="139" t="s">
        <v>33</v>
      </c>
      <c r="D9922" s="139" t="s">
        <v>22916</v>
      </c>
    </row>
    <row r="9923" spans="1:4" x14ac:dyDescent="0.25">
      <c r="A9923" s="139" t="s">
        <v>22917</v>
      </c>
      <c r="B9923" s="139" t="s">
        <v>22918</v>
      </c>
      <c r="C9923" s="139" t="s">
        <v>65</v>
      </c>
      <c r="D9923" s="139" t="s">
        <v>22919</v>
      </c>
    </row>
    <row r="9924" spans="1:4" x14ac:dyDescent="0.25">
      <c r="A9924" s="139" t="s">
        <v>22920</v>
      </c>
      <c r="B9924" s="139" t="s">
        <v>22918</v>
      </c>
      <c r="C9924" s="139" t="s">
        <v>65</v>
      </c>
      <c r="D9924" s="139" t="s">
        <v>22921</v>
      </c>
    </row>
    <row r="9925" spans="1:4" x14ac:dyDescent="0.25">
      <c r="A9925" s="139" t="s">
        <v>22922</v>
      </c>
      <c r="B9925" s="139" t="s">
        <v>22923</v>
      </c>
      <c r="C9925" s="139" t="s">
        <v>65</v>
      </c>
      <c r="D9925" s="139" t="s">
        <v>22924</v>
      </c>
    </row>
    <row r="9926" spans="1:4" x14ac:dyDescent="0.25">
      <c r="A9926" s="139" t="s">
        <v>22925</v>
      </c>
      <c r="B9926" s="139" t="s">
        <v>22923</v>
      </c>
      <c r="C9926" s="139" t="s">
        <v>65</v>
      </c>
      <c r="D9926" s="139" t="s">
        <v>22926</v>
      </c>
    </row>
    <row r="9927" spans="1:4" x14ac:dyDescent="0.25">
      <c r="A9927" s="139" t="s">
        <v>22927</v>
      </c>
      <c r="B9927" s="139" t="s">
        <v>17202</v>
      </c>
      <c r="C9927" s="139" t="s">
        <v>65</v>
      </c>
      <c r="D9927" s="139" t="s">
        <v>22928</v>
      </c>
    </row>
    <row r="9928" spans="1:4" x14ac:dyDescent="0.25">
      <c r="A9928" s="139" t="s">
        <v>22929</v>
      </c>
      <c r="B9928" s="139" t="s">
        <v>17202</v>
      </c>
      <c r="C9928" s="139" t="s">
        <v>65</v>
      </c>
      <c r="D9928" s="139" t="s">
        <v>22930</v>
      </c>
    </row>
    <row r="9929" spans="1:4" x14ac:dyDescent="0.25">
      <c r="A9929" s="139" t="s">
        <v>22931</v>
      </c>
      <c r="B9929" s="139" t="s">
        <v>22932</v>
      </c>
      <c r="C9929" s="139" t="s">
        <v>65</v>
      </c>
      <c r="D9929" s="139" t="s">
        <v>22933</v>
      </c>
    </row>
    <row r="9930" spans="1:4" x14ac:dyDescent="0.25">
      <c r="A9930" s="139" t="s">
        <v>22934</v>
      </c>
      <c r="B9930" s="139" t="s">
        <v>22932</v>
      </c>
      <c r="C9930" s="139" t="s">
        <v>65</v>
      </c>
      <c r="D9930" s="139" t="s">
        <v>22935</v>
      </c>
    </row>
    <row r="9931" spans="1:4" x14ac:dyDescent="0.25">
      <c r="A9931" s="139" t="s">
        <v>22936</v>
      </c>
      <c r="B9931" s="139" t="s">
        <v>22937</v>
      </c>
      <c r="C9931" s="139" t="s">
        <v>65</v>
      </c>
      <c r="D9931" s="139" t="s">
        <v>22938</v>
      </c>
    </row>
    <row r="9932" spans="1:4" x14ac:dyDescent="0.25">
      <c r="A9932" s="139" t="s">
        <v>22939</v>
      </c>
      <c r="B9932" s="139" t="s">
        <v>22937</v>
      </c>
      <c r="C9932" s="139" t="s">
        <v>65</v>
      </c>
      <c r="D9932" s="139" t="s">
        <v>22940</v>
      </c>
    </row>
    <row r="9933" spans="1:4" x14ac:dyDescent="0.25">
      <c r="A9933" s="139" t="s">
        <v>22941</v>
      </c>
      <c r="B9933" s="139" t="s">
        <v>22942</v>
      </c>
      <c r="C9933" s="139" t="s">
        <v>65</v>
      </c>
      <c r="D9933" s="139" t="s">
        <v>22943</v>
      </c>
    </row>
    <row r="9934" spans="1:4" x14ac:dyDescent="0.25">
      <c r="A9934" s="139" t="s">
        <v>22944</v>
      </c>
      <c r="B9934" s="139" t="s">
        <v>22942</v>
      </c>
      <c r="C9934" s="139" t="s">
        <v>65</v>
      </c>
      <c r="D9934" s="139" t="s">
        <v>22945</v>
      </c>
    </row>
    <row r="9935" spans="1:4" x14ac:dyDescent="0.25">
      <c r="A9935" s="139" t="s">
        <v>22946</v>
      </c>
      <c r="B9935" s="139" t="s">
        <v>17608</v>
      </c>
      <c r="C9935" s="139" t="s">
        <v>65</v>
      </c>
      <c r="D9935" s="139" t="s">
        <v>22947</v>
      </c>
    </row>
    <row r="9936" spans="1:4" x14ac:dyDescent="0.25">
      <c r="A9936" s="139" t="s">
        <v>22948</v>
      </c>
      <c r="B9936" s="139" t="s">
        <v>17608</v>
      </c>
      <c r="C9936" s="139" t="s">
        <v>65</v>
      </c>
      <c r="D9936" s="139" t="s">
        <v>22949</v>
      </c>
    </row>
    <row r="9937" spans="1:4" x14ac:dyDescent="0.25">
      <c r="A9937" s="139" t="s">
        <v>22950</v>
      </c>
      <c r="B9937" s="139" t="s">
        <v>17175</v>
      </c>
      <c r="C9937" s="139" t="s">
        <v>65</v>
      </c>
      <c r="D9937" s="139" t="s">
        <v>22951</v>
      </c>
    </row>
    <row r="9938" spans="1:4" x14ac:dyDescent="0.25">
      <c r="A9938" s="139" t="s">
        <v>22952</v>
      </c>
      <c r="B9938" s="139" t="s">
        <v>17175</v>
      </c>
      <c r="C9938" s="139" t="s">
        <v>65</v>
      </c>
      <c r="D9938" s="139" t="s">
        <v>22953</v>
      </c>
    </row>
    <row r="9939" spans="1:4" x14ac:dyDescent="0.25">
      <c r="A9939" s="139" t="s">
        <v>22954</v>
      </c>
      <c r="B9939" s="139" t="s">
        <v>22955</v>
      </c>
      <c r="C9939" s="139" t="s">
        <v>33</v>
      </c>
      <c r="D9939" s="139" t="s">
        <v>22956</v>
      </c>
    </row>
    <row r="9940" spans="1:4" x14ac:dyDescent="0.25">
      <c r="A9940" s="139" t="s">
        <v>22957</v>
      </c>
      <c r="B9940" s="139" t="s">
        <v>22955</v>
      </c>
      <c r="C9940" s="139" t="s">
        <v>33</v>
      </c>
      <c r="D9940" s="139" t="s">
        <v>22958</v>
      </c>
    </row>
    <row r="9941" spans="1:4" x14ac:dyDescent="0.25">
      <c r="A9941" s="139" t="s">
        <v>22959</v>
      </c>
      <c r="B9941" s="139" t="s">
        <v>22960</v>
      </c>
      <c r="C9941" s="139" t="s">
        <v>65</v>
      </c>
      <c r="D9941" s="139" t="s">
        <v>22961</v>
      </c>
    </row>
    <row r="9942" spans="1:4" x14ac:dyDescent="0.25">
      <c r="A9942" s="139" t="s">
        <v>22962</v>
      </c>
      <c r="B9942" s="139" t="s">
        <v>22960</v>
      </c>
      <c r="C9942" s="139" t="s">
        <v>65</v>
      </c>
      <c r="D9942" s="139" t="s">
        <v>22963</v>
      </c>
    </row>
    <row r="9943" spans="1:4" x14ac:dyDescent="0.25">
      <c r="A9943" s="139" t="s">
        <v>22964</v>
      </c>
      <c r="B9943" s="139" t="s">
        <v>22965</v>
      </c>
      <c r="C9943" s="139" t="s">
        <v>65</v>
      </c>
      <c r="D9943" s="139" t="s">
        <v>22966</v>
      </c>
    </row>
    <row r="9944" spans="1:4" x14ac:dyDescent="0.25">
      <c r="A9944" s="139" t="s">
        <v>22967</v>
      </c>
      <c r="B9944" s="139" t="s">
        <v>22965</v>
      </c>
      <c r="C9944" s="139" t="s">
        <v>65</v>
      </c>
      <c r="D9944" s="139" t="s">
        <v>22968</v>
      </c>
    </row>
    <row r="9945" spans="1:4" x14ac:dyDescent="0.25">
      <c r="A9945" s="139" t="s">
        <v>22969</v>
      </c>
      <c r="B9945" s="139" t="s">
        <v>22970</v>
      </c>
      <c r="C9945" s="139" t="s">
        <v>65</v>
      </c>
      <c r="D9945" s="139" t="s">
        <v>22971</v>
      </c>
    </row>
    <row r="9946" spans="1:4" x14ac:dyDescent="0.25">
      <c r="A9946" s="139" t="s">
        <v>22972</v>
      </c>
      <c r="B9946" s="139" t="s">
        <v>22970</v>
      </c>
      <c r="C9946" s="139" t="s">
        <v>65</v>
      </c>
      <c r="D9946" s="139" t="s">
        <v>22973</v>
      </c>
    </row>
    <row r="9947" spans="1:4" x14ac:dyDescent="0.25">
      <c r="A9947" s="139" t="s">
        <v>22974</v>
      </c>
      <c r="B9947" s="139" t="s">
        <v>22975</v>
      </c>
      <c r="C9947" s="139" t="s">
        <v>65</v>
      </c>
      <c r="D9947" s="139" t="s">
        <v>22976</v>
      </c>
    </row>
    <row r="9948" spans="1:4" x14ac:dyDescent="0.25">
      <c r="A9948" s="139" t="s">
        <v>22977</v>
      </c>
      <c r="B9948" s="139" t="s">
        <v>22975</v>
      </c>
      <c r="C9948" s="139" t="s">
        <v>65</v>
      </c>
      <c r="D9948" s="139" t="s">
        <v>22978</v>
      </c>
    </row>
    <row r="9949" spans="1:4" x14ac:dyDescent="0.25">
      <c r="A9949" s="139" t="s">
        <v>22979</v>
      </c>
      <c r="B9949" s="139" t="s">
        <v>22980</v>
      </c>
      <c r="C9949" s="139" t="s">
        <v>65</v>
      </c>
      <c r="D9949" s="139" t="s">
        <v>22981</v>
      </c>
    </row>
    <row r="9950" spans="1:4" x14ac:dyDescent="0.25">
      <c r="A9950" s="139" t="s">
        <v>22982</v>
      </c>
      <c r="B9950" s="139" t="s">
        <v>22980</v>
      </c>
      <c r="C9950" s="139" t="s">
        <v>65</v>
      </c>
      <c r="D9950" s="139" t="s">
        <v>22983</v>
      </c>
    </row>
    <row r="9951" spans="1:4" x14ac:dyDescent="0.25">
      <c r="A9951" s="139" t="s">
        <v>22984</v>
      </c>
      <c r="B9951" s="139" t="s">
        <v>22985</v>
      </c>
      <c r="C9951" s="139" t="s">
        <v>33</v>
      </c>
      <c r="D9951" s="139" t="s">
        <v>22986</v>
      </c>
    </row>
    <row r="9952" spans="1:4" x14ac:dyDescent="0.25">
      <c r="A9952" s="139" t="s">
        <v>22987</v>
      </c>
      <c r="B9952" s="139" t="s">
        <v>22985</v>
      </c>
      <c r="C9952" s="139" t="s">
        <v>33</v>
      </c>
      <c r="D9952" s="139" t="s">
        <v>22988</v>
      </c>
    </row>
    <row r="9953" spans="1:4" x14ac:dyDescent="0.25">
      <c r="A9953" s="139" t="s">
        <v>22989</v>
      </c>
      <c r="B9953" s="139" t="s">
        <v>22990</v>
      </c>
      <c r="C9953" s="139" t="s">
        <v>33</v>
      </c>
      <c r="D9953" s="139" t="s">
        <v>22991</v>
      </c>
    </row>
    <row r="9954" spans="1:4" x14ac:dyDescent="0.25">
      <c r="A9954" s="139" t="s">
        <v>22992</v>
      </c>
      <c r="B9954" s="139" t="s">
        <v>22990</v>
      </c>
      <c r="C9954" s="139" t="s">
        <v>33</v>
      </c>
      <c r="D9954" s="139" t="s">
        <v>22993</v>
      </c>
    </row>
    <row r="9955" spans="1:4" x14ac:dyDescent="0.25">
      <c r="A9955" s="139" t="s">
        <v>22994</v>
      </c>
      <c r="B9955" s="139" t="s">
        <v>22995</v>
      </c>
      <c r="C9955" s="139" t="s">
        <v>33</v>
      </c>
      <c r="D9955" s="139" t="s">
        <v>22996</v>
      </c>
    </row>
    <row r="9956" spans="1:4" x14ac:dyDescent="0.25">
      <c r="A9956" s="139" t="s">
        <v>22997</v>
      </c>
      <c r="B9956" s="139" t="s">
        <v>22995</v>
      </c>
      <c r="C9956" s="139" t="s">
        <v>33</v>
      </c>
      <c r="D9956" s="139" t="s">
        <v>22998</v>
      </c>
    </row>
    <row r="9957" spans="1:4" x14ac:dyDescent="0.25">
      <c r="A9957" s="139" t="s">
        <v>22999</v>
      </c>
      <c r="B9957" s="139" t="s">
        <v>23000</v>
      </c>
      <c r="C9957" s="139" t="s">
        <v>33</v>
      </c>
      <c r="D9957" s="139" t="s">
        <v>23001</v>
      </c>
    </row>
    <row r="9958" spans="1:4" x14ac:dyDescent="0.25">
      <c r="A9958" s="139" t="s">
        <v>23002</v>
      </c>
      <c r="B9958" s="139" t="s">
        <v>23000</v>
      </c>
      <c r="C9958" s="139" t="s">
        <v>33</v>
      </c>
      <c r="D9958" s="139" t="s">
        <v>23003</v>
      </c>
    </row>
    <row r="9959" spans="1:4" x14ac:dyDescent="0.25">
      <c r="A9959" s="139" t="s">
        <v>23004</v>
      </c>
      <c r="B9959" s="139" t="s">
        <v>6231</v>
      </c>
      <c r="C9959" s="139" t="s">
        <v>33</v>
      </c>
      <c r="D9959" s="139" t="s">
        <v>23005</v>
      </c>
    </row>
    <row r="9960" spans="1:4" x14ac:dyDescent="0.25">
      <c r="A9960" s="139" t="s">
        <v>23006</v>
      </c>
      <c r="B9960" s="139" t="s">
        <v>6231</v>
      </c>
      <c r="C9960" s="139" t="s">
        <v>33</v>
      </c>
      <c r="D9960" s="139" t="s">
        <v>23007</v>
      </c>
    </row>
    <row r="9961" spans="1:4" x14ac:dyDescent="0.25">
      <c r="A9961" s="139" t="s">
        <v>23008</v>
      </c>
      <c r="B9961" s="139" t="s">
        <v>23009</v>
      </c>
      <c r="C9961" s="139" t="s">
        <v>33</v>
      </c>
      <c r="D9961" s="139" t="s">
        <v>23010</v>
      </c>
    </row>
    <row r="9962" spans="1:4" x14ac:dyDescent="0.25">
      <c r="A9962" s="139" t="s">
        <v>23011</v>
      </c>
      <c r="B9962" s="139" t="s">
        <v>23009</v>
      </c>
      <c r="C9962" s="139" t="s">
        <v>33</v>
      </c>
      <c r="D9962" s="139" t="s">
        <v>23012</v>
      </c>
    </row>
    <row r="9963" spans="1:4" x14ac:dyDescent="0.25">
      <c r="A9963" s="139" t="s">
        <v>23013</v>
      </c>
      <c r="B9963" s="139" t="s">
        <v>23014</v>
      </c>
      <c r="C9963" s="139" t="s">
        <v>33</v>
      </c>
      <c r="D9963" s="139" t="s">
        <v>23015</v>
      </c>
    </row>
    <row r="9964" spans="1:4" x14ac:dyDescent="0.25">
      <c r="A9964" s="139" t="s">
        <v>23016</v>
      </c>
      <c r="B9964" s="139" t="s">
        <v>23014</v>
      </c>
      <c r="C9964" s="139" t="s">
        <v>33</v>
      </c>
      <c r="D9964" s="139" t="s">
        <v>23017</v>
      </c>
    </row>
    <row r="9965" spans="1:4" x14ac:dyDescent="0.25">
      <c r="A9965" s="139" t="s">
        <v>23018</v>
      </c>
      <c r="B9965" s="139" t="s">
        <v>2272</v>
      </c>
      <c r="C9965" s="139" t="s">
        <v>33</v>
      </c>
      <c r="D9965" s="139" t="s">
        <v>23019</v>
      </c>
    </row>
    <row r="9966" spans="1:4" x14ac:dyDescent="0.25">
      <c r="A9966" s="139" t="s">
        <v>23020</v>
      </c>
      <c r="B9966" s="139" t="s">
        <v>2272</v>
      </c>
      <c r="C9966" s="139" t="s">
        <v>33</v>
      </c>
      <c r="D9966" s="139" t="s">
        <v>23021</v>
      </c>
    </row>
    <row r="9967" spans="1:4" x14ac:dyDescent="0.25">
      <c r="A9967" s="139" t="s">
        <v>23022</v>
      </c>
      <c r="B9967" s="139" t="s">
        <v>2203</v>
      </c>
      <c r="C9967" s="139" t="s">
        <v>33</v>
      </c>
      <c r="D9967" s="139" t="s">
        <v>23023</v>
      </c>
    </row>
    <row r="9968" spans="1:4" x14ac:dyDescent="0.25">
      <c r="A9968" s="139" t="s">
        <v>23024</v>
      </c>
      <c r="B9968" s="139" t="s">
        <v>2203</v>
      </c>
      <c r="C9968" s="139" t="s">
        <v>33</v>
      </c>
      <c r="D9968" s="139" t="s">
        <v>23025</v>
      </c>
    </row>
    <row r="9969" spans="1:4" x14ac:dyDescent="0.25">
      <c r="A9969" s="139" t="s">
        <v>23026</v>
      </c>
      <c r="B9969" s="139" t="s">
        <v>2208</v>
      </c>
      <c r="C9969" s="139" t="s">
        <v>33</v>
      </c>
      <c r="D9969" s="139" t="s">
        <v>23027</v>
      </c>
    </row>
    <row r="9970" spans="1:4" x14ac:dyDescent="0.25">
      <c r="A9970" s="139" t="s">
        <v>23028</v>
      </c>
      <c r="B9970" s="139" t="s">
        <v>2208</v>
      </c>
      <c r="C9970" s="139" t="s">
        <v>33</v>
      </c>
      <c r="D9970" s="139" t="s">
        <v>23029</v>
      </c>
    </row>
    <row r="9971" spans="1:4" x14ac:dyDescent="0.25">
      <c r="A9971" s="139" t="s">
        <v>23030</v>
      </c>
      <c r="B9971" s="139" t="s">
        <v>6254</v>
      </c>
      <c r="C9971" s="139" t="s">
        <v>33</v>
      </c>
      <c r="D9971" s="139" t="s">
        <v>23031</v>
      </c>
    </row>
    <row r="9972" spans="1:4" x14ac:dyDescent="0.25">
      <c r="A9972" s="139" t="s">
        <v>23032</v>
      </c>
      <c r="B9972" s="139" t="s">
        <v>6254</v>
      </c>
      <c r="C9972" s="139" t="s">
        <v>33</v>
      </c>
      <c r="D9972" s="139" t="s">
        <v>23033</v>
      </c>
    </row>
    <row r="9973" spans="1:4" x14ac:dyDescent="0.25">
      <c r="A9973" s="139" t="s">
        <v>23034</v>
      </c>
      <c r="B9973" s="139" t="s">
        <v>23035</v>
      </c>
      <c r="C9973" s="139" t="s">
        <v>33</v>
      </c>
      <c r="D9973" s="139" t="s">
        <v>23036</v>
      </c>
    </row>
    <row r="9974" spans="1:4" x14ac:dyDescent="0.25">
      <c r="A9974" s="139" t="s">
        <v>23037</v>
      </c>
      <c r="B9974" s="139" t="s">
        <v>23035</v>
      </c>
      <c r="C9974" s="139" t="s">
        <v>33</v>
      </c>
      <c r="D9974" s="139" t="s">
        <v>23038</v>
      </c>
    </row>
    <row r="9975" spans="1:4" x14ac:dyDescent="0.25">
      <c r="A9975" s="139" t="s">
        <v>23039</v>
      </c>
      <c r="B9975" s="139" t="s">
        <v>21618</v>
      </c>
      <c r="C9975" s="139" t="s">
        <v>33</v>
      </c>
      <c r="D9975" s="139" t="s">
        <v>23040</v>
      </c>
    </row>
    <row r="9976" spans="1:4" x14ac:dyDescent="0.25">
      <c r="A9976" s="139" t="s">
        <v>23041</v>
      </c>
      <c r="B9976" s="139" t="s">
        <v>21618</v>
      </c>
      <c r="C9976" s="139" t="s">
        <v>33</v>
      </c>
      <c r="D9976" s="139" t="s">
        <v>23042</v>
      </c>
    </row>
    <row r="9977" spans="1:4" x14ac:dyDescent="0.25">
      <c r="A9977" s="139" t="s">
        <v>23043</v>
      </c>
      <c r="B9977" s="139" t="s">
        <v>23044</v>
      </c>
      <c r="C9977" s="139" t="s">
        <v>33</v>
      </c>
      <c r="D9977" s="139" t="s">
        <v>23045</v>
      </c>
    </row>
    <row r="9978" spans="1:4" x14ac:dyDescent="0.25">
      <c r="A9978" s="139" t="s">
        <v>23046</v>
      </c>
      <c r="B9978" s="139" t="s">
        <v>23044</v>
      </c>
      <c r="C9978" s="139" t="s">
        <v>33</v>
      </c>
      <c r="D9978" s="139" t="s">
        <v>23047</v>
      </c>
    </row>
    <row r="9979" spans="1:4" x14ac:dyDescent="0.25">
      <c r="A9979" s="139" t="s">
        <v>23048</v>
      </c>
      <c r="B9979" s="139" t="s">
        <v>23049</v>
      </c>
      <c r="C9979" s="139" t="s">
        <v>33</v>
      </c>
      <c r="D9979" s="139" t="s">
        <v>23050</v>
      </c>
    </row>
    <row r="9980" spans="1:4" x14ac:dyDescent="0.25">
      <c r="A9980" s="139" t="s">
        <v>23051</v>
      </c>
      <c r="B9980" s="139" t="s">
        <v>23049</v>
      </c>
      <c r="C9980" s="139" t="s">
        <v>33</v>
      </c>
      <c r="D9980" s="139" t="s">
        <v>23052</v>
      </c>
    </row>
    <row r="9981" spans="1:4" x14ac:dyDescent="0.25">
      <c r="A9981" s="139" t="s">
        <v>23053</v>
      </c>
      <c r="B9981" s="139" t="s">
        <v>23054</v>
      </c>
      <c r="C9981" s="139" t="s">
        <v>33</v>
      </c>
      <c r="D9981" s="139" t="s">
        <v>23055</v>
      </c>
    </row>
    <row r="9982" spans="1:4" x14ac:dyDescent="0.25">
      <c r="A9982" s="139" t="s">
        <v>23056</v>
      </c>
      <c r="B9982" s="139" t="s">
        <v>23054</v>
      </c>
      <c r="C9982" s="139" t="s">
        <v>33</v>
      </c>
      <c r="D9982" s="139" t="s">
        <v>23057</v>
      </c>
    </row>
    <row r="9983" spans="1:4" x14ac:dyDescent="0.25">
      <c r="A9983" s="139" t="s">
        <v>23058</v>
      </c>
      <c r="B9983" s="139" t="s">
        <v>2008</v>
      </c>
      <c r="C9983" s="139" t="s">
        <v>33</v>
      </c>
      <c r="D9983" s="139" t="s">
        <v>23059</v>
      </c>
    </row>
    <row r="9984" spans="1:4" x14ac:dyDescent="0.25">
      <c r="A9984" s="139" t="s">
        <v>23060</v>
      </c>
      <c r="B9984" s="139" t="s">
        <v>2008</v>
      </c>
      <c r="C9984" s="139" t="s">
        <v>33</v>
      </c>
      <c r="D9984" s="139" t="s">
        <v>23061</v>
      </c>
    </row>
    <row r="9985" spans="1:4" x14ac:dyDescent="0.25">
      <c r="A9985" s="139" t="s">
        <v>23062</v>
      </c>
      <c r="B9985" s="139" t="s">
        <v>18504</v>
      </c>
      <c r="C9985" s="139" t="s">
        <v>33</v>
      </c>
      <c r="D9985" s="139" t="s">
        <v>23063</v>
      </c>
    </row>
    <row r="9986" spans="1:4" x14ac:dyDescent="0.25">
      <c r="A9986" s="139" t="s">
        <v>23064</v>
      </c>
      <c r="B9986" s="139" t="s">
        <v>18504</v>
      </c>
      <c r="C9986" s="139" t="s">
        <v>33</v>
      </c>
      <c r="D9986" s="139" t="s">
        <v>23065</v>
      </c>
    </row>
    <row r="9987" spans="1:4" x14ac:dyDescent="0.25">
      <c r="A9987" s="139" t="s">
        <v>23066</v>
      </c>
      <c r="B9987" s="139" t="s">
        <v>23067</v>
      </c>
      <c r="C9987" s="139" t="s">
        <v>33</v>
      </c>
      <c r="D9987" s="139" t="s">
        <v>23068</v>
      </c>
    </row>
    <row r="9988" spans="1:4" x14ac:dyDescent="0.25">
      <c r="A9988" s="139" t="s">
        <v>23069</v>
      </c>
      <c r="B9988" s="139" t="s">
        <v>23067</v>
      </c>
      <c r="C9988" s="139" t="s">
        <v>33</v>
      </c>
      <c r="D9988" s="139" t="s">
        <v>23070</v>
      </c>
    </row>
    <row r="9989" spans="1:4" x14ac:dyDescent="0.25">
      <c r="A9989" s="139" t="s">
        <v>23071</v>
      </c>
      <c r="B9989" s="139" t="s">
        <v>23072</v>
      </c>
      <c r="C9989" s="139" t="s">
        <v>33</v>
      </c>
      <c r="D9989" s="139" t="s">
        <v>23073</v>
      </c>
    </row>
    <row r="9990" spans="1:4" x14ac:dyDescent="0.25">
      <c r="A9990" s="139" t="s">
        <v>23074</v>
      </c>
      <c r="B9990" s="139" t="s">
        <v>23072</v>
      </c>
      <c r="C9990" s="139" t="s">
        <v>33</v>
      </c>
      <c r="D9990" s="139" t="s">
        <v>23075</v>
      </c>
    </row>
    <row r="9991" spans="1:4" x14ac:dyDescent="0.25">
      <c r="A9991" s="139" t="s">
        <v>23076</v>
      </c>
      <c r="B9991" s="139" t="s">
        <v>541</v>
      </c>
      <c r="C9991" s="139" t="s">
        <v>33</v>
      </c>
      <c r="D9991" s="139" t="s">
        <v>23077</v>
      </c>
    </row>
    <row r="9992" spans="1:4" x14ac:dyDescent="0.25">
      <c r="A9992" s="139" t="s">
        <v>23078</v>
      </c>
      <c r="B9992" s="139" t="s">
        <v>541</v>
      </c>
      <c r="C9992" s="139" t="s">
        <v>33</v>
      </c>
      <c r="D9992" s="139" t="s">
        <v>23079</v>
      </c>
    </row>
    <row r="9993" spans="1:4" x14ac:dyDescent="0.25">
      <c r="A9993" s="139" t="s">
        <v>23080</v>
      </c>
      <c r="B9993" s="139" t="s">
        <v>23081</v>
      </c>
      <c r="C9993" s="139" t="s">
        <v>65</v>
      </c>
      <c r="D9993" s="139" t="s">
        <v>23082</v>
      </c>
    </row>
    <row r="9994" spans="1:4" x14ac:dyDescent="0.25">
      <c r="A9994" s="139" t="s">
        <v>23083</v>
      </c>
      <c r="B9994" s="139" t="s">
        <v>23081</v>
      </c>
      <c r="C9994" s="139" t="s">
        <v>65</v>
      </c>
      <c r="D9994" s="139" t="s">
        <v>23084</v>
      </c>
    </row>
    <row r="9995" spans="1:4" x14ac:dyDescent="0.25">
      <c r="A9995" s="139" t="s">
        <v>23085</v>
      </c>
      <c r="B9995" s="139" t="s">
        <v>23086</v>
      </c>
      <c r="C9995" s="139" t="s">
        <v>65</v>
      </c>
      <c r="D9995" s="139" t="s">
        <v>23087</v>
      </c>
    </row>
    <row r="9996" spans="1:4" x14ac:dyDescent="0.25">
      <c r="A9996" s="139" t="s">
        <v>23088</v>
      </c>
      <c r="B9996" s="139" t="s">
        <v>23086</v>
      </c>
      <c r="C9996" s="139" t="s">
        <v>65</v>
      </c>
      <c r="D9996" s="139" t="s">
        <v>23089</v>
      </c>
    </row>
    <row r="9997" spans="1:4" x14ac:dyDescent="0.25">
      <c r="A9997" s="139" t="s">
        <v>23090</v>
      </c>
      <c r="B9997" s="139" t="s">
        <v>17657</v>
      </c>
      <c r="C9997" s="139" t="s">
        <v>65</v>
      </c>
      <c r="D9997" s="139" t="s">
        <v>23091</v>
      </c>
    </row>
    <row r="9998" spans="1:4" x14ac:dyDescent="0.25">
      <c r="A9998" s="139" t="s">
        <v>23092</v>
      </c>
      <c r="B9998" s="139" t="s">
        <v>17657</v>
      </c>
      <c r="C9998" s="139" t="s">
        <v>65</v>
      </c>
      <c r="D9998" s="139" t="s">
        <v>23093</v>
      </c>
    </row>
    <row r="9999" spans="1:4" x14ac:dyDescent="0.25">
      <c r="A9999" s="139" t="s">
        <v>23094</v>
      </c>
      <c r="B9999" s="139" t="s">
        <v>15306</v>
      </c>
      <c r="C9999" s="139" t="s">
        <v>65</v>
      </c>
      <c r="D9999" s="139" t="s">
        <v>23095</v>
      </c>
    </row>
    <row r="10000" spans="1:4" x14ac:dyDescent="0.25">
      <c r="A10000" s="139" t="s">
        <v>23096</v>
      </c>
      <c r="B10000" s="139" t="s">
        <v>15306</v>
      </c>
      <c r="C10000" s="139" t="s">
        <v>65</v>
      </c>
      <c r="D10000" s="139" t="s">
        <v>23097</v>
      </c>
    </row>
    <row r="10001" spans="1:4" x14ac:dyDescent="0.25">
      <c r="A10001" s="139" t="s">
        <v>23098</v>
      </c>
      <c r="B10001" s="139" t="s">
        <v>23099</v>
      </c>
      <c r="C10001" s="139" t="s">
        <v>65</v>
      </c>
      <c r="D10001" s="139" t="s">
        <v>23100</v>
      </c>
    </row>
    <row r="10002" spans="1:4" x14ac:dyDescent="0.25">
      <c r="A10002" s="139" t="s">
        <v>23101</v>
      </c>
      <c r="B10002" s="139" t="s">
        <v>23099</v>
      </c>
      <c r="C10002" s="139" t="s">
        <v>65</v>
      </c>
      <c r="D10002" s="139" t="s">
        <v>23102</v>
      </c>
    </row>
    <row r="10003" spans="1:4" x14ac:dyDescent="0.25">
      <c r="A10003" s="139" t="s">
        <v>23103</v>
      </c>
      <c r="B10003" s="139" t="s">
        <v>15301</v>
      </c>
      <c r="C10003" s="139" t="s">
        <v>65</v>
      </c>
      <c r="D10003" s="139" t="s">
        <v>23104</v>
      </c>
    </row>
    <row r="10004" spans="1:4" x14ac:dyDescent="0.25">
      <c r="A10004" s="139" t="s">
        <v>23105</v>
      </c>
      <c r="B10004" s="139" t="s">
        <v>15301</v>
      </c>
      <c r="C10004" s="139" t="s">
        <v>65</v>
      </c>
      <c r="D10004" s="139" t="s">
        <v>23106</v>
      </c>
    </row>
    <row r="10005" spans="1:4" x14ac:dyDescent="0.25">
      <c r="A10005" s="139" t="s">
        <v>23107</v>
      </c>
      <c r="B10005" s="139" t="s">
        <v>13243</v>
      </c>
      <c r="C10005" s="139" t="s">
        <v>65</v>
      </c>
      <c r="D10005" s="139" t="s">
        <v>23108</v>
      </c>
    </row>
    <row r="10006" spans="1:4" x14ac:dyDescent="0.25">
      <c r="A10006" s="139" t="s">
        <v>23109</v>
      </c>
      <c r="B10006" s="139" t="s">
        <v>13243</v>
      </c>
      <c r="C10006" s="139" t="s">
        <v>65</v>
      </c>
      <c r="D10006" s="139" t="s">
        <v>23110</v>
      </c>
    </row>
    <row r="10007" spans="1:4" x14ac:dyDescent="0.25">
      <c r="A10007" s="139" t="s">
        <v>23111</v>
      </c>
      <c r="B10007" s="139" t="s">
        <v>23112</v>
      </c>
      <c r="C10007" s="139" t="s">
        <v>65</v>
      </c>
      <c r="D10007" s="139" t="s">
        <v>23113</v>
      </c>
    </row>
    <row r="10008" spans="1:4" x14ac:dyDescent="0.25">
      <c r="A10008" s="139" t="s">
        <v>23114</v>
      </c>
      <c r="B10008" s="139" t="s">
        <v>23112</v>
      </c>
      <c r="C10008" s="139" t="s">
        <v>65</v>
      </c>
      <c r="D10008" s="139" t="s">
        <v>23115</v>
      </c>
    </row>
    <row r="10009" spans="1:4" x14ac:dyDescent="0.25">
      <c r="A10009" s="139" t="s">
        <v>23116</v>
      </c>
      <c r="B10009" s="139" t="s">
        <v>23117</v>
      </c>
      <c r="C10009" s="139" t="s">
        <v>65</v>
      </c>
      <c r="D10009" s="139" t="s">
        <v>23118</v>
      </c>
    </row>
    <row r="10010" spans="1:4" x14ac:dyDescent="0.25">
      <c r="A10010" s="139" t="s">
        <v>23119</v>
      </c>
      <c r="B10010" s="139" t="s">
        <v>23117</v>
      </c>
      <c r="C10010" s="139" t="s">
        <v>65</v>
      </c>
      <c r="D10010" s="139" t="s">
        <v>23120</v>
      </c>
    </row>
    <row r="10011" spans="1:4" x14ac:dyDescent="0.25">
      <c r="A10011" s="139" t="s">
        <v>23121</v>
      </c>
      <c r="B10011" s="139" t="s">
        <v>17599</v>
      </c>
      <c r="C10011" s="139" t="s">
        <v>65</v>
      </c>
      <c r="D10011" s="139" t="s">
        <v>23122</v>
      </c>
    </row>
    <row r="10012" spans="1:4" x14ac:dyDescent="0.25">
      <c r="A10012" s="139" t="s">
        <v>23123</v>
      </c>
      <c r="B10012" s="139" t="s">
        <v>17599</v>
      </c>
      <c r="C10012" s="139" t="s">
        <v>65</v>
      </c>
      <c r="D10012" s="139" t="s">
        <v>23124</v>
      </c>
    </row>
    <row r="10013" spans="1:4" x14ac:dyDescent="0.25">
      <c r="A10013" s="139" t="s">
        <v>23125</v>
      </c>
      <c r="B10013" s="139" t="s">
        <v>23126</v>
      </c>
      <c r="C10013" s="139" t="s">
        <v>65</v>
      </c>
      <c r="D10013" s="139" t="s">
        <v>23127</v>
      </c>
    </row>
    <row r="10014" spans="1:4" x14ac:dyDescent="0.25">
      <c r="A10014" s="139" t="s">
        <v>23128</v>
      </c>
      <c r="B10014" s="139" t="s">
        <v>23126</v>
      </c>
      <c r="C10014" s="139" t="s">
        <v>65</v>
      </c>
      <c r="D10014" s="139" t="s">
        <v>23129</v>
      </c>
    </row>
    <row r="10015" spans="1:4" x14ac:dyDescent="0.25">
      <c r="A10015" s="139" t="s">
        <v>23130</v>
      </c>
      <c r="B10015" s="139" t="s">
        <v>23131</v>
      </c>
      <c r="C10015" s="139" t="s">
        <v>65</v>
      </c>
      <c r="D10015" s="139" t="s">
        <v>23132</v>
      </c>
    </row>
    <row r="10016" spans="1:4" x14ac:dyDescent="0.25">
      <c r="A10016" s="139" t="s">
        <v>23133</v>
      </c>
      <c r="B10016" s="139" t="s">
        <v>23131</v>
      </c>
      <c r="C10016" s="139" t="s">
        <v>65</v>
      </c>
      <c r="D10016" s="139" t="s">
        <v>23134</v>
      </c>
    </row>
    <row r="10017" spans="1:4" x14ac:dyDescent="0.25">
      <c r="A10017" s="139" t="s">
        <v>23135</v>
      </c>
      <c r="B10017" s="139" t="s">
        <v>23136</v>
      </c>
      <c r="C10017" s="139" t="s">
        <v>65</v>
      </c>
      <c r="D10017" s="139" t="s">
        <v>23137</v>
      </c>
    </row>
    <row r="10018" spans="1:4" x14ac:dyDescent="0.25">
      <c r="A10018" s="139" t="s">
        <v>23138</v>
      </c>
      <c r="B10018" s="139" t="s">
        <v>23136</v>
      </c>
      <c r="C10018" s="139" t="s">
        <v>65</v>
      </c>
      <c r="D10018" s="139" t="s">
        <v>23139</v>
      </c>
    </row>
    <row r="10019" spans="1:4" x14ac:dyDescent="0.25">
      <c r="A10019" s="139" t="s">
        <v>23140</v>
      </c>
      <c r="B10019" s="139" t="s">
        <v>23141</v>
      </c>
      <c r="C10019" s="139" t="s">
        <v>65</v>
      </c>
      <c r="D10019" s="139" t="s">
        <v>23142</v>
      </c>
    </row>
    <row r="10020" spans="1:4" x14ac:dyDescent="0.25">
      <c r="A10020" s="139" t="s">
        <v>23143</v>
      </c>
      <c r="B10020" s="139" t="s">
        <v>23141</v>
      </c>
      <c r="C10020" s="139" t="s">
        <v>65</v>
      </c>
      <c r="D10020" s="139" t="s">
        <v>23144</v>
      </c>
    </row>
    <row r="10021" spans="1:4" x14ac:dyDescent="0.25">
      <c r="A10021" s="139" t="s">
        <v>23145</v>
      </c>
      <c r="B10021" s="139" t="s">
        <v>23146</v>
      </c>
      <c r="C10021" s="139" t="s">
        <v>65</v>
      </c>
      <c r="D10021" s="139" t="s">
        <v>23147</v>
      </c>
    </row>
    <row r="10022" spans="1:4" x14ac:dyDescent="0.25">
      <c r="A10022" s="139" t="s">
        <v>23148</v>
      </c>
      <c r="B10022" s="139" t="s">
        <v>23146</v>
      </c>
      <c r="C10022" s="139" t="s">
        <v>65</v>
      </c>
      <c r="D10022" s="139" t="s">
        <v>23149</v>
      </c>
    </row>
    <row r="10023" spans="1:4" x14ac:dyDescent="0.25">
      <c r="A10023" s="139" t="s">
        <v>23150</v>
      </c>
      <c r="B10023" s="139" t="s">
        <v>23151</v>
      </c>
      <c r="C10023" s="139" t="s">
        <v>65</v>
      </c>
      <c r="D10023" s="139" t="s">
        <v>23152</v>
      </c>
    </row>
    <row r="10024" spans="1:4" x14ac:dyDescent="0.25">
      <c r="A10024" s="139" t="s">
        <v>23153</v>
      </c>
      <c r="B10024" s="139" t="s">
        <v>23151</v>
      </c>
      <c r="C10024" s="139" t="s">
        <v>65</v>
      </c>
      <c r="D10024" s="139" t="s">
        <v>23154</v>
      </c>
    </row>
    <row r="10025" spans="1:4" x14ac:dyDescent="0.25">
      <c r="A10025" s="139" t="s">
        <v>23155</v>
      </c>
      <c r="B10025" s="139" t="s">
        <v>23156</v>
      </c>
      <c r="C10025" s="139" t="s">
        <v>65</v>
      </c>
      <c r="D10025" s="139" t="s">
        <v>23157</v>
      </c>
    </row>
    <row r="10026" spans="1:4" x14ac:dyDescent="0.25">
      <c r="A10026" s="139" t="s">
        <v>23158</v>
      </c>
      <c r="B10026" s="139" t="s">
        <v>23156</v>
      </c>
      <c r="C10026" s="139" t="s">
        <v>65</v>
      </c>
      <c r="D10026" s="139" t="s">
        <v>23159</v>
      </c>
    </row>
    <row r="10027" spans="1:4" x14ac:dyDescent="0.25">
      <c r="A10027" s="139" t="s">
        <v>23160</v>
      </c>
      <c r="B10027" s="139" t="s">
        <v>2218</v>
      </c>
      <c r="C10027" s="139" t="s">
        <v>664</v>
      </c>
      <c r="D10027" s="139" t="s">
        <v>23161</v>
      </c>
    </row>
    <row r="10028" spans="1:4" x14ac:dyDescent="0.25">
      <c r="A10028" s="139" t="s">
        <v>23162</v>
      </c>
      <c r="B10028" s="139" t="s">
        <v>2218</v>
      </c>
      <c r="C10028" s="139" t="s">
        <v>664</v>
      </c>
      <c r="D10028" s="139" t="s">
        <v>23163</v>
      </c>
    </row>
    <row r="10029" spans="1:4" x14ac:dyDescent="0.25">
      <c r="A10029" s="139" t="s">
        <v>23164</v>
      </c>
      <c r="B10029" s="139" t="s">
        <v>10092</v>
      </c>
      <c r="C10029" s="139" t="s">
        <v>664</v>
      </c>
      <c r="D10029" s="139" t="s">
        <v>23165</v>
      </c>
    </row>
    <row r="10030" spans="1:4" x14ac:dyDescent="0.25">
      <c r="A10030" s="139" t="s">
        <v>23166</v>
      </c>
      <c r="B10030" s="139" t="s">
        <v>10092</v>
      </c>
      <c r="C10030" s="139" t="s">
        <v>664</v>
      </c>
      <c r="D10030" s="139" t="s">
        <v>23167</v>
      </c>
    </row>
    <row r="10031" spans="1:4" x14ac:dyDescent="0.25">
      <c r="A10031" s="139" t="s">
        <v>23168</v>
      </c>
      <c r="B10031" s="139" t="s">
        <v>10162</v>
      </c>
      <c r="C10031" s="139" t="s">
        <v>664</v>
      </c>
      <c r="D10031" s="139" t="s">
        <v>23169</v>
      </c>
    </row>
    <row r="10032" spans="1:4" x14ac:dyDescent="0.25">
      <c r="A10032" s="139" t="s">
        <v>23170</v>
      </c>
      <c r="B10032" s="139" t="s">
        <v>10162</v>
      </c>
      <c r="C10032" s="139" t="s">
        <v>664</v>
      </c>
      <c r="D10032" s="139" t="s">
        <v>23171</v>
      </c>
    </row>
    <row r="10033" spans="1:4" x14ac:dyDescent="0.25">
      <c r="A10033" s="139" t="s">
        <v>23172</v>
      </c>
      <c r="B10033" s="139" t="s">
        <v>23173</v>
      </c>
      <c r="C10033" s="139" t="s">
        <v>65</v>
      </c>
      <c r="D10033" s="139" t="s">
        <v>23174</v>
      </c>
    </row>
    <row r="10034" spans="1:4" x14ac:dyDescent="0.25">
      <c r="A10034" s="139" t="s">
        <v>23175</v>
      </c>
      <c r="B10034" s="139" t="s">
        <v>23173</v>
      </c>
      <c r="C10034" s="139" t="s">
        <v>65</v>
      </c>
      <c r="D10034" s="139" t="s">
        <v>23176</v>
      </c>
    </row>
    <row r="10035" spans="1:4" x14ac:dyDescent="0.25">
      <c r="A10035" s="139" t="s">
        <v>23177</v>
      </c>
      <c r="B10035" s="139" t="s">
        <v>23178</v>
      </c>
      <c r="C10035" s="139" t="s">
        <v>65</v>
      </c>
      <c r="D10035" s="139" t="s">
        <v>23179</v>
      </c>
    </row>
    <row r="10036" spans="1:4" x14ac:dyDescent="0.25">
      <c r="A10036" s="139" t="s">
        <v>23180</v>
      </c>
      <c r="B10036" s="139" t="s">
        <v>23181</v>
      </c>
      <c r="C10036" s="139" t="s">
        <v>65</v>
      </c>
      <c r="D10036" s="139" t="s">
        <v>23182</v>
      </c>
    </row>
    <row r="10037" spans="1:4" x14ac:dyDescent="0.25">
      <c r="A10037" s="139" t="s">
        <v>23183</v>
      </c>
      <c r="B10037" s="139" t="s">
        <v>23181</v>
      </c>
      <c r="C10037" s="139" t="s">
        <v>65</v>
      </c>
      <c r="D10037" s="139" t="s">
        <v>23184</v>
      </c>
    </row>
    <row r="10038" spans="1:4" x14ac:dyDescent="0.25">
      <c r="A10038" s="139" t="s">
        <v>23185</v>
      </c>
      <c r="B10038" s="139" t="s">
        <v>23178</v>
      </c>
      <c r="C10038" s="139" t="s">
        <v>65</v>
      </c>
      <c r="D10038" s="139" t="s">
        <v>23186</v>
      </c>
    </row>
    <row r="10039" spans="1:4" x14ac:dyDescent="0.25">
      <c r="A10039" s="139" t="s">
        <v>23187</v>
      </c>
      <c r="B10039" s="139" t="s">
        <v>23178</v>
      </c>
      <c r="C10039" s="139" t="s">
        <v>65</v>
      </c>
      <c r="D10039" s="139" t="s">
        <v>23188</v>
      </c>
    </row>
    <row r="10040" spans="1:4" x14ac:dyDescent="0.25">
      <c r="A10040" s="139" t="s">
        <v>23189</v>
      </c>
      <c r="B10040" s="139" t="s">
        <v>2213</v>
      </c>
      <c r="C10040" s="139" t="s">
        <v>65</v>
      </c>
      <c r="D10040" s="139" t="s">
        <v>23190</v>
      </c>
    </row>
    <row r="10041" spans="1:4" x14ac:dyDescent="0.25">
      <c r="A10041" s="139" t="s">
        <v>23191</v>
      </c>
      <c r="B10041" s="139" t="s">
        <v>2213</v>
      </c>
      <c r="C10041" s="139" t="s">
        <v>65</v>
      </c>
      <c r="D10041" s="139" t="s">
        <v>23192</v>
      </c>
    </row>
    <row r="10042" spans="1:4" x14ac:dyDescent="0.25">
      <c r="A10042" s="139" t="s">
        <v>23193</v>
      </c>
      <c r="B10042" s="139" t="s">
        <v>2208</v>
      </c>
      <c r="C10042" s="139" t="s">
        <v>65</v>
      </c>
      <c r="D10042" s="139" t="s">
        <v>23194</v>
      </c>
    </row>
    <row r="10043" spans="1:4" x14ac:dyDescent="0.25">
      <c r="A10043" s="139" t="s">
        <v>23195</v>
      </c>
      <c r="B10043" s="139" t="s">
        <v>2208</v>
      </c>
      <c r="C10043" s="139" t="s">
        <v>65</v>
      </c>
      <c r="D10043" s="139" t="s">
        <v>23196</v>
      </c>
    </row>
    <row r="10044" spans="1:4" x14ac:dyDescent="0.25">
      <c r="A10044" s="139" t="s">
        <v>23197</v>
      </c>
      <c r="B10044" s="139" t="s">
        <v>8133</v>
      </c>
      <c r="C10044" s="139" t="s">
        <v>65</v>
      </c>
      <c r="D10044" s="139" t="s">
        <v>23198</v>
      </c>
    </row>
    <row r="10045" spans="1:4" x14ac:dyDescent="0.25">
      <c r="A10045" s="139" t="s">
        <v>23199</v>
      </c>
      <c r="B10045" s="139" t="s">
        <v>8133</v>
      </c>
      <c r="C10045" s="139" t="s">
        <v>65</v>
      </c>
      <c r="D10045" s="139" t="s">
        <v>23200</v>
      </c>
    </row>
    <row r="10046" spans="1:4" x14ac:dyDescent="0.25">
      <c r="A10046" s="139" t="s">
        <v>23201</v>
      </c>
      <c r="B10046" s="139" t="s">
        <v>10952</v>
      </c>
      <c r="C10046" s="139" t="s">
        <v>44</v>
      </c>
      <c r="D10046" s="139" t="s">
        <v>23202</v>
      </c>
    </row>
    <row r="10047" spans="1:4" x14ac:dyDescent="0.25">
      <c r="A10047" s="139" t="s">
        <v>23203</v>
      </c>
      <c r="B10047" s="139" t="s">
        <v>15489</v>
      </c>
      <c r="C10047" s="139" t="s">
        <v>44</v>
      </c>
      <c r="D10047" s="139" t="s">
        <v>23204</v>
      </c>
    </row>
    <row r="10048" spans="1:4" x14ac:dyDescent="0.25">
      <c r="A10048" s="139" t="s">
        <v>23205</v>
      </c>
      <c r="B10048" s="139" t="s">
        <v>10952</v>
      </c>
      <c r="C10048" s="139" t="s">
        <v>44</v>
      </c>
      <c r="D10048" s="139" t="s">
        <v>23206</v>
      </c>
    </row>
    <row r="10049" spans="1:4" x14ac:dyDescent="0.25">
      <c r="A10049" s="139" t="s">
        <v>23207</v>
      </c>
      <c r="B10049" s="139" t="s">
        <v>10952</v>
      </c>
      <c r="C10049" s="139" t="s">
        <v>44</v>
      </c>
      <c r="D10049" s="139" t="s">
        <v>23208</v>
      </c>
    </row>
    <row r="10050" spans="1:4" x14ac:dyDescent="0.25">
      <c r="A10050" s="139" t="s">
        <v>23209</v>
      </c>
      <c r="B10050" s="139" t="s">
        <v>3088</v>
      </c>
      <c r="C10050" s="139" t="s">
        <v>65</v>
      </c>
      <c r="D10050" s="139" t="s">
        <v>23210</v>
      </c>
    </row>
    <row r="10051" spans="1:4" x14ac:dyDescent="0.25">
      <c r="A10051" s="139" t="s">
        <v>23211</v>
      </c>
      <c r="B10051" s="139" t="s">
        <v>3088</v>
      </c>
      <c r="C10051" s="139" t="s">
        <v>65</v>
      </c>
      <c r="D10051" s="139" t="s">
        <v>23212</v>
      </c>
    </row>
    <row r="10052" spans="1:4" x14ac:dyDescent="0.25">
      <c r="A10052" s="139" t="s">
        <v>23213</v>
      </c>
      <c r="B10052" s="139" t="s">
        <v>3069</v>
      </c>
      <c r="C10052" s="139" t="s">
        <v>65</v>
      </c>
      <c r="D10052" s="139" t="s">
        <v>23214</v>
      </c>
    </row>
    <row r="10053" spans="1:4" x14ac:dyDescent="0.25">
      <c r="A10053" s="139" t="s">
        <v>23215</v>
      </c>
      <c r="B10053" s="139" t="s">
        <v>3069</v>
      </c>
      <c r="C10053" s="139" t="s">
        <v>65</v>
      </c>
      <c r="D10053" s="139" t="s">
        <v>23216</v>
      </c>
    </row>
    <row r="10054" spans="1:4" x14ac:dyDescent="0.25">
      <c r="A10054" s="139" t="s">
        <v>23217</v>
      </c>
      <c r="B10054" s="139" t="s">
        <v>2974</v>
      </c>
      <c r="C10054" s="139" t="s">
        <v>65</v>
      </c>
      <c r="D10054" s="139" t="s">
        <v>23218</v>
      </c>
    </row>
    <row r="10055" spans="1:4" x14ac:dyDescent="0.25">
      <c r="A10055" s="139" t="s">
        <v>23219</v>
      </c>
      <c r="B10055" s="139" t="s">
        <v>2974</v>
      </c>
      <c r="C10055" s="139" t="s">
        <v>65</v>
      </c>
      <c r="D10055" s="139" t="s">
        <v>23220</v>
      </c>
    </row>
    <row r="10056" spans="1:4" x14ac:dyDescent="0.25">
      <c r="A10056" s="139" t="s">
        <v>23221</v>
      </c>
      <c r="B10056" s="139" t="s">
        <v>17403</v>
      </c>
      <c r="C10056" s="139" t="s">
        <v>65</v>
      </c>
      <c r="D10056" s="139" t="s">
        <v>23222</v>
      </c>
    </row>
    <row r="10057" spans="1:4" x14ac:dyDescent="0.25">
      <c r="A10057" s="139" t="s">
        <v>23223</v>
      </c>
      <c r="B10057" s="139" t="s">
        <v>17403</v>
      </c>
      <c r="C10057" s="139" t="s">
        <v>65</v>
      </c>
      <c r="D10057" s="139" t="s">
        <v>23224</v>
      </c>
    </row>
    <row r="10058" spans="1:4" x14ac:dyDescent="0.25">
      <c r="A10058" s="139" t="s">
        <v>23225</v>
      </c>
      <c r="B10058" s="139" t="s">
        <v>11039</v>
      </c>
      <c r="C10058" s="139" t="s">
        <v>65</v>
      </c>
      <c r="D10058" s="139" t="s">
        <v>23226</v>
      </c>
    </row>
    <row r="10059" spans="1:4" x14ac:dyDescent="0.25">
      <c r="A10059" s="139" t="s">
        <v>23227</v>
      </c>
      <c r="B10059" s="139" t="s">
        <v>11039</v>
      </c>
      <c r="C10059" s="139" t="s">
        <v>65</v>
      </c>
      <c r="D10059" s="139" t="s">
        <v>23228</v>
      </c>
    </row>
    <row r="10060" spans="1:4" x14ac:dyDescent="0.25">
      <c r="A10060" s="139" t="s">
        <v>23229</v>
      </c>
      <c r="B10060" s="139" t="s">
        <v>23230</v>
      </c>
      <c r="C10060" s="139" t="s">
        <v>65</v>
      </c>
      <c r="D10060" s="139" t="s">
        <v>23231</v>
      </c>
    </row>
    <row r="10061" spans="1:4" x14ac:dyDescent="0.25">
      <c r="A10061" s="139" t="s">
        <v>23232</v>
      </c>
      <c r="B10061" s="139" t="s">
        <v>23230</v>
      </c>
      <c r="C10061" s="139" t="s">
        <v>65</v>
      </c>
      <c r="D10061" s="139" t="s">
        <v>23233</v>
      </c>
    </row>
    <row r="10062" spans="1:4" x14ac:dyDescent="0.25">
      <c r="A10062" s="139" t="s">
        <v>23234</v>
      </c>
      <c r="B10062" s="139" t="s">
        <v>23235</v>
      </c>
      <c r="C10062" s="139" t="s">
        <v>65</v>
      </c>
      <c r="D10062" s="139" t="s">
        <v>23236</v>
      </c>
    </row>
    <row r="10063" spans="1:4" x14ac:dyDescent="0.25">
      <c r="A10063" s="139" t="s">
        <v>23237</v>
      </c>
      <c r="B10063" s="139" t="s">
        <v>23235</v>
      </c>
      <c r="C10063" s="139" t="s">
        <v>65</v>
      </c>
      <c r="D10063" s="139" t="s">
        <v>23238</v>
      </c>
    </row>
    <row r="10064" spans="1:4" x14ac:dyDescent="0.25">
      <c r="A10064" s="139" t="s">
        <v>23239</v>
      </c>
      <c r="B10064" s="139" t="s">
        <v>23240</v>
      </c>
      <c r="C10064" s="139" t="s">
        <v>65</v>
      </c>
      <c r="D10064" s="139" t="s">
        <v>23241</v>
      </c>
    </row>
    <row r="10065" spans="1:4" x14ac:dyDescent="0.25">
      <c r="A10065" s="139" t="s">
        <v>23242</v>
      </c>
      <c r="B10065" s="139" t="s">
        <v>23240</v>
      </c>
      <c r="C10065" s="139" t="s">
        <v>65</v>
      </c>
      <c r="D10065" s="139" t="s">
        <v>23243</v>
      </c>
    </row>
    <row r="10066" spans="1:4" x14ac:dyDescent="0.25">
      <c r="A10066" s="139" t="s">
        <v>23244</v>
      </c>
      <c r="B10066" s="139" t="s">
        <v>23245</v>
      </c>
      <c r="C10066" s="139" t="s">
        <v>65</v>
      </c>
      <c r="D10066" s="139" t="s">
        <v>23246</v>
      </c>
    </row>
    <row r="10067" spans="1:4" x14ac:dyDescent="0.25">
      <c r="A10067" s="139" t="s">
        <v>23247</v>
      </c>
      <c r="B10067" s="139" t="s">
        <v>23245</v>
      </c>
      <c r="C10067" s="139" t="s">
        <v>65</v>
      </c>
      <c r="D10067" s="139" t="s">
        <v>23248</v>
      </c>
    </row>
    <row r="10068" spans="1:4" x14ac:dyDescent="0.25">
      <c r="A10068" s="139" t="s">
        <v>23249</v>
      </c>
      <c r="B10068" s="139" t="s">
        <v>23250</v>
      </c>
      <c r="C10068" s="139" t="s">
        <v>65</v>
      </c>
      <c r="D10068" s="139" t="s">
        <v>23251</v>
      </c>
    </row>
    <row r="10069" spans="1:4" x14ac:dyDescent="0.25">
      <c r="A10069" s="139" t="s">
        <v>23252</v>
      </c>
      <c r="B10069" s="139" t="s">
        <v>23250</v>
      </c>
      <c r="C10069" s="139" t="s">
        <v>65</v>
      </c>
      <c r="D10069" s="139" t="s">
        <v>23253</v>
      </c>
    </row>
    <row r="10070" spans="1:4" x14ac:dyDescent="0.25">
      <c r="A10070" s="139" t="s">
        <v>23254</v>
      </c>
      <c r="B10070" s="139" t="s">
        <v>23255</v>
      </c>
      <c r="C10070" s="139" t="s">
        <v>65</v>
      </c>
      <c r="D10070" s="139" t="s">
        <v>23256</v>
      </c>
    </row>
    <row r="10071" spans="1:4" x14ac:dyDescent="0.25">
      <c r="A10071" s="139" t="s">
        <v>23257</v>
      </c>
      <c r="B10071" s="139" t="s">
        <v>23255</v>
      </c>
      <c r="C10071" s="139" t="s">
        <v>65</v>
      </c>
      <c r="D10071" s="139" t="s">
        <v>23258</v>
      </c>
    </row>
    <row r="10072" spans="1:4" x14ac:dyDescent="0.25">
      <c r="A10072" s="139" t="s">
        <v>23259</v>
      </c>
      <c r="B10072" s="139" t="s">
        <v>17373</v>
      </c>
      <c r="C10072" s="139" t="s">
        <v>33</v>
      </c>
      <c r="D10072" s="139" t="s">
        <v>23260</v>
      </c>
    </row>
    <row r="10073" spans="1:4" x14ac:dyDescent="0.25">
      <c r="A10073" s="139" t="s">
        <v>23261</v>
      </c>
      <c r="B10073" s="139" t="s">
        <v>17373</v>
      </c>
      <c r="C10073" s="139" t="s">
        <v>33</v>
      </c>
      <c r="D10073" s="139" t="s">
        <v>23262</v>
      </c>
    </row>
    <row r="10074" spans="1:4" x14ac:dyDescent="0.25">
      <c r="A10074" s="139" t="s">
        <v>23263</v>
      </c>
      <c r="B10074" s="139" t="s">
        <v>6721</v>
      </c>
      <c r="C10074" s="139" t="s">
        <v>33</v>
      </c>
      <c r="D10074" s="139" t="s">
        <v>23264</v>
      </c>
    </row>
    <row r="10075" spans="1:4" x14ac:dyDescent="0.25">
      <c r="A10075" s="139" t="s">
        <v>23265</v>
      </c>
      <c r="B10075" s="139" t="s">
        <v>6721</v>
      </c>
      <c r="C10075" s="139" t="s">
        <v>33</v>
      </c>
      <c r="D10075" s="139" t="s">
        <v>23266</v>
      </c>
    </row>
    <row r="10076" spans="1:4" x14ac:dyDescent="0.25">
      <c r="A10076" s="139" t="s">
        <v>23267</v>
      </c>
      <c r="B10076" s="139" t="s">
        <v>21790</v>
      </c>
      <c r="C10076" s="139" t="s">
        <v>33</v>
      </c>
      <c r="D10076" s="139" t="s">
        <v>23268</v>
      </c>
    </row>
    <row r="10077" spans="1:4" x14ac:dyDescent="0.25">
      <c r="A10077" s="139" t="s">
        <v>23269</v>
      </c>
      <c r="B10077" s="139" t="s">
        <v>547</v>
      </c>
      <c r="C10077" s="139" t="s">
        <v>33</v>
      </c>
      <c r="D10077" s="139" t="s">
        <v>23270</v>
      </c>
    </row>
    <row r="10078" spans="1:4" x14ac:dyDescent="0.25">
      <c r="A10078" s="139" t="s">
        <v>23271</v>
      </c>
      <c r="B10078" s="139" t="s">
        <v>6118</v>
      </c>
      <c r="C10078" s="139" t="s">
        <v>33</v>
      </c>
      <c r="D10078" s="139" t="s">
        <v>23272</v>
      </c>
    </row>
    <row r="10079" spans="1:4" x14ac:dyDescent="0.25">
      <c r="A10079" s="139" t="s">
        <v>23273</v>
      </c>
      <c r="B10079" s="139" t="s">
        <v>6118</v>
      </c>
      <c r="C10079" s="139" t="s">
        <v>33</v>
      </c>
      <c r="D10079" s="139" t="s">
        <v>23274</v>
      </c>
    </row>
    <row r="10080" spans="1:4" x14ac:dyDescent="0.25">
      <c r="A10080" s="139" t="s">
        <v>23275</v>
      </c>
      <c r="B10080" s="139" t="s">
        <v>21790</v>
      </c>
      <c r="C10080" s="139" t="s">
        <v>33</v>
      </c>
      <c r="D10080" s="139" t="s">
        <v>23276</v>
      </c>
    </row>
    <row r="10081" spans="1:4" x14ac:dyDescent="0.25">
      <c r="A10081" s="139" t="s">
        <v>23277</v>
      </c>
      <c r="B10081" s="139" t="s">
        <v>21790</v>
      </c>
      <c r="C10081" s="139" t="s">
        <v>33</v>
      </c>
      <c r="D10081" s="139" t="s">
        <v>23278</v>
      </c>
    </row>
    <row r="10082" spans="1:4" x14ac:dyDescent="0.25">
      <c r="A10082" s="139" t="s">
        <v>23279</v>
      </c>
      <c r="B10082" s="139" t="s">
        <v>23280</v>
      </c>
      <c r="C10082" s="139" t="s">
        <v>33</v>
      </c>
      <c r="D10082" s="139" t="s">
        <v>23281</v>
      </c>
    </row>
    <row r="10083" spans="1:4" x14ac:dyDescent="0.25">
      <c r="A10083" s="139" t="s">
        <v>23282</v>
      </c>
      <c r="B10083" s="139" t="s">
        <v>23280</v>
      </c>
      <c r="C10083" s="139" t="s">
        <v>33</v>
      </c>
      <c r="D10083" s="139" t="s">
        <v>23283</v>
      </c>
    </row>
    <row r="10084" spans="1:4" x14ac:dyDescent="0.25">
      <c r="A10084" s="139" t="s">
        <v>23284</v>
      </c>
      <c r="B10084" s="139" t="s">
        <v>23285</v>
      </c>
      <c r="C10084" s="139" t="s">
        <v>33</v>
      </c>
      <c r="D10084" s="139" t="s">
        <v>23286</v>
      </c>
    </row>
    <row r="10085" spans="1:4" x14ac:dyDescent="0.25">
      <c r="A10085" s="139" t="s">
        <v>23287</v>
      </c>
      <c r="B10085" s="139" t="s">
        <v>23285</v>
      </c>
      <c r="C10085" s="139" t="s">
        <v>33</v>
      </c>
      <c r="D10085" s="139" t="s">
        <v>23288</v>
      </c>
    </row>
    <row r="10086" spans="1:4" x14ac:dyDescent="0.25">
      <c r="A10086" s="139" t="s">
        <v>23289</v>
      </c>
      <c r="B10086" s="139" t="s">
        <v>23290</v>
      </c>
      <c r="C10086" s="139" t="s">
        <v>33</v>
      </c>
      <c r="D10086" s="139" t="s">
        <v>23291</v>
      </c>
    </row>
    <row r="10087" spans="1:4" x14ac:dyDescent="0.25">
      <c r="A10087" s="139" t="s">
        <v>23292</v>
      </c>
      <c r="B10087" s="139" t="s">
        <v>23290</v>
      </c>
      <c r="C10087" s="139" t="s">
        <v>33</v>
      </c>
      <c r="D10087" s="139" t="s">
        <v>23293</v>
      </c>
    </row>
    <row r="10088" spans="1:4" x14ac:dyDescent="0.25">
      <c r="A10088" s="139" t="s">
        <v>23294</v>
      </c>
      <c r="B10088" s="139" t="s">
        <v>23295</v>
      </c>
      <c r="C10088" s="139" t="s">
        <v>33</v>
      </c>
      <c r="D10088" s="139" t="s">
        <v>23296</v>
      </c>
    </row>
    <row r="10089" spans="1:4" x14ac:dyDescent="0.25">
      <c r="A10089" s="139" t="s">
        <v>23297</v>
      </c>
      <c r="B10089" s="139" t="s">
        <v>23295</v>
      </c>
      <c r="C10089" s="139" t="s">
        <v>33</v>
      </c>
      <c r="D10089" s="139" t="s">
        <v>23298</v>
      </c>
    </row>
    <row r="10090" spans="1:4" x14ac:dyDescent="0.25">
      <c r="A10090" s="139" t="s">
        <v>23299</v>
      </c>
      <c r="B10090" s="139" t="s">
        <v>13317</v>
      </c>
      <c r="C10090" s="139" t="s">
        <v>33</v>
      </c>
      <c r="D10090" s="139" t="s">
        <v>23300</v>
      </c>
    </row>
    <row r="10091" spans="1:4" x14ac:dyDescent="0.25">
      <c r="A10091" s="139" t="s">
        <v>23301</v>
      </c>
      <c r="B10091" s="139" t="s">
        <v>13317</v>
      </c>
      <c r="C10091" s="139" t="s">
        <v>33</v>
      </c>
      <c r="D10091" s="139" t="s">
        <v>23302</v>
      </c>
    </row>
    <row r="10092" spans="1:4" x14ac:dyDescent="0.25">
      <c r="A10092" s="139" t="s">
        <v>23303</v>
      </c>
      <c r="B10092" s="139" t="s">
        <v>23304</v>
      </c>
      <c r="C10092" s="139" t="s">
        <v>65</v>
      </c>
      <c r="D10092" s="139" t="s">
        <v>23305</v>
      </c>
    </row>
    <row r="10093" spans="1:4" x14ac:dyDescent="0.25">
      <c r="A10093" s="139" t="s">
        <v>23306</v>
      </c>
      <c r="B10093" s="139" t="s">
        <v>23304</v>
      </c>
      <c r="C10093" s="139" t="s">
        <v>65</v>
      </c>
      <c r="D10093" s="139" t="s">
        <v>23307</v>
      </c>
    </row>
    <row r="10094" spans="1:4" x14ac:dyDescent="0.25">
      <c r="A10094" s="139" t="s">
        <v>23308</v>
      </c>
      <c r="B10094" s="139" t="s">
        <v>13122</v>
      </c>
      <c r="C10094" s="139" t="s">
        <v>65</v>
      </c>
      <c r="D10094" s="139" t="s">
        <v>23309</v>
      </c>
    </row>
    <row r="10095" spans="1:4" x14ac:dyDescent="0.25">
      <c r="A10095" s="139" t="s">
        <v>23310</v>
      </c>
      <c r="B10095" s="139" t="s">
        <v>13122</v>
      </c>
      <c r="C10095" s="139" t="s">
        <v>65</v>
      </c>
      <c r="D10095" s="139" t="s">
        <v>23311</v>
      </c>
    </row>
    <row r="10096" spans="1:4" x14ac:dyDescent="0.25">
      <c r="A10096" s="139" t="s">
        <v>23312</v>
      </c>
      <c r="B10096" s="139" t="s">
        <v>8142</v>
      </c>
      <c r="C10096" s="139" t="s">
        <v>65</v>
      </c>
      <c r="D10096" s="139" t="s">
        <v>23313</v>
      </c>
    </row>
    <row r="10097" spans="1:4" x14ac:dyDescent="0.25">
      <c r="A10097" s="139" t="s">
        <v>23314</v>
      </c>
      <c r="B10097" s="139" t="s">
        <v>8142</v>
      </c>
      <c r="C10097" s="139" t="s">
        <v>65</v>
      </c>
      <c r="D10097" s="139" t="s">
        <v>23315</v>
      </c>
    </row>
    <row r="10098" spans="1:4" x14ac:dyDescent="0.25">
      <c r="A10098" s="139" t="s">
        <v>23316</v>
      </c>
      <c r="B10098" s="139" t="s">
        <v>14685</v>
      </c>
      <c r="C10098" s="139" t="s">
        <v>65</v>
      </c>
      <c r="D10098" s="139" t="s">
        <v>23317</v>
      </c>
    </row>
    <row r="10099" spans="1:4" x14ac:dyDescent="0.25">
      <c r="A10099" s="139" t="s">
        <v>23318</v>
      </c>
      <c r="B10099" s="139" t="s">
        <v>14685</v>
      </c>
      <c r="C10099" s="139" t="s">
        <v>65</v>
      </c>
      <c r="D10099" s="139" t="s">
        <v>23319</v>
      </c>
    </row>
    <row r="10100" spans="1:4" x14ac:dyDescent="0.25">
      <c r="A10100" s="139" t="s">
        <v>23320</v>
      </c>
      <c r="B10100" s="139" t="s">
        <v>3255</v>
      </c>
      <c r="C10100" s="139" t="s">
        <v>6544</v>
      </c>
      <c r="D10100" s="139" t="s">
        <v>23321</v>
      </c>
    </row>
    <row r="10101" spans="1:4" x14ac:dyDescent="0.25">
      <c r="A10101" s="139" t="s">
        <v>23322</v>
      </c>
      <c r="B10101" s="139" t="s">
        <v>3255</v>
      </c>
      <c r="C10101" s="139" t="s">
        <v>6544</v>
      </c>
      <c r="D10101" s="139" t="s">
        <v>23323</v>
      </c>
    </row>
    <row r="10102" spans="1:4" x14ac:dyDescent="0.25">
      <c r="A10102" s="139" t="s">
        <v>23324</v>
      </c>
      <c r="B10102" s="139" t="s">
        <v>1902</v>
      </c>
      <c r="C10102" s="139" t="s">
        <v>33</v>
      </c>
      <c r="D10102" s="139" t="s">
        <v>23325</v>
      </c>
    </row>
    <row r="10103" spans="1:4" x14ac:dyDescent="0.25">
      <c r="A10103" s="139" t="s">
        <v>23326</v>
      </c>
      <c r="B10103" s="139" t="s">
        <v>1902</v>
      </c>
      <c r="C10103" s="139" t="s">
        <v>33</v>
      </c>
      <c r="D10103" s="139" t="s">
        <v>23327</v>
      </c>
    </row>
    <row r="10104" spans="1:4" x14ac:dyDescent="0.25">
      <c r="A10104" s="139" t="s">
        <v>23328</v>
      </c>
      <c r="B10104" s="139" t="s">
        <v>1823</v>
      </c>
      <c r="C10104" s="139" t="s">
        <v>65</v>
      </c>
      <c r="D10104" s="139" t="s">
        <v>23329</v>
      </c>
    </row>
    <row r="10105" spans="1:4" x14ac:dyDescent="0.25">
      <c r="A10105" s="139" t="s">
        <v>23330</v>
      </c>
      <c r="B10105" s="139" t="s">
        <v>1823</v>
      </c>
      <c r="C10105" s="139" t="s">
        <v>65</v>
      </c>
      <c r="D10105" s="139" t="s">
        <v>23331</v>
      </c>
    </row>
    <row r="10106" spans="1:4" x14ac:dyDescent="0.25">
      <c r="A10106" s="139" t="s">
        <v>23332</v>
      </c>
      <c r="B10106" s="139" t="s">
        <v>2950</v>
      </c>
      <c r="C10106" s="139" t="s">
        <v>65</v>
      </c>
      <c r="D10106" s="139" t="s">
        <v>23333</v>
      </c>
    </row>
    <row r="10107" spans="1:4" x14ac:dyDescent="0.25">
      <c r="A10107" s="139" t="s">
        <v>23334</v>
      </c>
      <c r="B10107" s="139" t="s">
        <v>2950</v>
      </c>
      <c r="C10107" s="139" t="s">
        <v>65</v>
      </c>
      <c r="D10107" s="139" t="s">
        <v>23335</v>
      </c>
    </row>
    <row r="10108" spans="1:4" x14ac:dyDescent="0.25">
      <c r="A10108" s="139" t="s">
        <v>23336</v>
      </c>
      <c r="B10108" s="139" t="s">
        <v>23337</v>
      </c>
      <c r="C10108" s="139" t="s">
        <v>33</v>
      </c>
      <c r="D10108" s="139" t="s">
        <v>23338</v>
      </c>
    </row>
    <row r="10109" spans="1:4" x14ac:dyDescent="0.25">
      <c r="A10109" s="139" t="s">
        <v>23339</v>
      </c>
      <c r="B10109" s="139" t="s">
        <v>23337</v>
      </c>
      <c r="C10109" s="139" t="s">
        <v>33</v>
      </c>
      <c r="D10109" s="139" t="s">
        <v>23340</v>
      </c>
    </row>
    <row r="10110" spans="1:4" x14ac:dyDescent="0.25">
      <c r="A10110" s="139" t="s">
        <v>23341</v>
      </c>
      <c r="B10110" s="139" t="s">
        <v>23342</v>
      </c>
      <c r="C10110" s="139" t="s">
        <v>33</v>
      </c>
      <c r="D10110" s="139" t="s">
        <v>23343</v>
      </c>
    </row>
    <row r="10111" spans="1:4" x14ac:dyDescent="0.25">
      <c r="A10111" s="139" t="s">
        <v>23344</v>
      </c>
      <c r="B10111" s="139" t="s">
        <v>23342</v>
      </c>
      <c r="C10111" s="139" t="s">
        <v>33</v>
      </c>
      <c r="D10111" s="139" t="s">
        <v>23345</v>
      </c>
    </row>
    <row r="10112" spans="1:4" x14ac:dyDescent="0.25">
      <c r="A10112" s="139" t="s">
        <v>23346</v>
      </c>
      <c r="B10112" s="139" t="s">
        <v>17432</v>
      </c>
      <c r="C10112" s="139" t="s">
        <v>23347</v>
      </c>
      <c r="D10112" s="139" t="s">
        <v>23348</v>
      </c>
    </row>
    <row r="10113" spans="1:4" x14ac:dyDescent="0.25">
      <c r="A10113" s="139" t="s">
        <v>23349</v>
      </c>
      <c r="B10113" s="139" t="s">
        <v>17432</v>
      </c>
      <c r="C10113" s="139" t="s">
        <v>23347</v>
      </c>
      <c r="D10113" s="139" t="s">
        <v>23350</v>
      </c>
    </row>
    <row r="10114" spans="1:4" x14ac:dyDescent="0.25">
      <c r="A10114" s="139" t="s">
        <v>23351</v>
      </c>
      <c r="B10114" s="139" t="s">
        <v>15489</v>
      </c>
      <c r="C10114" s="139" t="s">
        <v>6544</v>
      </c>
      <c r="D10114" s="139" t="s">
        <v>23352</v>
      </c>
    </row>
    <row r="10115" spans="1:4" x14ac:dyDescent="0.25">
      <c r="A10115" s="139" t="s">
        <v>23353</v>
      </c>
      <c r="B10115" s="139" t="s">
        <v>15489</v>
      </c>
      <c r="C10115" s="139" t="s">
        <v>6544</v>
      </c>
      <c r="D10115" s="139" t="s">
        <v>23354</v>
      </c>
    </row>
    <row r="10116" spans="1:4" x14ac:dyDescent="0.25">
      <c r="A10116" s="139" t="s">
        <v>23355</v>
      </c>
      <c r="B10116" s="139" t="s">
        <v>23356</v>
      </c>
      <c r="C10116" s="139" t="s">
        <v>65</v>
      </c>
      <c r="D10116" s="139" t="s">
        <v>23357</v>
      </c>
    </row>
    <row r="10117" spans="1:4" x14ac:dyDescent="0.25">
      <c r="A10117" s="139" t="s">
        <v>23358</v>
      </c>
      <c r="B10117" s="139" t="s">
        <v>23356</v>
      </c>
      <c r="C10117" s="139" t="s">
        <v>65</v>
      </c>
      <c r="D10117" s="139" t="s">
        <v>23359</v>
      </c>
    </row>
    <row r="10118" spans="1:4" x14ac:dyDescent="0.25">
      <c r="A10118" s="139" t="s">
        <v>23360</v>
      </c>
      <c r="B10118" s="139" t="s">
        <v>23361</v>
      </c>
      <c r="C10118" s="139" t="s">
        <v>65</v>
      </c>
      <c r="D10118" s="139" t="s">
        <v>23362</v>
      </c>
    </row>
    <row r="10119" spans="1:4" x14ac:dyDescent="0.25">
      <c r="A10119" s="139" t="s">
        <v>23363</v>
      </c>
      <c r="B10119" s="139" t="s">
        <v>23361</v>
      </c>
      <c r="C10119" s="139" t="s">
        <v>65</v>
      </c>
      <c r="D10119" s="139" t="s">
        <v>23364</v>
      </c>
    </row>
    <row r="10120" spans="1:4" x14ac:dyDescent="0.25">
      <c r="A10120" s="139" t="s">
        <v>23365</v>
      </c>
      <c r="B10120" s="139" t="s">
        <v>23366</v>
      </c>
      <c r="C10120" s="139" t="s">
        <v>65</v>
      </c>
      <c r="D10120" s="139" t="s">
        <v>23367</v>
      </c>
    </row>
    <row r="10121" spans="1:4" x14ac:dyDescent="0.25">
      <c r="A10121" s="139" t="s">
        <v>23368</v>
      </c>
      <c r="B10121" s="139" t="s">
        <v>23366</v>
      </c>
      <c r="C10121" s="139" t="s">
        <v>65</v>
      </c>
      <c r="D10121" s="139" t="s">
        <v>23369</v>
      </c>
    </row>
    <row r="10122" spans="1:4" x14ac:dyDescent="0.25">
      <c r="A10122" s="139" t="s">
        <v>23370</v>
      </c>
      <c r="B10122" s="139" t="s">
        <v>23371</v>
      </c>
      <c r="C10122" s="139" t="s">
        <v>65</v>
      </c>
      <c r="D10122" s="139" t="s">
        <v>23372</v>
      </c>
    </row>
    <row r="10123" spans="1:4" x14ac:dyDescent="0.25">
      <c r="A10123" s="139" t="s">
        <v>23373</v>
      </c>
      <c r="B10123" s="139" t="s">
        <v>23371</v>
      </c>
      <c r="C10123" s="139" t="s">
        <v>65</v>
      </c>
      <c r="D10123" s="139" t="s">
        <v>23374</v>
      </c>
    </row>
    <row r="10124" spans="1:4" x14ac:dyDescent="0.25">
      <c r="A10124" s="139" t="s">
        <v>23375</v>
      </c>
      <c r="B10124" s="139" t="s">
        <v>11004</v>
      </c>
      <c r="C10124" s="139" t="s">
        <v>65</v>
      </c>
      <c r="D10124" s="139" t="s">
        <v>23376</v>
      </c>
    </row>
    <row r="10125" spans="1:4" x14ac:dyDescent="0.25">
      <c r="A10125" s="139" t="s">
        <v>23377</v>
      </c>
      <c r="B10125" s="139" t="s">
        <v>11004</v>
      </c>
      <c r="C10125" s="139" t="s">
        <v>65</v>
      </c>
      <c r="D10125" s="139" t="s">
        <v>23378</v>
      </c>
    </row>
    <row r="10126" spans="1:4" x14ac:dyDescent="0.25">
      <c r="A10126" s="139" t="s">
        <v>23379</v>
      </c>
      <c r="B10126" s="139" t="s">
        <v>18245</v>
      </c>
      <c r="C10126" s="139" t="s">
        <v>65</v>
      </c>
      <c r="D10126" s="139" t="s">
        <v>23380</v>
      </c>
    </row>
    <row r="10127" spans="1:4" x14ac:dyDescent="0.25">
      <c r="A10127" s="139" t="s">
        <v>23381</v>
      </c>
      <c r="B10127" s="139" t="s">
        <v>18245</v>
      </c>
      <c r="C10127" s="139" t="s">
        <v>65</v>
      </c>
      <c r="D10127" s="139" t="s">
        <v>23382</v>
      </c>
    </row>
    <row r="10128" spans="1:4" x14ac:dyDescent="0.25">
      <c r="A10128" s="139" t="s">
        <v>23383</v>
      </c>
      <c r="B10128" s="139" t="s">
        <v>19173</v>
      </c>
      <c r="C10128" s="139" t="s">
        <v>65</v>
      </c>
      <c r="D10128" s="139" t="s">
        <v>23384</v>
      </c>
    </row>
    <row r="10129" spans="1:4" x14ac:dyDescent="0.25">
      <c r="A10129" s="139" t="s">
        <v>23385</v>
      </c>
      <c r="B10129" s="139" t="s">
        <v>19173</v>
      </c>
      <c r="C10129" s="139" t="s">
        <v>65</v>
      </c>
      <c r="D10129" s="139" t="s">
        <v>23386</v>
      </c>
    </row>
    <row r="10130" spans="1:4" x14ac:dyDescent="0.25">
      <c r="A10130" s="139" t="s">
        <v>23387</v>
      </c>
      <c r="B10130" s="139" t="s">
        <v>23388</v>
      </c>
      <c r="C10130" s="139" t="s">
        <v>65</v>
      </c>
      <c r="D10130" s="139" t="s">
        <v>23389</v>
      </c>
    </row>
    <row r="10131" spans="1:4" x14ac:dyDescent="0.25">
      <c r="A10131" s="139" t="s">
        <v>23390</v>
      </c>
      <c r="B10131" s="139" t="s">
        <v>23388</v>
      </c>
      <c r="C10131" s="139" t="s">
        <v>65</v>
      </c>
      <c r="D10131" s="139" t="s">
        <v>23391</v>
      </c>
    </row>
    <row r="10132" spans="1:4" x14ac:dyDescent="0.25">
      <c r="A10132" s="139" t="s">
        <v>23392</v>
      </c>
      <c r="B10132" s="139" t="s">
        <v>23393</v>
      </c>
      <c r="C10132" s="139" t="s">
        <v>44</v>
      </c>
      <c r="D10132" s="139" t="s">
        <v>23394</v>
      </c>
    </row>
    <row r="10133" spans="1:4" x14ac:dyDescent="0.25">
      <c r="A10133" s="139" t="s">
        <v>23395</v>
      </c>
      <c r="B10133" s="139" t="s">
        <v>23393</v>
      </c>
      <c r="C10133" s="139" t="s">
        <v>44</v>
      </c>
      <c r="D10133" s="139" t="s">
        <v>23396</v>
      </c>
    </row>
    <row r="10134" spans="1:4" x14ac:dyDescent="0.25">
      <c r="A10134" s="139" t="s">
        <v>23397</v>
      </c>
      <c r="B10134" s="139" t="s">
        <v>1983</v>
      </c>
      <c r="C10134" s="139" t="s">
        <v>44</v>
      </c>
      <c r="D10134" s="139" t="s">
        <v>23398</v>
      </c>
    </row>
    <row r="10135" spans="1:4" x14ac:dyDescent="0.25">
      <c r="A10135" s="139" t="s">
        <v>23399</v>
      </c>
      <c r="B10135" s="139" t="s">
        <v>1983</v>
      </c>
      <c r="C10135" s="139" t="s">
        <v>44</v>
      </c>
      <c r="D10135" s="139" t="s">
        <v>23400</v>
      </c>
    </row>
    <row r="10136" spans="1:4" x14ac:dyDescent="0.25">
      <c r="A10136" s="139" t="s">
        <v>23401</v>
      </c>
      <c r="B10136" s="139" t="s">
        <v>23402</v>
      </c>
      <c r="C10136" s="139" t="s">
        <v>44</v>
      </c>
      <c r="D10136" s="139" t="s">
        <v>23403</v>
      </c>
    </row>
    <row r="10137" spans="1:4" x14ac:dyDescent="0.25">
      <c r="A10137" s="139" t="s">
        <v>23404</v>
      </c>
      <c r="B10137" s="139" t="s">
        <v>23402</v>
      </c>
      <c r="C10137" s="139" t="s">
        <v>44</v>
      </c>
      <c r="D10137" s="139" t="s">
        <v>23405</v>
      </c>
    </row>
    <row r="10138" spans="1:4" x14ac:dyDescent="0.25">
      <c r="A10138" s="139" t="s">
        <v>23406</v>
      </c>
      <c r="B10138" s="139" t="s">
        <v>23407</v>
      </c>
      <c r="C10138" s="139" t="s">
        <v>44</v>
      </c>
      <c r="D10138" s="139" t="s">
        <v>23408</v>
      </c>
    </row>
    <row r="10139" spans="1:4" x14ac:dyDescent="0.25">
      <c r="A10139" s="139" t="s">
        <v>23409</v>
      </c>
      <c r="B10139" s="139" t="s">
        <v>23407</v>
      </c>
      <c r="C10139" s="139" t="s">
        <v>44</v>
      </c>
      <c r="D10139" s="139" t="s">
        <v>23410</v>
      </c>
    </row>
    <row r="10140" spans="1:4" x14ac:dyDescent="0.25">
      <c r="A10140" s="139" t="s">
        <v>23411</v>
      </c>
      <c r="B10140" s="139" t="s">
        <v>23412</v>
      </c>
      <c r="C10140" s="139" t="s">
        <v>44</v>
      </c>
      <c r="D10140" s="139" t="s">
        <v>23413</v>
      </c>
    </row>
    <row r="10141" spans="1:4" x14ac:dyDescent="0.25">
      <c r="A10141" s="139" t="s">
        <v>23414</v>
      </c>
      <c r="B10141" s="139" t="s">
        <v>23412</v>
      </c>
      <c r="C10141" s="139" t="s">
        <v>44</v>
      </c>
      <c r="D10141" s="139" t="s">
        <v>23415</v>
      </c>
    </row>
    <row r="10142" spans="1:4" x14ac:dyDescent="0.25">
      <c r="A10142" s="139" t="s">
        <v>23416</v>
      </c>
      <c r="B10142" s="139" t="s">
        <v>17463</v>
      </c>
      <c r="C10142" s="139" t="s">
        <v>44</v>
      </c>
      <c r="D10142" s="139" t="s">
        <v>23417</v>
      </c>
    </row>
    <row r="10143" spans="1:4" x14ac:dyDescent="0.25">
      <c r="A10143" s="139" t="s">
        <v>23418</v>
      </c>
      <c r="B10143" s="139" t="s">
        <v>17463</v>
      </c>
      <c r="C10143" s="139" t="s">
        <v>44</v>
      </c>
      <c r="D10143" s="139" t="s">
        <v>23419</v>
      </c>
    </row>
    <row r="10144" spans="1:4" x14ac:dyDescent="0.25">
      <c r="A10144" s="139" t="s">
        <v>23420</v>
      </c>
      <c r="B10144" s="139" t="s">
        <v>2228</v>
      </c>
      <c r="C10144" s="139" t="s">
        <v>44</v>
      </c>
      <c r="D10144" s="139" t="s">
        <v>23421</v>
      </c>
    </row>
    <row r="10145" spans="1:4" x14ac:dyDescent="0.25">
      <c r="A10145" s="139" t="s">
        <v>23422</v>
      </c>
      <c r="B10145" s="139" t="s">
        <v>2228</v>
      </c>
      <c r="C10145" s="139" t="s">
        <v>44</v>
      </c>
      <c r="D10145" s="139" t="s">
        <v>23423</v>
      </c>
    </row>
    <row r="10146" spans="1:4" x14ac:dyDescent="0.25">
      <c r="A10146" s="139" t="s">
        <v>23424</v>
      </c>
      <c r="B10146" s="139" t="s">
        <v>23361</v>
      </c>
      <c r="C10146" s="139" t="s">
        <v>44</v>
      </c>
      <c r="D10146" s="139" t="s">
        <v>23425</v>
      </c>
    </row>
    <row r="10147" spans="1:4" x14ac:dyDescent="0.25">
      <c r="A10147" s="139" t="s">
        <v>23426</v>
      </c>
      <c r="B10147" s="139" t="s">
        <v>23361</v>
      </c>
      <c r="C10147" s="139" t="s">
        <v>44</v>
      </c>
      <c r="D10147" s="139" t="s">
        <v>23427</v>
      </c>
    </row>
    <row r="10148" spans="1:4" x14ac:dyDescent="0.25">
      <c r="A10148" s="139" t="s">
        <v>23428</v>
      </c>
      <c r="B10148" s="139" t="s">
        <v>2003</v>
      </c>
      <c r="C10148" s="139" t="s">
        <v>44</v>
      </c>
      <c r="D10148" s="139" t="s">
        <v>23429</v>
      </c>
    </row>
    <row r="10149" spans="1:4" x14ac:dyDescent="0.25">
      <c r="A10149" s="139" t="s">
        <v>23430</v>
      </c>
      <c r="B10149" s="139" t="s">
        <v>2003</v>
      </c>
      <c r="C10149" s="139" t="s">
        <v>44</v>
      </c>
      <c r="D10149" s="139" t="s">
        <v>23431</v>
      </c>
    </row>
    <row r="10150" spans="1:4" x14ac:dyDescent="0.25">
      <c r="A10150" s="139" t="s">
        <v>23432</v>
      </c>
      <c r="B10150" s="139" t="s">
        <v>1902</v>
      </c>
      <c r="C10150" s="139" t="s">
        <v>44</v>
      </c>
      <c r="D10150" s="139" t="s">
        <v>23433</v>
      </c>
    </row>
    <row r="10151" spans="1:4" x14ac:dyDescent="0.25">
      <c r="A10151" s="139" t="s">
        <v>23434</v>
      </c>
      <c r="B10151" s="139" t="s">
        <v>1902</v>
      </c>
      <c r="C10151" s="139" t="s">
        <v>44</v>
      </c>
      <c r="D10151" s="139" t="s">
        <v>23435</v>
      </c>
    </row>
    <row r="10152" spans="1:4" x14ac:dyDescent="0.25">
      <c r="A10152" s="139" t="s">
        <v>23436</v>
      </c>
      <c r="B10152" s="139" t="s">
        <v>13273</v>
      </c>
      <c r="C10152" s="139" t="s">
        <v>44</v>
      </c>
      <c r="D10152" s="139" t="s">
        <v>23437</v>
      </c>
    </row>
    <row r="10153" spans="1:4" x14ac:dyDescent="0.25">
      <c r="A10153" s="139" t="s">
        <v>23438</v>
      </c>
      <c r="B10153" s="139" t="s">
        <v>13273</v>
      </c>
      <c r="C10153" s="139" t="s">
        <v>44</v>
      </c>
      <c r="D10153" s="139" t="s">
        <v>23439</v>
      </c>
    </row>
    <row r="10154" spans="1:4" x14ac:dyDescent="0.25">
      <c r="A10154" s="139" t="s">
        <v>23440</v>
      </c>
      <c r="B10154" s="139" t="s">
        <v>23388</v>
      </c>
      <c r="C10154" s="139" t="s">
        <v>44</v>
      </c>
      <c r="D10154" s="139" t="s">
        <v>23441</v>
      </c>
    </row>
    <row r="10155" spans="1:4" x14ac:dyDescent="0.25">
      <c r="A10155" s="139" t="s">
        <v>23442</v>
      </c>
      <c r="B10155" s="139" t="s">
        <v>23388</v>
      </c>
      <c r="C10155" s="139" t="s">
        <v>44</v>
      </c>
      <c r="D10155" s="139" t="s">
        <v>23443</v>
      </c>
    </row>
    <row r="10156" spans="1:4" x14ac:dyDescent="0.25">
      <c r="A10156" s="139" t="s">
        <v>23444</v>
      </c>
      <c r="B10156" s="139" t="s">
        <v>19716</v>
      </c>
      <c r="C10156" s="139" t="s">
        <v>20948</v>
      </c>
      <c r="D10156" s="139" t="s">
        <v>23445</v>
      </c>
    </row>
    <row r="10157" spans="1:4" x14ac:dyDescent="0.25">
      <c r="A10157" s="139" t="s">
        <v>21139</v>
      </c>
      <c r="B10157" s="139" t="s">
        <v>19716</v>
      </c>
      <c r="C10157" s="139" t="s">
        <v>20948</v>
      </c>
      <c r="D10157" s="139" t="s">
        <v>23446</v>
      </c>
    </row>
    <row r="10158" spans="1:4" x14ac:dyDescent="0.25">
      <c r="A10158" s="139" t="s">
        <v>23447</v>
      </c>
      <c r="B10158" s="139" t="s">
        <v>19716</v>
      </c>
      <c r="C10158" s="139" t="s">
        <v>20948</v>
      </c>
      <c r="D10158" s="139" t="s">
        <v>23448</v>
      </c>
    </row>
    <row r="10159" spans="1:4" x14ac:dyDescent="0.25">
      <c r="A10159" s="139" t="s">
        <v>21137</v>
      </c>
      <c r="B10159" s="139" t="s">
        <v>19716</v>
      </c>
      <c r="C10159" s="139" t="s">
        <v>20948</v>
      </c>
      <c r="D10159" s="139" t="s">
        <v>23449</v>
      </c>
    </row>
    <row r="10160" spans="1:4" x14ac:dyDescent="0.25">
      <c r="A10160" s="139" t="s">
        <v>23450</v>
      </c>
      <c r="B10160" s="139" t="s">
        <v>19716</v>
      </c>
      <c r="C10160" s="139" t="s">
        <v>20948</v>
      </c>
      <c r="D10160" s="139" t="s">
        <v>23451</v>
      </c>
    </row>
    <row r="10161" spans="1:4" x14ac:dyDescent="0.25">
      <c r="A10161" s="139" t="s">
        <v>21133</v>
      </c>
      <c r="B10161" s="139" t="s">
        <v>19716</v>
      </c>
      <c r="C10161" s="139" t="s">
        <v>20948</v>
      </c>
      <c r="D10161" s="139" t="s">
        <v>23452</v>
      </c>
    </row>
    <row r="10162" spans="1:4" x14ac:dyDescent="0.25">
      <c r="A10162" s="139" t="s">
        <v>23453</v>
      </c>
      <c r="B10162" s="139" t="s">
        <v>19716</v>
      </c>
      <c r="C10162" s="139" t="s">
        <v>20948</v>
      </c>
      <c r="D10162" s="139" t="s">
        <v>23454</v>
      </c>
    </row>
    <row r="10163" spans="1:4" x14ac:dyDescent="0.25">
      <c r="A10163" s="139" t="s">
        <v>23455</v>
      </c>
      <c r="B10163" s="139" t="s">
        <v>19716</v>
      </c>
      <c r="C10163" s="139" t="s">
        <v>20948</v>
      </c>
      <c r="D10163" s="139" t="s">
        <v>23456</v>
      </c>
    </row>
    <row r="10164" spans="1:4" x14ac:dyDescent="0.25">
      <c r="A10164" s="139" t="s">
        <v>23457</v>
      </c>
      <c r="B10164" s="139" t="s">
        <v>19716</v>
      </c>
      <c r="C10164" s="139" t="s">
        <v>20948</v>
      </c>
      <c r="D10164" s="139" t="s">
        <v>23458</v>
      </c>
    </row>
    <row r="10165" spans="1:4" x14ac:dyDescent="0.25">
      <c r="A10165" s="139" t="s">
        <v>23459</v>
      </c>
      <c r="B10165" s="139" t="s">
        <v>19716</v>
      </c>
      <c r="C10165" s="139" t="s">
        <v>20948</v>
      </c>
      <c r="D10165" s="139" t="s">
        <v>23460</v>
      </c>
    </row>
    <row r="10166" spans="1:4" x14ac:dyDescent="0.25">
      <c r="A10166" s="139" t="s">
        <v>23461</v>
      </c>
      <c r="B10166" s="139" t="s">
        <v>19716</v>
      </c>
      <c r="C10166" s="139" t="s">
        <v>20948</v>
      </c>
      <c r="D10166" s="139" t="s">
        <v>23462</v>
      </c>
    </row>
    <row r="10167" spans="1:4" x14ac:dyDescent="0.25">
      <c r="A10167" s="139" t="s">
        <v>23463</v>
      </c>
      <c r="B10167" s="139" t="s">
        <v>19716</v>
      </c>
      <c r="C10167" s="139" t="s">
        <v>20948</v>
      </c>
      <c r="D10167" s="139" t="s">
        <v>23464</v>
      </c>
    </row>
    <row r="10168" spans="1:4" x14ac:dyDescent="0.25">
      <c r="A10168" s="139" t="s">
        <v>21131</v>
      </c>
      <c r="B10168" s="139" t="s">
        <v>19716</v>
      </c>
      <c r="C10168" s="139" t="s">
        <v>20948</v>
      </c>
      <c r="D10168" s="139" t="s">
        <v>23465</v>
      </c>
    </row>
    <row r="10169" spans="1:4" x14ac:dyDescent="0.25">
      <c r="A10169" s="139" t="s">
        <v>23466</v>
      </c>
      <c r="B10169" s="139" t="s">
        <v>19716</v>
      </c>
      <c r="C10169" s="139" t="s">
        <v>20948</v>
      </c>
      <c r="D10169" s="139" t="s">
        <v>23467</v>
      </c>
    </row>
    <row r="10170" spans="1:4" x14ac:dyDescent="0.25">
      <c r="A10170" s="139" t="s">
        <v>23468</v>
      </c>
      <c r="B10170" s="139" t="s">
        <v>19716</v>
      </c>
      <c r="C10170" s="139" t="s">
        <v>20948</v>
      </c>
      <c r="D10170" s="139" t="s">
        <v>23469</v>
      </c>
    </row>
    <row r="10171" spans="1:4" x14ac:dyDescent="0.25">
      <c r="A10171" s="139" t="s">
        <v>23470</v>
      </c>
      <c r="B10171" s="139" t="s">
        <v>19716</v>
      </c>
      <c r="C10171" s="139" t="s">
        <v>20948</v>
      </c>
      <c r="D10171" s="139" t="s">
        <v>23471</v>
      </c>
    </row>
    <row r="10172" spans="1:4" x14ac:dyDescent="0.25">
      <c r="A10172" s="139" t="s">
        <v>23472</v>
      </c>
      <c r="B10172" s="139" t="s">
        <v>19716</v>
      </c>
      <c r="C10172" s="139" t="s">
        <v>20948</v>
      </c>
      <c r="D10172" s="139" t="s">
        <v>23473</v>
      </c>
    </row>
    <row r="10173" spans="1:4" x14ac:dyDescent="0.25">
      <c r="A10173" s="139" t="s">
        <v>23474</v>
      </c>
      <c r="B10173" s="139" t="s">
        <v>19716</v>
      </c>
      <c r="C10173" s="139" t="s">
        <v>20948</v>
      </c>
      <c r="D10173" s="139" t="s">
        <v>23475</v>
      </c>
    </row>
    <row r="10174" spans="1:4" x14ac:dyDescent="0.25">
      <c r="A10174" s="139" t="s">
        <v>23476</v>
      </c>
      <c r="B10174" s="139" t="s">
        <v>23477</v>
      </c>
      <c r="C10174" s="139" t="s">
        <v>23478</v>
      </c>
      <c r="D10174" s="139" t="s">
        <v>23479</v>
      </c>
    </row>
    <row r="10175" spans="1:4" x14ac:dyDescent="0.25">
      <c r="A10175" s="139" t="s">
        <v>23480</v>
      </c>
      <c r="B10175" s="139" t="s">
        <v>10388</v>
      </c>
      <c r="C10175" s="139" t="s">
        <v>65</v>
      </c>
      <c r="D10175" s="139" t="s">
        <v>23481</v>
      </c>
    </row>
    <row r="10176" spans="1:4" x14ac:dyDescent="0.25">
      <c r="A10176" s="139" t="s">
        <v>23482</v>
      </c>
      <c r="B10176" s="139" t="s">
        <v>23477</v>
      </c>
      <c r="C10176" s="139" t="s">
        <v>23478</v>
      </c>
      <c r="D10176" s="139" t="s">
        <v>23483</v>
      </c>
    </row>
    <row r="10177" spans="1:4" x14ac:dyDescent="0.25">
      <c r="A10177" s="139" t="s">
        <v>23484</v>
      </c>
      <c r="B10177" s="139" t="s">
        <v>23477</v>
      </c>
      <c r="C10177" s="139" t="s">
        <v>23478</v>
      </c>
      <c r="D10177" s="139" t="s">
        <v>23485</v>
      </c>
    </row>
    <row r="10178" spans="1:4" x14ac:dyDescent="0.25">
      <c r="A10178" s="139" t="s">
        <v>23486</v>
      </c>
      <c r="B10178" s="139" t="s">
        <v>23477</v>
      </c>
      <c r="C10178" s="139" t="s">
        <v>23478</v>
      </c>
      <c r="D10178" s="139" t="s">
        <v>23487</v>
      </c>
    </row>
    <row r="10179" spans="1:4" x14ac:dyDescent="0.25">
      <c r="A10179" s="139" t="s">
        <v>23488</v>
      </c>
      <c r="B10179" s="139" t="s">
        <v>10388</v>
      </c>
      <c r="C10179" s="139" t="s">
        <v>65</v>
      </c>
      <c r="D10179" s="139" t="s">
        <v>23489</v>
      </c>
    </row>
    <row r="10180" spans="1:4" x14ac:dyDescent="0.25">
      <c r="A10180" s="139" t="s">
        <v>23490</v>
      </c>
      <c r="B10180" s="139" t="s">
        <v>22901</v>
      </c>
      <c r="C10180" s="139" t="s">
        <v>33</v>
      </c>
      <c r="D10180" s="139" t="s">
        <v>23491</v>
      </c>
    </row>
    <row r="10181" spans="1:4" x14ac:dyDescent="0.25">
      <c r="A10181" s="139" t="s">
        <v>23492</v>
      </c>
      <c r="B10181" s="139" t="s">
        <v>11109</v>
      </c>
      <c r="C10181" s="139" t="s">
        <v>33</v>
      </c>
      <c r="D10181" s="139" t="s">
        <v>23493</v>
      </c>
    </row>
    <row r="10182" spans="1:4" x14ac:dyDescent="0.25">
      <c r="A10182" s="139" t="s">
        <v>23494</v>
      </c>
      <c r="B10182" s="139" t="s">
        <v>11109</v>
      </c>
      <c r="C10182" s="139" t="s">
        <v>33</v>
      </c>
      <c r="D10182" s="139" t="s">
        <v>23495</v>
      </c>
    </row>
    <row r="10183" spans="1:4" x14ac:dyDescent="0.25">
      <c r="A10183" s="139" t="s">
        <v>23496</v>
      </c>
      <c r="B10183" s="139" t="s">
        <v>21524</v>
      </c>
      <c r="C10183" s="139" t="s">
        <v>33</v>
      </c>
      <c r="D10183" s="139" t="s">
        <v>23497</v>
      </c>
    </row>
    <row r="10184" spans="1:4" x14ac:dyDescent="0.25">
      <c r="A10184" s="139" t="s">
        <v>23498</v>
      </c>
      <c r="B10184" s="139" t="s">
        <v>23499</v>
      </c>
      <c r="C10184" s="139" t="s">
        <v>33</v>
      </c>
      <c r="D10184" s="139" t="s">
        <v>23500</v>
      </c>
    </row>
    <row r="10185" spans="1:4" x14ac:dyDescent="0.25">
      <c r="A10185" s="139" t="s">
        <v>23501</v>
      </c>
      <c r="B10185" s="139" t="s">
        <v>23499</v>
      </c>
      <c r="C10185" s="139" t="s">
        <v>33</v>
      </c>
      <c r="D10185" s="139" t="s">
        <v>23502</v>
      </c>
    </row>
    <row r="10186" spans="1:4" x14ac:dyDescent="0.25">
      <c r="A10186" s="139" t="s">
        <v>23503</v>
      </c>
      <c r="B10186" s="139" t="s">
        <v>23504</v>
      </c>
      <c r="C10186" s="139" t="s">
        <v>33</v>
      </c>
      <c r="D10186" s="139" t="s">
        <v>23505</v>
      </c>
    </row>
    <row r="10187" spans="1:4" x14ac:dyDescent="0.25">
      <c r="A10187" s="139" t="s">
        <v>23506</v>
      </c>
      <c r="B10187" s="139" t="s">
        <v>23504</v>
      </c>
      <c r="C10187" s="139" t="s">
        <v>33</v>
      </c>
      <c r="D10187" s="139" t="s">
        <v>23507</v>
      </c>
    </row>
    <row r="10188" spans="1:4" x14ac:dyDescent="0.25">
      <c r="A10188" s="139" t="s">
        <v>23508</v>
      </c>
      <c r="B10188" s="139" t="s">
        <v>23509</v>
      </c>
      <c r="C10188" s="139" t="s">
        <v>33</v>
      </c>
      <c r="D10188" s="139" t="s">
        <v>23510</v>
      </c>
    </row>
    <row r="10189" spans="1:4" x14ac:dyDescent="0.25">
      <c r="A10189" s="139" t="s">
        <v>23511</v>
      </c>
      <c r="B10189" s="139" t="s">
        <v>23509</v>
      </c>
      <c r="C10189" s="139" t="s">
        <v>33</v>
      </c>
      <c r="D10189" s="139" t="s">
        <v>23512</v>
      </c>
    </row>
    <row r="10190" spans="1:4" x14ac:dyDescent="0.25">
      <c r="A10190" s="139" t="s">
        <v>23513</v>
      </c>
      <c r="B10190" s="139" t="s">
        <v>23514</v>
      </c>
      <c r="C10190" s="139" t="s">
        <v>658</v>
      </c>
      <c r="D10190" s="139" t="s">
        <v>23515</v>
      </c>
    </row>
    <row r="10191" spans="1:4" x14ac:dyDescent="0.25">
      <c r="A10191" s="139" t="s">
        <v>23516</v>
      </c>
      <c r="B10191" s="139" t="s">
        <v>23514</v>
      </c>
      <c r="C10191" s="139" t="s">
        <v>658</v>
      </c>
      <c r="D10191" s="139" t="s">
        <v>23517</v>
      </c>
    </row>
    <row r="10192" spans="1:4" x14ac:dyDescent="0.25">
      <c r="A10192" s="139" t="s">
        <v>23518</v>
      </c>
      <c r="B10192" s="139" t="s">
        <v>3729</v>
      </c>
      <c r="C10192" s="139" t="s">
        <v>658</v>
      </c>
      <c r="D10192" s="139" t="s">
        <v>23519</v>
      </c>
    </row>
    <row r="10193" spans="1:4" x14ac:dyDescent="0.25">
      <c r="A10193" s="139" t="s">
        <v>23520</v>
      </c>
      <c r="B10193" s="139" t="s">
        <v>3729</v>
      </c>
      <c r="C10193" s="139" t="s">
        <v>658</v>
      </c>
      <c r="D10193" s="139" t="s">
        <v>23521</v>
      </c>
    </row>
    <row r="10194" spans="1:4" x14ac:dyDescent="0.25">
      <c r="A10194" s="139" t="s">
        <v>23522</v>
      </c>
      <c r="B10194" s="139" t="s">
        <v>3734</v>
      </c>
      <c r="C10194" s="139" t="s">
        <v>658</v>
      </c>
      <c r="D10194" s="139" t="s">
        <v>23523</v>
      </c>
    </row>
    <row r="10195" spans="1:4" x14ac:dyDescent="0.25">
      <c r="A10195" s="139" t="s">
        <v>23524</v>
      </c>
      <c r="B10195" s="139" t="s">
        <v>3734</v>
      </c>
      <c r="C10195" s="139" t="s">
        <v>658</v>
      </c>
      <c r="D10195" s="139" t="s">
        <v>23525</v>
      </c>
    </row>
    <row r="10196" spans="1:4" x14ac:dyDescent="0.25">
      <c r="A10196" s="139" t="s">
        <v>23526</v>
      </c>
      <c r="B10196" s="139" t="s">
        <v>23527</v>
      </c>
      <c r="C10196" s="139" t="s">
        <v>5475</v>
      </c>
      <c r="D10196" s="139" t="s">
        <v>23528</v>
      </c>
    </row>
    <row r="10197" spans="1:4" x14ac:dyDescent="0.25">
      <c r="A10197" s="139" t="s">
        <v>23529</v>
      </c>
      <c r="B10197" s="139" t="s">
        <v>23527</v>
      </c>
      <c r="C10197" s="139" t="s">
        <v>5475</v>
      </c>
      <c r="D10197" s="139" t="s">
        <v>23530</v>
      </c>
    </row>
    <row r="10198" spans="1:4" x14ac:dyDescent="0.25">
      <c r="A10198" s="139" t="s">
        <v>23531</v>
      </c>
      <c r="B10198" s="139" t="s">
        <v>7317</v>
      </c>
      <c r="C10198" s="139" t="s">
        <v>112</v>
      </c>
      <c r="D10198" s="139" t="s">
        <v>23532</v>
      </c>
    </row>
    <row r="10199" spans="1:4" x14ac:dyDescent="0.25">
      <c r="A10199" s="139" t="s">
        <v>23533</v>
      </c>
      <c r="B10199" s="139" t="s">
        <v>7317</v>
      </c>
      <c r="C10199" s="139" t="s">
        <v>112</v>
      </c>
      <c r="D10199" s="139" t="s">
        <v>23534</v>
      </c>
    </row>
    <row r="10200" spans="1:4" x14ac:dyDescent="0.25">
      <c r="A10200" s="139" t="s">
        <v>23535</v>
      </c>
      <c r="B10200" s="139" t="s">
        <v>6067</v>
      </c>
      <c r="C10200" s="139" t="s">
        <v>112</v>
      </c>
      <c r="D10200" s="139" t="s">
        <v>23536</v>
      </c>
    </row>
    <row r="10201" spans="1:4" x14ac:dyDescent="0.25">
      <c r="A10201" s="139" t="s">
        <v>23537</v>
      </c>
      <c r="B10201" s="139" t="s">
        <v>6067</v>
      </c>
      <c r="C10201" s="139" t="s">
        <v>112</v>
      </c>
      <c r="D10201" s="139" t="s">
        <v>23538</v>
      </c>
    </row>
    <row r="10202" spans="1:4" x14ac:dyDescent="0.25">
      <c r="A10202" s="139" t="s">
        <v>23539</v>
      </c>
      <c r="B10202" s="139" t="s">
        <v>6076</v>
      </c>
      <c r="C10202" s="139" t="s">
        <v>112</v>
      </c>
      <c r="D10202" s="139" t="s">
        <v>23540</v>
      </c>
    </row>
    <row r="10203" spans="1:4" x14ac:dyDescent="0.25">
      <c r="A10203" s="139" t="s">
        <v>23541</v>
      </c>
      <c r="B10203" s="139" t="s">
        <v>6076</v>
      </c>
      <c r="C10203" s="139" t="s">
        <v>112</v>
      </c>
      <c r="D10203" s="139" t="s">
        <v>23542</v>
      </c>
    </row>
    <row r="10204" spans="1:4" x14ac:dyDescent="0.25">
      <c r="A10204" s="139" t="s">
        <v>23543</v>
      </c>
      <c r="B10204" s="139" t="s">
        <v>3689</v>
      </c>
      <c r="C10204" s="139" t="s">
        <v>112</v>
      </c>
      <c r="D10204" s="139" t="s">
        <v>23544</v>
      </c>
    </row>
    <row r="10205" spans="1:4" x14ac:dyDescent="0.25">
      <c r="A10205" s="139" t="s">
        <v>23545</v>
      </c>
      <c r="B10205" s="139" t="s">
        <v>3689</v>
      </c>
      <c r="C10205" s="139" t="s">
        <v>112</v>
      </c>
      <c r="D10205" s="139" t="s">
        <v>23546</v>
      </c>
    </row>
    <row r="10206" spans="1:4" x14ac:dyDescent="0.25">
      <c r="A10206" s="139" t="s">
        <v>23547</v>
      </c>
      <c r="B10206" s="139" t="s">
        <v>3694</v>
      </c>
      <c r="C10206" s="139" t="s">
        <v>112</v>
      </c>
      <c r="D10206" s="139" t="s">
        <v>23548</v>
      </c>
    </row>
    <row r="10207" spans="1:4" x14ac:dyDescent="0.25">
      <c r="A10207" s="139" t="s">
        <v>23549</v>
      </c>
      <c r="B10207" s="139" t="s">
        <v>3694</v>
      </c>
      <c r="C10207" s="139" t="s">
        <v>112</v>
      </c>
      <c r="D10207" s="139" t="s">
        <v>23550</v>
      </c>
    </row>
    <row r="10208" spans="1:4" x14ac:dyDescent="0.25">
      <c r="A10208" s="139" t="s">
        <v>23551</v>
      </c>
      <c r="B10208" s="139" t="s">
        <v>4837</v>
      </c>
      <c r="C10208" s="139" t="s">
        <v>112</v>
      </c>
      <c r="D10208" s="139" t="s">
        <v>23552</v>
      </c>
    </row>
    <row r="10209" spans="1:4" x14ac:dyDescent="0.25">
      <c r="A10209" s="139" t="s">
        <v>23553</v>
      </c>
      <c r="B10209" s="139" t="s">
        <v>4837</v>
      </c>
      <c r="C10209" s="139" t="s">
        <v>112</v>
      </c>
      <c r="D10209" s="139" t="s">
        <v>23554</v>
      </c>
    </row>
    <row r="10210" spans="1:4" x14ac:dyDescent="0.25">
      <c r="A10210" s="139" t="s">
        <v>23555</v>
      </c>
      <c r="B10210" s="139" t="s">
        <v>6099</v>
      </c>
      <c r="C10210" s="139" t="s">
        <v>112</v>
      </c>
      <c r="D10210" s="139" t="s">
        <v>23556</v>
      </c>
    </row>
    <row r="10211" spans="1:4" x14ac:dyDescent="0.25">
      <c r="A10211" s="139" t="s">
        <v>23557</v>
      </c>
      <c r="B10211" s="139" t="s">
        <v>6099</v>
      </c>
      <c r="C10211" s="139" t="s">
        <v>112</v>
      </c>
      <c r="D10211" s="139" t="s">
        <v>23558</v>
      </c>
    </row>
    <row r="10212" spans="1:4" x14ac:dyDescent="0.25">
      <c r="A10212" s="139" t="s">
        <v>23559</v>
      </c>
      <c r="B10212" s="139" t="s">
        <v>4857</v>
      </c>
      <c r="C10212" s="139" t="s">
        <v>112</v>
      </c>
      <c r="D10212" s="139" t="s">
        <v>23560</v>
      </c>
    </row>
    <row r="10213" spans="1:4" x14ac:dyDescent="0.25">
      <c r="A10213" s="139" t="s">
        <v>23561</v>
      </c>
      <c r="B10213" s="139" t="s">
        <v>4857</v>
      </c>
      <c r="C10213" s="139" t="s">
        <v>112</v>
      </c>
      <c r="D10213" s="139" t="s">
        <v>23562</v>
      </c>
    </row>
    <row r="10214" spans="1:4" x14ac:dyDescent="0.25">
      <c r="A10214" s="139" t="s">
        <v>23563</v>
      </c>
      <c r="B10214" s="139" t="s">
        <v>132</v>
      </c>
      <c r="C10214" s="139" t="s">
        <v>112</v>
      </c>
      <c r="D10214" s="139" t="s">
        <v>23564</v>
      </c>
    </row>
    <row r="10215" spans="1:4" x14ac:dyDescent="0.25">
      <c r="A10215" s="139" t="s">
        <v>23565</v>
      </c>
      <c r="B10215" s="139" t="s">
        <v>132</v>
      </c>
      <c r="C10215" s="139" t="s">
        <v>112</v>
      </c>
      <c r="D10215" s="139" t="s">
        <v>23566</v>
      </c>
    </row>
    <row r="10216" spans="1:4" x14ac:dyDescent="0.25">
      <c r="A10216" s="139" t="s">
        <v>23567</v>
      </c>
      <c r="B10216" s="139" t="s">
        <v>875</v>
      </c>
      <c r="C10216" s="139" t="s">
        <v>112</v>
      </c>
      <c r="D10216" s="139" t="s">
        <v>23568</v>
      </c>
    </row>
    <row r="10217" spans="1:4" x14ac:dyDescent="0.25">
      <c r="A10217" s="139" t="s">
        <v>23569</v>
      </c>
      <c r="B10217" s="139" t="s">
        <v>875</v>
      </c>
      <c r="C10217" s="139" t="s">
        <v>112</v>
      </c>
      <c r="D10217" s="139" t="s">
        <v>23570</v>
      </c>
    </row>
    <row r="10218" spans="1:4" x14ac:dyDescent="0.25">
      <c r="A10218" s="139" t="s">
        <v>23571</v>
      </c>
      <c r="B10218" s="139" t="s">
        <v>3699</v>
      </c>
      <c r="C10218" s="139" t="s">
        <v>112</v>
      </c>
      <c r="D10218" s="139" t="s">
        <v>23572</v>
      </c>
    </row>
    <row r="10219" spans="1:4" x14ac:dyDescent="0.25">
      <c r="A10219" s="139" t="s">
        <v>23573</v>
      </c>
      <c r="B10219" s="139" t="s">
        <v>3699</v>
      </c>
      <c r="C10219" s="139" t="s">
        <v>112</v>
      </c>
      <c r="D10219" s="139" t="s">
        <v>23574</v>
      </c>
    </row>
    <row r="10220" spans="1:4" x14ac:dyDescent="0.25">
      <c r="A10220" s="139" t="s">
        <v>23575</v>
      </c>
      <c r="B10220" s="139" t="s">
        <v>229</v>
      </c>
      <c r="C10220" s="139" t="s">
        <v>1683</v>
      </c>
      <c r="D10220" s="139" t="s">
        <v>23576</v>
      </c>
    </row>
    <row r="10221" spans="1:4" x14ac:dyDescent="0.25">
      <c r="A10221" s="139" t="s">
        <v>23577</v>
      </c>
      <c r="B10221" s="139" t="s">
        <v>229</v>
      </c>
      <c r="C10221" s="139" t="s">
        <v>1683</v>
      </c>
      <c r="D10221" s="139" t="s">
        <v>23578</v>
      </c>
    </row>
    <row r="10222" spans="1:4" x14ac:dyDescent="0.25">
      <c r="A10222" s="139" t="s">
        <v>23579</v>
      </c>
      <c r="B10222" s="139" t="s">
        <v>4926</v>
      </c>
      <c r="C10222" s="139" t="s">
        <v>65</v>
      </c>
      <c r="D10222" s="139" t="s">
        <v>23580</v>
      </c>
    </row>
    <row r="10223" spans="1:4" x14ac:dyDescent="0.25">
      <c r="A10223" s="139" t="s">
        <v>23581</v>
      </c>
      <c r="B10223" s="139" t="s">
        <v>4926</v>
      </c>
      <c r="C10223" s="139" t="s">
        <v>65</v>
      </c>
      <c r="D10223" s="139" t="s">
        <v>23582</v>
      </c>
    </row>
    <row r="10224" spans="1:4" x14ac:dyDescent="0.25">
      <c r="A10224" s="139" t="s">
        <v>23583</v>
      </c>
      <c r="B10224" s="139" t="s">
        <v>10259</v>
      </c>
      <c r="C10224" s="139" t="s">
        <v>65</v>
      </c>
      <c r="D10224" s="139" t="s">
        <v>23584</v>
      </c>
    </row>
    <row r="10225" spans="1:4" x14ac:dyDescent="0.25">
      <c r="A10225" s="139" t="s">
        <v>23585</v>
      </c>
      <c r="B10225" s="139" t="s">
        <v>10259</v>
      </c>
      <c r="C10225" s="139" t="s">
        <v>65</v>
      </c>
      <c r="D10225" s="139" t="s">
        <v>23586</v>
      </c>
    </row>
    <row r="10226" spans="1:4" x14ac:dyDescent="0.25">
      <c r="A10226" s="139" t="s">
        <v>23587</v>
      </c>
      <c r="B10226" s="139" t="s">
        <v>23588</v>
      </c>
      <c r="C10226" s="139" t="s">
        <v>112</v>
      </c>
      <c r="D10226" s="139" t="s">
        <v>23589</v>
      </c>
    </row>
    <row r="10227" spans="1:4" x14ac:dyDescent="0.25">
      <c r="A10227" s="139" t="s">
        <v>23590</v>
      </c>
      <c r="B10227" s="139" t="s">
        <v>23588</v>
      </c>
      <c r="C10227" s="139" t="s">
        <v>112</v>
      </c>
      <c r="D10227" s="139" t="s">
        <v>23591</v>
      </c>
    </row>
    <row r="10228" spans="1:4" x14ac:dyDescent="0.25">
      <c r="A10228" s="139" t="s">
        <v>23592</v>
      </c>
      <c r="B10228" s="139" t="s">
        <v>4866</v>
      </c>
      <c r="C10228" s="139" t="s">
        <v>123</v>
      </c>
      <c r="D10228" s="139" t="s">
        <v>23593</v>
      </c>
    </row>
    <row r="10229" spans="1:4" x14ac:dyDescent="0.25">
      <c r="A10229" s="139" t="s">
        <v>23594</v>
      </c>
      <c r="B10229" s="139" t="s">
        <v>4866</v>
      </c>
      <c r="C10229" s="139" t="s">
        <v>123</v>
      </c>
      <c r="D10229" s="139" t="s">
        <v>23595</v>
      </c>
    </row>
    <row r="10230" spans="1:4" x14ac:dyDescent="0.25">
      <c r="A10230" s="139" t="s">
        <v>23596</v>
      </c>
      <c r="B10230" s="139" t="s">
        <v>23597</v>
      </c>
      <c r="C10230" s="139" t="s">
        <v>123</v>
      </c>
      <c r="D10230" s="139" t="s">
        <v>23598</v>
      </c>
    </row>
    <row r="10231" spans="1:4" x14ac:dyDescent="0.25">
      <c r="A10231" s="139" t="s">
        <v>23599</v>
      </c>
      <c r="B10231" s="139" t="s">
        <v>23597</v>
      </c>
      <c r="C10231" s="139" t="s">
        <v>123</v>
      </c>
      <c r="D10231" s="139" t="s">
        <v>23600</v>
      </c>
    </row>
    <row r="10232" spans="1:4" x14ac:dyDescent="0.25">
      <c r="A10232" s="139" t="s">
        <v>23601</v>
      </c>
      <c r="B10232" s="139" t="s">
        <v>23602</v>
      </c>
      <c r="C10232" s="139" t="s">
        <v>123</v>
      </c>
      <c r="D10232" s="139" t="s">
        <v>23603</v>
      </c>
    </row>
    <row r="10233" spans="1:4" x14ac:dyDescent="0.25">
      <c r="A10233" s="139" t="s">
        <v>23604</v>
      </c>
      <c r="B10233" s="139" t="s">
        <v>23602</v>
      </c>
      <c r="C10233" s="139" t="s">
        <v>123</v>
      </c>
      <c r="D10233" s="139" t="s">
        <v>23605</v>
      </c>
    </row>
    <row r="10234" spans="1:4" x14ac:dyDescent="0.25">
      <c r="A10234" s="139" t="s">
        <v>23606</v>
      </c>
      <c r="B10234" s="139" t="s">
        <v>185</v>
      </c>
      <c r="C10234" s="139" t="s">
        <v>123</v>
      </c>
      <c r="D10234" s="139" t="s">
        <v>23607</v>
      </c>
    </row>
    <row r="10235" spans="1:4" x14ac:dyDescent="0.25">
      <c r="A10235" s="139" t="s">
        <v>23608</v>
      </c>
      <c r="B10235" s="139" t="s">
        <v>185</v>
      </c>
      <c r="C10235" s="139" t="s">
        <v>123</v>
      </c>
      <c r="D10235" s="139" t="s">
        <v>23609</v>
      </c>
    </row>
    <row r="10236" spans="1:4" x14ac:dyDescent="0.25">
      <c r="A10236" s="139" t="s">
        <v>23610</v>
      </c>
      <c r="B10236" s="139" t="s">
        <v>4935</v>
      </c>
      <c r="C10236" s="139" t="s">
        <v>123</v>
      </c>
      <c r="D10236" s="139" t="s">
        <v>23611</v>
      </c>
    </row>
    <row r="10237" spans="1:4" x14ac:dyDescent="0.25">
      <c r="A10237" s="139" t="s">
        <v>23612</v>
      </c>
      <c r="B10237" s="139" t="s">
        <v>4935</v>
      </c>
      <c r="C10237" s="139" t="s">
        <v>123</v>
      </c>
      <c r="D10237" s="139" t="s">
        <v>23613</v>
      </c>
    </row>
    <row r="10238" spans="1:4" x14ac:dyDescent="0.25">
      <c r="A10238" s="139" t="s">
        <v>23614</v>
      </c>
      <c r="B10238" s="139" t="s">
        <v>4940</v>
      </c>
      <c r="C10238" s="139" t="s">
        <v>123</v>
      </c>
      <c r="D10238" s="139" t="s">
        <v>23615</v>
      </c>
    </row>
    <row r="10239" spans="1:4" x14ac:dyDescent="0.25">
      <c r="A10239" s="139" t="s">
        <v>23616</v>
      </c>
      <c r="B10239" s="139" t="s">
        <v>4940</v>
      </c>
      <c r="C10239" s="139" t="s">
        <v>123</v>
      </c>
      <c r="D10239" s="139" t="s">
        <v>23617</v>
      </c>
    </row>
    <row r="10240" spans="1:4" x14ac:dyDescent="0.25">
      <c r="A10240" s="139" t="s">
        <v>23618</v>
      </c>
      <c r="B10240" s="139" t="s">
        <v>5574</v>
      </c>
      <c r="C10240" s="139" t="s">
        <v>123</v>
      </c>
      <c r="D10240" s="139" t="s">
        <v>23619</v>
      </c>
    </row>
    <row r="10241" spans="1:4" x14ac:dyDescent="0.25">
      <c r="A10241" s="139" t="s">
        <v>23620</v>
      </c>
      <c r="B10241" s="139" t="s">
        <v>5574</v>
      </c>
      <c r="C10241" s="139" t="s">
        <v>123</v>
      </c>
      <c r="D10241" s="139" t="s">
        <v>23621</v>
      </c>
    </row>
    <row r="10242" spans="1:4" x14ac:dyDescent="0.25">
      <c r="A10242" s="139" t="s">
        <v>23622</v>
      </c>
      <c r="B10242" s="139" t="s">
        <v>1380</v>
      </c>
      <c r="C10242" s="139" t="s">
        <v>123</v>
      </c>
      <c r="D10242" s="139" t="s">
        <v>23623</v>
      </c>
    </row>
    <row r="10243" spans="1:4" x14ac:dyDescent="0.25">
      <c r="A10243" s="139" t="s">
        <v>23624</v>
      </c>
      <c r="B10243" s="139" t="s">
        <v>1380</v>
      </c>
      <c r="C10243" s="139" t="s">
        <v>123</v>
      </c>
      <c r="D10243" s="139" t="s">
        <v>23625</v>
      </c>
    </row>
    <row r="10244" spans="1:4" x14ac:dyDescent="0.25">
      <c r="A10244" s="139" t="s">
        <v>23626</v>
      </c>
      <c r="B10244" s="139" t="s">
        <v>23627</v>
      </c>
      <c r="C10244" s="139" t="s">
        <v>123</v>
      </c>
      <c r="D10244" s="139" t="s">
        <v>23628</v>
      </c>
    </row>
    <row r="10245" spans="1:4" x14ac:dyDescent="0.25">
      <c r="A10245" s="139" t="s">
        <v>23629</v>
      </c>
      <c r="B10245" s="139" t="s">
        <v>23627</v>
      </c>
      <c r="C10245" s="139" t="s">
        <v>123</v>
      </c>
      <c r="D10245" s="139" t="s">
        <v>23630</v>
      </c>
    </row>
    <row r="10246" spans="1:4" x14ac:dyDescent="0.25">
      <c r="A10246" s="139" t="s">
        <v>23631</v>
      </c>
      <c r="B10246" s="139" t="s">
        <v>23632</v>
      </c>
      <c r="C10246" s="139" t="s">
        <v>123</v>
      </c>
      <c r="D10246" s="139" t="s">
        <v>23633</v>
      </c>
    </row>
    <row r="10247" spans="1:4" x14ac:dyDescent="0.25">
      <c r="A10247" s="139" t="s">
        <v>23634</v>
      </c>
      <c r="B10247" s="139" t="s">
        <v>23632</v>
      </c>
      <c r="C10247" s="139" t="s">
        <v>123</v>
      </c>
      <c r="D10247" s="139" t="s">
        <v>23635</v>
      </c>
    </row>
    <row r="10248" spans="1:4" x14ac:dyDescent="0.25">
      <c r="A10248" s="139" t="s">
        <v>23636</v>
      </c>
      <c r="B10248" s="139" t="s">
        <v>13803</v>
      </c>
      <c r="C10248" s="139" t="s">
        <v>123</v>
      </c>
      <c r="D10248" s="139" t="s">
        <v>23637</v>
      </c>
    </row>
    <row r="10249" spans="1:4" x14ac:dyDescent="0.25">
      <c r="A10249" s="139" t="s">
        <v>23638</v>
      </c>
      <c r="B10249" s="139" t="s">
        <v>13803</v>
      </c>
      <c r="C10249" s="139" t="s">
        <v>123</v>
      </c>
      <c r="D10249" s="139" t="s">
        <v>23639</v>
      </c>
    </row>
    <row r="10250" spans="1:4" x14ac:dyDescent="0.25">
      <c r="A10250" s="139" t="s">
        <v>23640</v>
      </c>
      <c r="B10250" s="139" t="s">
        <v>5457</v>
      </c>
      <c r="C10250" s="139" t="s">
        <v>123</v>
      </c>
      <c r="D10250" s="139" t="s">
        <v>23641</v>
      </c>
    </row>
    <row r="10251" spans="1:4" x14ac:dyDescent="0.25">
      <c r="A10251" s="139" t="s">
        <v>23642</v>
      </c>
      <c r="B10251" s="139" t="s">
        <v>5457</v>
      </c>
      <c r="C10251" s="139" t="s">
        <v>123</v>
      </c>
      <c r="D10251" s="139" t="s">
        <v>23643</v>
      </c>
    </row>
    <row r="10252" spans="1:4" x14ac:dyDescent="0.25">
      <c r="A10252" s="139" t="s">
        <v>23644</v>
      </c>
      <c r="B10252" s="139" t="s">
        <v>5269</v>
      </c>
      <c r="C10252" s="139" t="s">
        <v>65</v>
      </c>
      <c r="D10252" s="139" t="s">
        <v>23645</v>
      </c>
    </row>
    <row r="10253" spans="1:4" x14ac:dyDescent="0.25">
      <c r="A10253" s="139" t="s">
        <v>23646</v>
      </c>
      <c r="B10253" s="139" t="s">
        <v>5269</v>
      </c>
      <c r="C10253" s="139" t="s">
        <v>65</v>
      </c>
      <c r="D10253" s="139" t="s">
        <v>23647</v>
      </c>
    </row>
    <row r="10254" spans="1:4" x14ac:dyDescent="0.25">
      <c r="A10254" s="139" t="s">
        <v>23648</v>
      </c>
      <c r="B10254" s="139" t="s">
        <v>9921</v>
      </c>
      <c r="C10254" s="139" t="s">
        <v>2895</v>
      </c>
      <c r="D10254" s="139" t="s">
        <v>23649</v>
      </c>
    </row>
    <row r="10255" spans="1:4" x14ac:dyDescent="0.25">
      <c r="A10255" s="139" t="s">
        <v>23650</v>
      </c>
      <c r="B10255" s="139" t="s">
        <v>9921</v>
      </c>
      <c r="C10255" s="139" t="s">
        <v>2895</v>
      </c>
      <c r="D10255" s="139" t="s">
        <v>23651</v>
      </c>
    </row>
    <row r="10256" spans="1:4" x14ac:dyDescent="0.25">
      <c r="A10256" s="139" t="s">
        <v>23652</v>
      </c>
      <c r="B10256" s="139" t="s">
        <v>3877</v>
      </c>
      <c r="C10256" s="139" t="s">
        <v>2895</v>
      </c>
      <c r="D10256" s="139" t="s">
        <v>23653</v>
      </c>
    </row>
    <row r="10257" spans="1:4" x14ac:dyDescent="0.25">
      <c r="A10257" s="139" t="s">
        <v>23654</v>
      </c>
      <c r="B10257" s="139" t="s">
        <v>3877</v>
      </c>
      <c r="C10257" s="139" t="s">
        <v>2895</v>
      </c>
      <c r="D10257" s="139" t="s">
        <v>23655</v>
      </c>
    </row>
    <row r="10258" spans="1:4" x14ac:dyDescent="0.25">
      <c r="A10258" s="139" t="s">
        <v>23656</v>
      </c>
      <c r="B10258" s="139" t="s">
        <v>4054</v>
      </c>
      <c r="C10258" s="139" t="s">
        <v>5475</v>
      </c>
      <c r="D10258" s="139" t="s">
        <v>23657</v>
      </c>
    </row>
    <row r="10259" spans="1:4" x14ac:dyDescent="0.25">
      <c r="A10259" s="139" t="s">
        <v>23658</v>
      </c>
      <c r="B10259" s="139" t="s">
        <v>4054</v>
      </c>
      <c r="C10259" s="139" t="s">
        <v>5475</v>
      </c>
      <c r="D10259" s="139" t="s">
        <v>23659</v>
      </c>
    </row>
    <row r="10260" spans="1:4" x14ac:dyDescent="0.25">
      <c r="A10260" s="139" t="s">
        <v>23660</v>
      </c>
      <c r="B10260" s="139" t="s">
        <v>329</v>
      </c>
      <c r="C10260" s="139" t="s">
        <v>5475</v>
      </c>
      <c r="D10260" s="139" t="s">
        <v>23661</v>
      </c>
    </row>
    <row r="10261" spans="1:4" x14ac:dyDescent="0.25">
      <c r="A10261" s="139" t="s">
        <v>23662</v>
      </c>
      <c r="B10261" s="139" t="s">
        <v>329</v>
      </c>
      <c r="C10261" s="139" t="s">
        <v>5475</v>
      </c>
      <c r="D10261" s="139" t="s">
        <v>23663</v>
      </c>
    </row>
    <row r="10262" spans="1:4" x14ac:dyDescent="0.25">
      <c r="A10262" s="139" t="s">
        <v>23664</v>
      </c>
      <c r="B10262" s="139" t="s">
        <v>23527</v>
      </c>
      <c r="C10262" s="139" t="s">
        <v>5475</v>
      </c>
      <c r="D10262" s="139" t="s">
        <v>23665</v>
      </c>
    </row>
    <row r="10263" spans="1:4" x14ac:dyDescent="0.25">
      <c r="A10263" s="139" t="s">
        <v>23666</v>
      </c>
      <c r="B10263" s="139" t="s">
        <v>23527</v>
      </c>
      <c r="C10263" s="139" t="s">
        <v>5475</v>
      </c>
      <c r="D10263" s="139" t="s">
        <v>23667</v>
      </c>
    </row>
    <row r="10264" spans="1:4" x14ac:dyDescent="0.25">
      <c r="A10264" s="139" t="s">
        <v>23668</v>
      </c>
      <c r="B10264" s="139" t="s">
        <v>2455</v>
      </c>
      <c r="C10264" s="139" t="s">
        <v>658</v>
      </c>
      <c r="D10264" s="139" t="s">
        <v>23669</v>
      </c>
    </row>
    <row r="10265" spans="1:4" x14ac:dyDescent="0.25">
      <c r="A10265" s="139" t="s">
        <v>23670</v>
      </c>
      <c r="B10265" s="139" t="s">
        <v>2455</v>
      </c>
      <c r="C10265" s="139" t="s">
        <v>658</v>
      </c>
      <c r="D10265" s="139" t="s">
        <v>23671</v>
      </c>
    </row>
    <row r="10266" spans="1:4" x14ac:dyDescent="0.25">
      <c r="A10266" s="139" t="s">
        <v>23672</v>
      </c>
      <c r="B10266" s="139" t="s">
        <v>23673</v>
      </c>
      <c r="C10266" s="139" t="s">
        <v>658</v>
      </c>
      <c r="D10266" s="139" t="s">
        <v>23674</v>
      </c>
    </row>
    <row r="10267" spans="1:4" x14ac:dyDescent="0.25">
      <c r="A10267" s="139" t="s">
        <v>23675</v>
      </c>
      <c r="B10267" s="139" t="s">
        <v>23673</v>
      </c>
      <c r="C10267" s="139" t="s">
        <v>658</v>
      </c>
      <c r="D10267" s="139" t="s">
        <v>23676</v>
      </c>
    </row>
    <row r="10268" spans="1:4" x14ac:dyDescent="0.25">
      <c r="A10268" s="139" t="s">
        <v>23677</v>
      </c>
      <c r="B10268" s="139" t="s">
        <v>23678</v>
      </c>
      <c r="C10268" s="139" t="s">
        <v>658</v>
      </c>
      <c r="D10268" s="139" t="s">
        <v>23679</v>
      </c>
    </row>
    <row r="10269" spans="1:4" x14ac:dyDescent="0.25">
      <c r="A10269" s="139" t="s">
        <v>23680</v>
      </c>
      <c r="B10269" s="139" t="s">
        <v>23678</v>
      </c>
      <c r="C10269" s="139" t="s">
        <v>658</v>
      </c>
      <c r="D10269" s="139" t="s">
        <v>23681</v>
      </c>
    </row>
    <row r="10270" spans="1:4" x14ac:dyDescent="0.25">
      <c r="A10270" s="139" t="s">
        <v>23682</v>
      </c>
      <c r="B10270" s="139" t="s">
        <v>23683</v>
      </c>
      <c r="C10270" s="139" t="s">
        <v>658</v>
      </c>
      <c r="D10270" s="139" t="s">
        <v>23684</v>
      </c>
    </row>
    <row r="10271" spans="1:4" x14ac:dyDescent="0.25">
      <c r="A10271" s="139" t="s">
        <v>23685</v>
      </c>
      <c r="B10271" s="139" t="s">
        <v>23683</v>
      </c>
      <c r="C10271" s="139" t="s">
        <v>658</v>
      </c>
      <c r="D10271" s="139" t="s">
        <v>23686</v>
      </c>
    </row>
    <row r="10272" spans="1:4" x14ac:dyDescent="0.25">
      <c r="A10272" s="139" t="s">
        <v>23687</v>
      </c>
      <c r="B10272" s="139" t="s">
        <v>23514</v>
      </c>
      <c r="C10272" s="139" t="s">
        <v>658</v>
      </c>
      <c r="D10272" s="139" t="s">
        <v>23688</v>
      </c>
    </row>
    <row r="10273" spans="1:4" x14ac:dyDescent="0.25">
      <c r="A10273" s="139" t="s">
        <v>23689</v>
      </c>
      <c r="B10273" s="139" t="s">
        <v>23514</v>
      </c>
      <c r="C10273" s="139" t="s">
        <v>658</v>
      </c>
      <c r="D10273" s="139" t="s">
        <v>23690</v>
      </c>
    </row>
    <row r="10274" spans="1:4" x14ac:dyDescent="0.25">
      <c r="A10274" s="139" t="s">
        <v>23691</v>
      </c>
      <c r="B10274" s="139" t="s">
        <v>335</v>
      </c>
      <c r="C10274" s="139" t="s">
        <v>127</v>
      </c>
      <c r="D10274" s="139" t="s">
        <v>23692</v>
      </c>
    </row>
    <row r="10275" spans="1:4" x14ac:dyDescent="0.25">
      <c r="A10275" s="139" t="s">
        <v>23693</v>
      </c>
      <c r="B10275" s="139" t="s">
        <v>335</v>
      </c>
      <c r="C10275" s="139" t="s">
        <v>127</v>
      </c>
      <c r="D10275" s="139" t="s">
        <v>23694</v>
      </c>
    </row>
    <row r="10276" spans="1:4" x14ac:dyDescent="0.25">
      <c r="A10276" s="139" t="s">
        <v>23695</v>
      </c>
      <c r="B10276" s="139" t="s">
        <v>332</v>
      </c>
      <c r="C10276" s="139" t="s">
        <v>127</v>
      </c>
      <c r="D10276" s="139" t="s">
        <v>23696</v>
      </c>
    </row>
    <row r="10277" spans="1:4" x14ac:dyDescent="0.25">
      <c r="A10277" s="139" t="s">
        <v>23697</v>
      </c>
      <c r="B10277" s="139" t="s">
        <v>332</v>
      </c>
      <c r="C10277" s="139" t="s">
        <v>127</v>
      </c>
      <c r="D10277" s="139" t="s">
        <v>23698</v>
      </c>
    </row>
    <row r="10278" spans="1:4" x14ac:dyDescent="0.25">
      <c r="A10278" s="139" t="s">
        <v>23699</v>
      </c>
      <c r="B10278" s="139" t="s">
        <v>326</v>
      </c>
      <c r="C10278" s="139" t="s">
        <v>127</v>
      </c>
      <c r="D10278" s="139" t="s">
        <v>23700</v>
      </c>
    </row>
    <row r="10279" spans="1:4" x14ac:dyDescent="0.25">
      <c r="A10279" s="139" t="s">
        <v>23701</v>
      </c>
      <c r="B10279" s="139" t="s">
        <v>326</v>
      </c>
      <c r="C10279" s="139" t="s">
        <v>127</v>
      </c>
      <c r="D10279" s="139" t="s">
        <v>23702</v>
      </c>
    </row>
    <row r="10280" spans="1:4" x14ac:dyDescent="0.25">
      <c r="A10280" s="139" t="s">
        <v>23703</v>
      </c>
      <c r="B10280" s="139" t="s">
        <v>23704</v>
      </c>
      <c r="C10280" s="139" t="s">
        <v>123</v>
      </c>
      <c r="D10280" s="139" t="s">
        <v>23705</v>
      </c>
    </row>
    <row r="10281" spans="1:4" x14ac:dyDescent="0.25">
      <c r="A10281" s="139" t="s">
        <v>23706</v>
      </c>
      <c r="B10281" s="139" t="s">
        <v>23704</v>
      </c>
      <c r="C10281" s="139" t="s">
        <v>123</v>
      </c>
      <c r="D10281" s="139" t="s">
        <v>23707</v>
      </c>
    </row>
    <row r="10282" spans="1:4" x14ac:dyDescent="0.25">
      <c r="A10282" s="139" t="s">
        <v>23708</v>
      </c>
      <c r="B10282" s="139" t="s">
        <v>23709</v>
      </c>
      <c r="C10282" s="139" t="s">
        <v>123</v>
      </c>
      <c r="D10282" s="139" t="s">
        <v>23710</v>
      </c>
    </row>
    <row r="10283" spans="1:4" x14ac:dyDescent="0.25">
      <c r="A10283" s="139" t="s">
        <v>23711</v>
      </c>
      <c r="B10283" s="139" t="s">
        <v>23709</v>
      </c>
      <c r="C10283" s="139" t="s">
        <v>123</v>
      </c>
      <c r="D10283" s="139" t="s">
        <v>23712</v>
      </c>
    </row>
    <row r="10284" spans="1:4" x14ac:dyDescent="0.25">
      <c r="A10284" s="139" t="s">
        <v>23713</v>
      </c>
      <c r="B10284" s="139" t="s">
        <v>4049</v>
      </c>
      <c r="C10284" s="139" t="s">
        <v>123</v>
      </c>
      <c r="D10284" s="139" t="s">
        <v>23714</v>
      </c>
    </row>
    <row r="10285" spans="1:4" x14ac:dyDescent="0.25">
      <c r="A10285" s="139" t="s">
        <v>23715</v>
      </c>
      <c r="B10285" s="139" t="s">
        <v>4049</v>
      </c>
      <c r="C10285" s="139" t="s">
        <v>123</v>
      </c>
      <c r="D10285" s="139" t="s">
        <v>23716</v>
      </c>
    </row>
    <row r="10286" spans="1:4" x14ac:dyDescent="0.25">
      <c r="A10286" s="139" t="s">
        <v>23717</v>
      </c>
      <c r="B10286" s="139" t="s">
        <v>23718</v>
      </c>
      <c r="C10286" s="139" t="s">
        <v>123</v>
      </c>
      <c r="D10286" s="139" t="s">
        <v>23719</v>
      </c>
    </row>
    <row r="10287" spans="1:4" x14ac:dyDescent="0.25">
      <c r="A10287" s="139" t="s">
        <v>23720</v>
      </c>
      <c r="B10287" s="139" t="s">
        <v>23718</v>
      </c>
      <c r="C10287" s="139" t="s">
        <v>123</v>
      </c>
      <c r="D10287" s="139" t="s">
        <v>23721</v>
      </c>
    </row>
    <row r="10288" spans="1:4" x14ac:dyDescent="0.25">
      <c r="A10288" s="139" t="s">
        <v>23722</v>
      </c>
      <c r="B10288" s="139" t="s">
        <v>23723</v>
      </c>
      <c r="C10288" s="139" t="s">
        <v>123</v>
      </c>
      <c r="D10288" s="139" t="s">
        <v>23724</v>
      </c>
    </row>
    <row r="10289" spans="1:4" x14ac:dyDescent="0.25">
      <c r="A10289" s="139" t="s">
        <v>23725</v>
      </c>
      <c r="B10289" s="139" t="s">
        <v>23723</v>
      </c>
      <c r="C10289" s="139" t="s">
        <v>123</v>
      </c>
      <c r="D10289" s="139" t="s">
        <v>23726</v>
      </c>
    </row>
    <row r="10290" spans="1:4" x14ac:dyDescent="0.25">
      <c r="A10290" s="139" t="s">
        <v>23727</v>
      </c>
      <c r="B10290" s="139" t="s">
        <v>5900</v>
      </c>
      <c r="C10290" s="139" t="s">
        <v>123</v>
      </c>
      <c r="D10290" s="139" t="s">
        <v>23728</v>
      </c>
    </row>
    <row r="10291" spans="1:4" x14ac:dyDescent="0.25">
      <c r="A10291" s="139" t="s">
        <v>23729</v>
      </c>
      <c r="B10291" s="139" t="s">
        <v>5900</v>
      </c>
      <c r="C10291" s="139" t="s">
        <v>123</v>
      </c>
      <c r="D10291" s="139" t="s">
        <v>23730</v>
      </c>
    </row>
    <row r="10292" spans="1:4" x14ac:dyDescent="0.25">
      <c r="A10292" s="139" t="s">
        <v>23731</v>
      </c>
      <c r="B10292" s="139" t="s">
        <v>23732</v>
      </c>
      <c r="C10292" s="139" t="s">
        <v>123</v>
      </c>
      <c r="D10292" s="139" t="s">
        <v>23733</v>
      </c>
    </row>
    <row r="10293" spans="1:4" x14ac:dyDescent="0.25">
      <c r="A10293" s="139" t="s">
        <v>23734</v>
      </c>
      <c r="B10293" s="139" t="s">
        <v>23732</v>
      </c>
      <c r="C10293" s="139" t="s">
        <v>123</v>
      </c>
      <c r="D10293" s="139" t="s">
        <v>23735</v>
      </c>
    </row>
    <row r="10294" spans="1:4" x14ac:dyDescent="0.25">
      <c r="A10294" s="139" t="s">
        <v>23736</v>
      </c>
      <c r="B10294" s="139" t="s">
        <v>201</v>
      </c>
      <c r="C10294" s="139" t="s">
        <v>123</v>
      </c>
      <c r="D10294" s="139" t="s">
        <v>23737</v>
      </c>
    </row>
    <row r="10295" spans="1:4" x14ac:dyDescent="0.25">
      <c r="A10295" s="139" t="s">
        <v>23738</v>
      </c>
      <c r="B10295" s="139" t="s">
        <v>201</v>
      </c>
      <c r="C10295" s="139" t="s">
        <v>123</v>
      </c>
      <c r="D10295" s="139" t="s">
        <v>23739</v>
      </c>
    </row>
    <row r="10296" spans="1:4" x14ac:dyDescent="0.25">
      <c r="A10296" s="139" t="s">
        <v>23740</v>
      </c>
      <c r="B10296" s="139" t="s">
        <v>4558</v>
      </c>
      <c r="C10296" s="139" t="s">
        <v>123</v>
      </c>
      <c r="D10296" s="139" t="s">
        <v>23741</v>
      </c>
    </row>
    <row r="10297" spans="1:4" x14ac:dyDescent="0.25">
      <c r="A10297" s="139" t="s">
        <v>23742</v>
      </c>
      <c r="B10297" s="139" t="s">
        <v>4558</v>
      </c>
      <c r="C10297" s="139" t="s">
        <v>123</v>
      </c>
      <c r="D10297" s="139" t="s">
        <v>23743</v>
      </c>
    </row>
    <row r="10298" spans="1:4" x14ac:dyDescent="0.25">
      <c r="A10298" s="139" t="s">
        <v>23744</v>
      </c>
      <c r="B10298" s="139" t="s">
        <v>1394</v>
      </c>
      <c r="C10298" s="139" t="s">
        <v>123</v>
      </c>
      <c r="D10298" s="139" t="s">
        <v>23745</v>
      </c>
    </row>
    <row r="10299" spans="1:4" x14ac:dyDescent="0.25">
      <c r="A10299" s="139" t="s">
        <v>23746</v>
      </c>
      <c r="B10299" s="139" t="s">
        <v>1394</v>
      </c>
      <c r="C10299" s="139" t="s">
        <v>123</v>
      </c>
      <c r="D10299" s="139" t="s">
        <v>23747</v>
      </c>
    </row>
    <row r="10300" spans="1:4" x14ac:dyDescent="0.25">
      <c r="A10300" s="139" t="s">
        <v>23748</v>
      </c>
      <c r="B10300" s="139" t="s">
        <v>4304</v>
      </c>
      <c r="C10300" s="139" t="s">
        <v>123</v>
      </c>
      <c r="D10300" s="139" t="s">
        <v>23749</v>
      </c>
    </row>
    <row r="10301" spans="1:4" x14ac:dyDescent="0.25">
      <c r="A10301" s="139" t="s">
        <v>23750</v>
      </c>
      <c r="B10301" s="139" t="s">
        <v>4304</v>
      </c>
      <c r="C10301" s="139" t="s">
        <v>123</v>
      </c>
      <c r="D10301" s="139" t="s">
        <v>23751</v>
      </c>
    </row>
    <row r="10302" spans="1:4" x14ac:dyDescent="0.25">
      <c r="A10302" s="139" t="s">
        <v>23752</v>
      </c>
      <c r="B10302" s="139" t="s">
        <v>5259</v>
      </c>
      <c r="C10302" s="139" t="s">
        <v>123</v>
      </c>
      <c r="D10302" s="139" t="s">
        <v>23753</v>
      </c>
    </row>
    <row r="10303" spans="1:4" x14ac:dyDescent="0.25">
      <c r="A10303" s="139" t="s">
        <v>23754</v>
      </c>
      <c r="B10303" s="139" t="s">
        <v>5259</v>
      </c>
      <c r="C10303" s="139" t="s">
        <v>123</v>
      </c>
      <c r="D10303" s="139" t="s">
        <v>23755</v>
      </c>
    </row>
    <row r="10304" spans="1:4" x14ac:dyDescent="0.25">
      <c r="A10304" s="139" t="s">
        <v>23756</v>
      </c>
      <c r="B10304" s="139" t="s">
        <v>106</v>
      </c>
      <c r="C10304" s="139" t="s">
        <v>123</v>
      </c>
      <c r="D10304" s="139" t="s">
        <v>23757</v>
      </c>
    </row>
    <row r="10305" spans="1:4" x14ac:dyDescent="0.25">
      <c r="A10305" s="139" t="s">
        <v>23758</v>
      </c>
      <c r="B10305" s="139" t="s">
        <v>106</v>
      </c>
      <c r="C10305" s="139" t="s">
        <v>123</v>
      </c>
      <c r="D10305" s="139" t="s">
        <v>23759</v>
      </c>
    </row>
    <row r="10306" spans="1:4" x14ac:dyDescent="0.25">
      <c r="A10306" s="139" t="s">
        <v>23760</v>
      </c>
      <c r="B10306" s="139" t="s">
        <v>15905</v>
      </c>
      <c r="C10306" s="139" t="s">
        <v>123</v>
      </c>
      <c r="D10306" s="139" t="s">
        <v>23761</v>
      </c>
    </row>
    <row r="10307" spans="1:4" x14ac:dyDescent="0.25">
      <c r="A10307" s="139" t="s">
        <v>23762</v>
      </c>
      <c r="B10307" s="139" t="s">
        <v>15905</v>
      </c>
      <c r="C10307" s="139" t="s">
        <v>123</v>
      </c>
      <c r="D10307" s="139" t="s">
        <v>23763</v>
      </c>
    </row>
    <row r="10308" spans="1:4" x14ac:dyDescent="0.25">
      <c r="A10308" s="139" t="s">
        <v>23764</v>
      </c>
      <c r="B10308" s="139" t="s">
        <v>23765</v>
      </c>
      <c r="C10308" s="139" t="s">
        <v>123</v>
      </c>
      <c r="D10308" s="139" t="s">
        <v>23766</v>
      </c>
    </row>
    <row r="10309" spans="1:4" x14ac:dyDescent="0.25">
      <c r="A10309" s="139" t="s">
        <v>23767</v>
      </c>
      <c r="B10309" s="139" t="s">
        <v>23765</v>
      </c>
      <c r="C10309" s="139" t="s">
        <v>123</v>
      </c>
      <c r="D10309" s="139" t="s">
        <v>23768</v>
      </c>
    </row>
    <row r="10310" spans="1:4" x14ac:dyDescent="0.25">
      <c r="A10310" s="139" t="s">
        <v>23769</v>
      </c>
      <c r="B10310" s="139" t="s">
        <v>23770</v>
      </c>
      <c r="C10310" s="139" t="s">
        <v>123</v>
      </c>
      <c r="D10310" s="139" t="s">
        <v>23771</v>
      </c>
    </row>
    <row r="10311" spans="1:4" x14ac:dyDescent="0.25">
      <c r="A10311" s="139" t="s">
        <v>23772</v>
      </c>
      <c r="B10311" s="139" t="s">
        <v>23770</v>
      </c>
      <c r="C10311" s="139" t="s">
        <v>123</v>
      </c>
      <c r="D10311" s="139" t="s">
        <v>23773</v>
      </c>
    </row>
    <row r="10312" spans="1:4" x14ac:dyDescent="0.25">
      <c r="A10312" s="139" t="s">
        <v>23774</v>
      </c>
      <c r="B10312" s="139" t="s">
        <v>23775</v>
      </c>
      <c r="C10312" s="139" t="s">
        <v>123</v>
      </c>
      <c r="D10312" s="139" t="s">
        <v>23776</v>
      </c>
    </row>
    <row r="10313" spans="1:4" x14ac:dyDescent="0.25">
      <c r="A10313" s="139" t="s">
        <v>23777</v>
      </c>
      <c r="B10313" s="139" t="s">
        <v>23775</v>
      </c>
      <c r="C10313" s="139" t="s">
        <v>123</v>
      </c>
      <c r="D10313" s="139" t="s">
        <v>23778</v>
      </c>
    </row>
    <row r="10314" spans="1:4" x14ac:dyDescent="0.25">
      <c r="A10314" s="139" t="s">
        <v>23779</v>
      </c>
      <c r="B10314" s="139" t="s">
        <v>23780</v>
      </c>
      <c r="C10314" s="139" t="s">
        <v>123</v>
      </c>
      <c r="D10314" s="139" t="s">
        <v>23781</v>
      </c>
    </row>
    <row r="10315" spans="1:4" x14ac:dyDescent="0.25">
      <c r="A10315" s="139" t="s">
        <v>23782</v>
      </c>
      <c r="B10315" s="139" t="s">
        <v>23780</v>
      </c>
      <c r="C10315" s="139" t="s">
        <v>123</v>
      </c>
      <c r="D10315" s="139" t="s">
        <v>23783</v>
      </c>
    </row>
    <row r="10316" spans="1:4" x14ac:dyDescent="0.25">
      <c r="A10316" s="139" t="s">
        <v>23784</v>
      </c>
      <c r="B10316" s="139" t="s">
        <v>23704</v>
      </c>
      <c r="C10316" s="139" t="s">
        <v>123</v>
      </c>
      <c r="D10316" s="139" t="s">
        <v>23785</v>
      </c>
    </row>
    <row r="10317" spans="1:4" x14ac:dyDescent="0.25">
      <c r="A10317" s="139" t="s">
        <v>23786</v>
      </c>
      <c r="B10317" s="139" t="s">
        <v>23704</v>
      </c>
      <c r="C10317" s="139" t="s">
        <v>123</v>
      </c>
      <c r="D10317" s="139" t="s">
        <v>23787</v>
      </c>
    </row>
    <row r="10318" spans="1:4" x14ac:dyDescent="0.25">
      <c r="A10318" s="139" t="s">
        <v>23788</v>
      </c>
      <c r="B10318" s="139" t="s">
        <v>23709</v>
      </c>
      <c r="C10318" s="139" t="s">
        <v>123</v>
      </c>
      <c r="D10318" s="139" t="s">
        <v>23789</v>
      </c>
    </row>
    <row r="10319" spans="1:4" x14ac:dyDescent="0.25">
      <c r="A10319" s="139" t="s">
        <v>23790</v>
      </c>
      <c r="B10319" s="139" t="s">
        <v>23709</v>
      </c>
      <c r="C10319" s="139" t="s">
        <v>123</v>
      </c>
      <c r="D10319" s="139" t="s">
        <v>23791</v>
      </c>
    </row>
    <row r="10320" spans="1:4" x14ac:dyDescent="0.25">
      <c r="A10320" s="139" t="s">
        <v>23792</v>
      </c>
      <c r="B10320" s="139" t="s">
        <v>23718</v>
      </c>
      <c r="C10320" s="139" t="s">
        <v>123</v>
      </c>
      <c r="D10320" s="139" t="s">
        <v>23793</v>
      </c>
    </row>
    <row r="10321" spans="1:4" x14ac:dyDescent="0.25">
      <c r="A10321" s="139" t="s">
        <v>23794</v>
      </c>
      <c r="B10321" s="139" t="s">
        <v>23718</v>
      </c>
      <c r="C10321" s="139" t="s">
        <v>123</v>
      </c>
      <c r="D10321" s="139" t="s">
        <v>23795</v>
      </c>
    </row>
    <row r="10322" spans="1:4" x14ac:dyDescent="0.25">
      <c r="A10322" s="139" t="s">
        <v>23796</v>
      </c>
      <c r="B10322" s="139" t="s">
        <v>23723</v>
      </c>
      <c r="C10322" s="139" t="s">
        <v>123</v>
      </c>
      <c r="D10322" s="139" t="s">
        <v>23797</v>
      </c>
    </row>
    <row r="10323" spans="1:4" x14ac:dyDescent="0.25">
      <c r="A10323" s="139" t="s">
        <v>23798</v>
      </c>
      <c r="B10323" s="139" t="s">
        <v>23723</v>
      </c>
      <c r="C10323" s="139" t="s">
        <v>123</v>
      </c>
      <c r="D10323" s="139" t="s">
        <v>23799</v>
      </c>
    </row>
    <row r="10324" spans="1:4" x14ac:dyDescent="0.25">
      <c r="A10324" s="139" t="s">
        <v>23800</v>
      </c>
      <c r="B10324" s="139" t="s">
        <v>5900</v>
      </c>
      <c r="C10324" s="139" t="s">
        <v>123</v>
      </c>
      <c r="D10324" s="139" t="s">
        <v>23801</v>
      </c>
    </row>
    <row r="10325" spans="1:4" x14ac:dyDescent="0.25">
      <c r="A10325" s="139" t="s">
        <v>23802</v>
      </c>
      <c r="B10325" s="139" t="s">
        <v>5900</v>
      </c>
      <c r="C10325" s="139" t="s">
        <v>123</v>
      </c>
      <c r="D10325" s="139" t="s">
        <v>23803</v>
      </c>
    </row>
    <row r="10326" spans="1:4" x14ac:dyDescent="0.25">
      <c r="A10326" s="139" t="s">
        <v>23804</v>
      </c>
      <c r="B10326" s="139" t="s">
        <v>329</v>
      </c>
      <c r="C10326" s="139" t="s">
        <v>123</v>
      </c>
      <c r="D10326" s="139" t="s">
        <v>23805</v>
      </c>
    </row>
    <row r="10327" spans="1:4" x14ac:dyDescent="0.25">
      <c r="A10327" s="139" t="s">
        <v>23806</v>
      </c>
      <c r="B10327" s="139" t="s">
        <v>329</v>
      </c>
      <c r="C10327" s="139" t="s">
        <v>123</v>
      </c>
      <c r="D10327" s="139" t="s">
        <v>23807</v>
      </c>
    </row>
    <row r="10328" spans="1:4" x14ac:dyDescent="0.25">
      <c r="A10328" s="139" t="s">
        <v>23808</v>
      </c>
      <c r="B10328" s="139" t="s">
        <v>23809</v>
      </c>
      <c r="C10328" s="139" t="s">
        <v>112</v>
      </c>
      <c r="D10328" s="139" t="s">
        <v>23810</v>
      </c>
    </row>
    <row r="10329" spans="1:4" x14ac:dyDescent="0.25">
      <c r="A10329" s="139" t="s">
        <v>23811</v>
      </c>
      <c r="B10329" s="139" t="s">
        <v>23809</v>
      </c>
      <c r="C10329" s="139" t="s">
        <v>112</v>
      </c>
      <c r="D10329" s="139" t="s">
        <v>23812</v>
      </c>
    </row>
    <row r="10330" spans="1:4" x14ac:dyDescent="0.25">
      <c r="A10330" s="139" t="s">
        <v>23813</v>
      </c>
      <c r="B10330" s="139" t="s">
        <v>23814</v>
      </c>
      <c r="C10330" s="139" t="s">
        <v>112</v>
      </c>
      <c r="D10330" s="139" t="s">
        <v>23815</v>
      </c>
    </row>
    <row r="10331" spans="1:4" x14ac:dyDescent="0.25">
      <c r="A10331" s="139" t="s">
        <v>23816</v>
      </c>
      <c r="B10331" s="139" t="s">
        <v>23814</v>
      </c>
      <c r="C10331" s="139" t="s">
        <v>112</v>
      </c>
      <c r="D10331" s="139" t="s">
        <v>23817</v>
      </c>
    </row>
    <row r="10332" spans="1:4" x14ac:dyDescent="0.25">
      <c r="A10332" s="139" t="s">
        <v>23818</v>
      </c>
      <c r="B10332" s="139" t="s">
        <v>23819</v>
      </c>
      <c r="C10332" s="139" t="s">
        <v>112</v>
      </c>
      <c r="D10332" s="139" t="s">
        <v>23820</v>
      </c>
    </row>
    <row r="10333" spans="1:4" x14ac:dyDescent="0.25">
      <c r="A10333" s="139" t="s">
        <v>23821</v>
      </c>
      <c r="B10333" s="139" t="s">
        <v>23819</v>
      </c>
      <c r="C10333" s="139" t="s">
        <v>112</v>
      </c>
      <c r="D10333" s="139" t="s">
        <v>23822</v>
      </c>
    </row>
    <row r="10334" spans="1:4" x14ac:dyDescent="0.25">
      <c r="A10334" s="139" t="s">
        <v>23823</v>
      </c>
      <c r="B10334" s="139" t="s">
        <v>23824</v>
      </c>
      <c r="C10334" s="139" t="s">
        <v>112</v>
      </c>
      <c r="D10334" s="139" t="s">
        <v>23825</v>
      </c>
    </row>
    <row r="10335" spans="1:4" x14ac:dyDescent="0.25">
      <c r="A10335" s="139" t="s">
        <v>23826</v>
      </c>
      <c r="B10335" s="139" t="s">
        <v>23824</v>
      </c>
      <c r="C10335" s="139" t="s">
        <v>112</v>
      </c>
      <c r="D10335" s="139" t="s">
        <v>23827</v>
      </c>
    </row>
    <row r="10336" spans="1:4" x14ac:dyDescent="0.25">
      <c r="A10336" s="139" t="s">
        <v>23828</v>
      </c>
      <c r="B10336" s="139" t="s">
        <v>23829</v>
      </c>
      <c r="C10336" s="139" t="s">
        <v>112</v>
      </c>
      <c r="D10336" s="139" t="s">
        <v>23830</v>
      </c>
    </row>
    <row r="10337" spans="1:4" x14ac:dyDescent="0.25">
      <c r="A10337" s="139" t="s">
        <v>23831</v>
      </c>
      <c r="B10337" s="139" t="s">
        <v>23829</v>
      </c>
      <c r="C10337" s="139" t="s">
        <v>112</v>
      </c>
      <c r="D10337" s="139" t="s">
        <v>23832</v>
      </c>
    </row>
    <row r="10338" spans="1:4" x14ac:dyDescent="0.25">
      <c r="A10338" s="139" t="s">
        <v>23833</v>
      </c>
      <c r="B10338" s="139" t="s">
        <v>23834</v>
      </c>
      <c r="C10338" s="139" t="s">
        <v>112</v>
      </c>
      <c r="D10338" s="139" t="s">
        <v>23835</v>
      </c>
    </row>
    <row r="10339" spans="1:4" x14ac:dyDescent="0.25">
      <c r="A10339" s="139" t="s">
        <v>23836</v>
      </c>
      <c r="B10339" s="139" t="s">
        <v>23834</v>
      </c>
      <c r="C10339" s="139" t="s">
        <v>112</v>
      </c>
      <c r="D10339" s="139" t="s">
        <v>23837</v>
      </c>
    </row>
    <row r="10340" spans="1:4" x14ac:dyDescent="0.25">
      <c r="A10340" s="139" t="s">
        <v>23838</v>
      </c>
      <c r="B10340" s="139" t="s">
        <v>23839</v>
      </c>
      <c r="C10340" s="139" t="s">
        <v>112</v>
      </c>
      <c r="D10340" s="139" t="s">
        <v>23840</v>
      </c>
    </row>
    <row r="10341" spans="1:4" x14ac:dyDescent="0.25">
      <c r="A10341" s="139" t="s">
        <v>23841</v>
      </c>
      <c r="B10341" s="139" t="s">
        <v>23839</v>
      </c>
      <c r="C10341" s="139" t="s">
        <v>112</v>
      </c>
      <c r="D10341" s="139" t="s">
        <v>23842</v>
      </c>
    </row>
    <row r="10342" spans="1:4" x14ac:dyDescent="0.25">
      <c r="A10342" s="139" t="s">
        <v>23843</v>
      </c>
      <c r="B10342" s="139" t="s">
        <v>23844</v>
      </c>
      <c r="C10342" s="139" t="s">
        <v>123</v>
      </c>
      <c r="D10342" s="139" t="s">
        <v>23845</v>
      </c>
    </row>
    <row r="10343" spans="1:4" x14ac:dyDescent="0.25">
      <c r="A10343" s="139" t="s">
        <v>23846</v>
      </c>
      <c r="B10343" s="139" t="s">
        <v>23844</v>
      </c>
      <c r="C10343" s="139" t="s">
        <v>123</v>
      </c>
      <c r="D10343" s="139" t="s">
        <v>23847</v>
      </c>
    </row>
    <row r="10344" spans="1:4" x14ac:dyDescent="0.25">
      <c r="A10344" s="139" t="s">
        <v>23848</v>
      </c>
      <c r="B10344" s="139" t="s">
        <v>23849</v>
      </c>
      <c r="C10344" s="139" t="s">
        <v>123</v>
      </c>
      <c r="D10344" s="139" t="s">
        <v>23850</v>
      </c>
    </row>
    <row r="10345" spans="1:4" x14ac:dyDescent="0.25">
      <c r="A10345" s="139" t="s">
        <v>23851</v>
      </c>
      <c r="B10345" s="139" t="s">
        <v>23849</v>
      </c>
      <c r="C10345" s="139" t="s">
        <v>123</v>
      </c>
      <c r="D10345" s="139" t="s">
        <v>23852</v>
      </c>
    </row>
    <row r="10346" spans="1:4" x14ac:dyDescent="0.25">
      <c r="A10346" s="139" t="s">
        <v>23853</v>
      </c>
      <c r="B10346" s="139" t="s">
        <v>23854</v>
      </c>
      <c r="C10346" s="139" t="s">
        <v>123</v>
      </c>
      <c r="D10346" s="139" t="s">
        <v>23855</v>
      </c>
    </row>
    <row r="10347" spans="1:4" x14ac:dyDescent="0.25">
      <c r="A10347" s="139" t="s">
        <v>23856</v>
      </c>
      <c r="B10347" s="139" t="s">
        <v>23854</v>
      </c>
      <c r="C10347" s="139" t="s">
        <v>123</v>
      </c>
      <c r="D10347" s="139" t="s">
        <v>23857</v>
      </c>
    </row>
    <row r="10348" spans="1:4" x14ac:dyDescent="0.25">
      <c r="A10348" t="s">
        <v>23858</v>
      </c>
      <c r="B10348" t="s">
        <v>23859</v>
      </c>
      <c r="C10348" t="s">
        <v>123</v>
      </c>
      <c r="D10348" t="s">
        <v>23860</v>
      </c>
    </row>
    <row r="10349" spans="1:4" x14ac:dyDescent="0.25">
      <c r="A10349" t="s">
        <v>23861</v>
      </c>
      <c r="B10349" t="s">
        <v>23859</v>
      </c>
      <c r="C10349" t="s">
        <v>123</v>
      </c>
      <c r="D10349" t="s">
        <v>23862</v>
      </c>
    </row>
    <row r="10350" spans="1:4" x14ac:dyDescent="0.25">
      <c r="A10350" t="s">
        <v>23863</v>
      </c>
      <c r="B10350" t="s">
        <v>23864</v>
      </c>
      <c r="C10350" t="s">
        <v>123</v>
      </c>
      <c r="D10350" t="s">
        <v>23865</v>
      </c>
    </row>
    <row r="10351" spans="1:4" x14ac:dyDescent="0.25">
      <c r="A10351" t="s">
        <v>23866</v>
      </c>
      <c r="B10351" t="s">
        <v>23864</v>
      </c>
      <c r="C10351" t="s">
        <v>123</v>
      </c>
      <c r="D10351" t="s">
        <v>23867</v>
      </c>
    </row>
    <row r="10352" spans="1:4" x14ac:dyDescent="0.25">
      <c r="A10352" t="s">
        <v>23868</v>
      </c>
      <c r="B10352" t="s">
        <v>23869</v>
      </c>
      <c r="C10352" t="s">
        <v>123</v>
      </c>
      <c r="D10352" t="s">
        <v>23870</v>
      </c>
    </row>
    <row r="10353" spans="1:4" x14ac:dyDescent="0.25">
      <c r="A10353" t="s">
        <v>23871</v>
      </c>
      <c r="B10353" t="s">
        <v>23869</v>
      </c>
      <c r="C10353" t="s">
        <v>123</v>
      </c>
      <c r="D10353" t="s">
        <v>23872</v>
      </c>
    </row>
    <row r="10354" spans="1:4" x14ac:dyDescent="0.25">
      <c r="A10354" t="s">
        <v>23873</v>
      </c>
      <c r="B10354" t="s">
        <v>11736</v>
      </c>
      <c r="C10354" t="s">
        <v>123</v>
      </c>
      <c r="D10354" t="s">
        <v>23874</v>
      </c>
    </row>
    <row r="10355" spans="1:4" x14ac:dyDescent="0.25">
      <c r="A10355" t="s">
        <v>23875</v>
      </c>
      <c r="B10355" t="s">
        <v>11736</v>
      </c>
      <c r="C10355" t="s">
        <v>123</v>
      </c>
      <c r="D10355" t="s">
        <v>23876</v>
      </c>
    </row>
    <row r="10356" spans="1:4" x14ac:dyDescent="0.25">
      <c r="A10356" t="s">
        <v>23877</v>
      </c>
      <c r="B10356" t="s">
        <v>332</v>
      </c>
      <c r="C10356" t="s">
        <v>123</v>
      </c>
      <c r="D10356" t="s">
        <v>23878</v>
      </c>
    </row>
    <row r="10357" spans="1:4" x14ac:dyDescent="0.25">
      <c r="A10357" t="s">
        <v>23879</v>
      </c>
      <c r="B10357" t="s">
        <v>332</v>
      </c>
      <c r="C10357" t="s">
        <v>123</v>
      </c>
      <c r="D10357" t="s">
        <v>23880</v>
      </c>
    </row>
    <row r="10358" spans="1:4" x14ac:dyDescent="0.25">
      <c r="A10358" t="s">
        <v>23881</v>
      </c>
      <c r="B10358" t="s">
        <v>23882</v>
      </c>
      <c r="C10358" t="s">
        <v>123</v>
      </c>
      <c r="D10358" t="s">
        <v>23883</v>
      </c>
    </row>
    <row r="10359" spans="1:4" x14ac:dyDescent="0.25">
      <c r="A10359" t="s">
        <v>23884</v>
      </c>
      <c r="B10359" t="s">
        <v>23882</v>
      </c>
      <c r="C10359" t="s">
        <v>123</v>
      </c>
      <c r="D10359" t="s">
        <v>23885</v>
      </c>
    </row>
    <row r="10360" spans="1:4" x14ac:dyDescent="0.25">
      <c r="A10360" t="s">
        <v>23886</v>
      </c>
      <c r="B10360" t="s">
        <v>23504</v>
      </c>
      <c r="C10360" t="s">
        <v>123</v>
      </c>
      <c r="D10360" t="s">
        <v>23887</v>
      </c>
    </row>
    <row r="10361" spans="1:4" x14ac:dyDescent="0.25">
      <c r="A10361" t="s">
        <v>23888</v>
      </c>
      <c r="B10361" t="s">
        <v>23504</v>
      </c>
      <c r="C10361" t="s">
        <v>123</v>
      </c>
      <c r="D10361" t="s">
        <v>23889</v>
      </c>
    </row>
    <row r="10362" spans="1:4" x14ac:dyDescent="0.25">
      <c r="A10362" t="s">
        <v>23890</v>
      </c>
      <c r="B10362" t="s">
        <v>5397</v>
      </c>
      <c r="C10362" t="s">
        <v>123</v>
      </c>
      <c r="D10362" t="s">
        <v>23891</v>
      </c>
    </row>
    <row r="10363" spans="1:4" x14ac:dyDescent="0.25">
      <c r="A10363" t="s">
        <v>23892</v>
      </c>
      <c r="B10363" t="s">
        <v>5397</v>
      </c>
      <c r="C10363" t="s">
        <v>123</v>
      </c>
      <c r="D10363" t="s">
        <v>23893</v>
      </c>
    </row>
    <row r="10364" spans="1:4" x14ac:dyDescent="0.25">
      <c r="A10364" t="s">
        <v>23894</v>
      </c>
      <c r="B10364" t="s">
        <v>4558</v>
      </c>
      <c r="C10364" t="s">
        <v>123</v>
      </c>
      <c r="D10364" t="s">
        <v>23895</v>
      </c>
    </row>
    <row r="10365" spans="1:4" x14ac:dyDescent="0.25">
      <c r="A10365" t="s">
        <v>23896</v>
      </c>
      <c r="B10365" t="s">
        <v>4558</v>
      </c>
      <c r="C10365" t="s">
        <v>123</v>
      </c>
      <c r="D10365" t="s">
        <v>23897</v>
      </c>
    </row>
    <row r="10366" spans="1:4" x14ac:dyDescent="0.25">
      <c r="A10366" t="s">
        <v>23898</v>
      </c>
      <c r="B10366" t="s">
        <v>23899</v>
      </c>
      <c r="C10366" t="s">
        <v>123</v>
      </c>
      <c r="D10366" t="s">
        <v>23900</v>
      </c>
    </row>
    <row r="10367" spans="1:4" x14ac:dyDescent="0.25">
      <c r="A10367" t="s">
        <v>23901</v>
      </c>
      <c r="B10367" t="s">
        <v>23899</v>
      </c>
      <c r="C10367" t="s">
        <v>123</v>
      </c>
      <c r="D10367" t="s">
        <v>23902</v>
      </c>
    </row>
    <row r="10368" spans="1:4" x14ac:dyDescent="0.25">
      <c r="A10368" t="s">
        <v>23903</v>
      </c>
      <c r="B10368" t="s">
        <v>23904</v>
      </c>
      <c r="C10368" t="s">
        <v>123</v>
      </c>
      <c r="D10368" t="s">
        <v>23905</v>
      </c>
    </row>
    <row r="10369" spans="1:4" x14ac:dyDescent="0.25">
      <c r="A10369" t="s">
        <v>23906</v>
      </c>
      <c r="B10369" t="s">
        <v>23904</v>
      </c>
      <c r="C10369" t="s">
        <v>123</v>
      </c>
      <c r="D10369" t="s">
        <v>23907</v>
      </c>
    </row>
    <row r="10370" spans="1:4" x14ac:dyDescent="0.25">
      <c r="A10370" t="s">
        <v>23908</v>
      </c>
      <c r="B10370" t="s">
        <v>23909</v>
      </c>
      <c r="C10370" t="s">
        <v>112</v>
      </c>
      <c r="D10370" t="s">
        <v>23910</v>
      </c>
    </row>
    <row r="10371" spans="1:4" x14ac:dyDescent="0.25">
      <c r="A10371" t="s">
        <v>23911</v>
      </c>
      <c r="B10371" t="s">
        <v>23912</v>
      </c>
      <c r="C10371" t="s">
        <v>112</v>
      </c>
      <c r="D10371" t="s">
        <v>23913</v>
      </c>
    </row>
    <row r="10372" spans="1:4" x14ac:dyDescent="0.25">
      <c r="A10372" t="s">
        <v>23914</v>
      </c>
      <c r="B10372" t="s">
        <v>23915</v>
      </c>
      <c r="C10372" t="s">
        <v>112</v>
      </c>
      <c r="D10372" t="s">
        <v>23916</v>
      </c>
    </row>
    <row r="10373" spans="1:4" x14ac:dyDescent="0.25">
      <c r="A10373" t="s">
        <v>23917</v>
      </c>
      <c r="B10373" t="s">
        <v>23918</v>
      </c>
      <c r="C10373" t="s">
        <v>112</v>
      </c>
      <c r="D10373" t="s">
        <v>23919</v>
      </c>
    </row>
    <row r="10374" spans="1:4" x14ac:dyDescent="0.25">
      <c r="A10374" t="s">
        <v>23920</v>
      </c>
      <c r="B10374" t="s">
        <v>23921</v>
      </c>
      <c r="C10374" t="s">
        <v>112</v>
      </c>
      <c r="D10374" t="s">
        <v>23922</v>
      </c>
    </row>
    <row r="10375" spans="1:4" x14ac:dyDescent="0.25">
      <c r="A10375" t="s">
        <v>23923</v>
      </c>
      <c r="B10375" t="s">
        <v>23924</v>
      </c>
      <c r="C10375" t="s">
        <v>112</v>
      </c>
      <c r="D10375" t="s">
        <v>23925</v>
      </c>
    </row>
    <row r="10376" spans="1:4" x14ac:dyDescent="0.25">
      <c r="A10376" t="s">
        <v>23926</v>
      </c>
      <c r="B10376" t="s">
        <v>23927</v>
      </c>
      <c r="C10376" t="s">
        <v>112</v>
      </c>
      <c r="D10376" t="s">
        <v>23928</v>
      </c>
    </row>
    <row r="10377" spans="1:4" x14ac:dyDescent="0.25">
      <c r="A10377" t="s">
        <v>23929</v>
      </c>
      <c r="B10377" t="s">
        <v>23930</v>
      </c>
      <c r="C10377" t="s">
        <v>112</v>
      </c>
      <c r="D10377" t="s">
        <v>23931</v>
      </c>
    </row>
    <row r="10378" spans="1:4" x14ac:dyDescent="0.25">
      <c r="A10378" t="s">
        <v>23932</v>
      </c>
      <c r="B10378" t="s">
        <v>23933</v>
      </c>
      <c r="C10378" t="s">
        <v>112</v>
      </c>
      <c r="D10378" t="s">
        <v>23934</v>
      </c>
    </row>
    <row r="10379" spans="1:4" x14ac:dyDescent="0.25">
      <c r="A10379" t="s">
        <v>23935</v>
      </c>
      <c r="B10379" t="s">
        <v>4039</v>
      </c>
      <c r="C10379" t="s">
        <v>65</v>
      </c>
      <c r="D10379" t="s">
        <v>23936</v>
      </c>
    </row>
    <row r="10380" spans="1:4" x14ac:dyDescent="0.25">
      <c r="A10380" t="s">
        <v>23937</v>
      </c>
      <c r="B10380" t="s">
        <v>4139</v>
      </c>
      <c r="C10380" t="s">
        <v>65</v>
      </c>
      <c r="D10380" t="s">
        <v>23938</v>
      </c>
    </row>
    <row r="10381" spans="1:4" x14ac:dyDescent="0.25">
      <c r="A10381" t="s">
        <v>23939</v>
      </c>
      <c r="B10381" t="s">
        <v>23940</v>
      </c>
      <c r="C10381" t="s">
        <v>65</v>
      </c>
      <c r="D10381" t="s">
        <v>23941</v>
      </c>
    </row>
    <row r="10382" spans="1:4" x14ac:dyDescent="0.25">
      <c r="A10382" t="s">
        <v>23942</v>
      </c>
      <c r="B10382" t="s">
        <v>23943</v>
      </c>
      <c r="C10382" t="s">
        <v>112</v>
      </c>
      <c r="D10382" t="s">
        <v>23944</v>
      </c>
    </row>
    <row r="10383" spans="1:4" x14ac:dyDescent="0.25">
      <c r="A10383" t="s">
        <v>23945</v>
      </c>
      <c r="B10383" t="s">
        <v>23946</v>
      </c>
      <c r="C10383" t="s">
        <v>112</v>
      </c>
      <c r="D10383" t="s">
        <v>23947</v>
      </c>
    </row>
    <row r="10384" spans="1:4" x14ac:dyDescent="0.25">
      <c r="A10384" t="s">
        <v>23948</v>
      </c>
      <c r="B10384" t="s">
        <v>23918</v>
      </c>
      <c r="C10384" t="s">
        <v>112</v>
      </c>
      <c r="D10384" t="s">
        <v>23949</v>
      </c>
    </row>
    <row r="10385" spans="1:4" x14ac:dyDescent="0.25">
      <c r="A10385" t="s">
        <v>23950</v>
      </c>
      <c r="B10385" t="s">
        <v>23921</v>
      </c>
      <c r="C10385" t="s">
        <v>112</v>
      </c>
      <c r="D10385" t="s">
        <v>23951</v>
      </c>
    </row>
    <row r="10386" spans="1:4" x14ac:dyDescent="0.25">
      <c r="A10386" t="s">
        <v>23952</v>
      </c>
      <c r="B10386" t="s">
        <v>23924</v>
      </c>
      <c r="C10386" t="s">
        <v>112</v>
      </c>
      <c r="D10386" t="s">
        <v>23953</v>
      </c>
    </row>
    <row r="10387" spans="1:4" x14ac:dyDescent="0.25">
      <c r="A10387" t="s">
        <v>23954</v>
      </c>
      <c r="B10387" t="s">
        <v>23909</v>
      </c>
      <c r="C10387" t="s">
        <v>112</v>
      </c>
      <c r="D10387" t="s">
        <v>23955</v>
      </c>
    </row>
    <row r="10388" spans="1:4" x14ac:dyDescent="0.25">
      <c r="A10388" t="s">
        <v>23956</v>
      </c>
      <c r="B10388" t="s">
        <v>23912</v>
      </c>
      <c r="C10388" t="s">
        <v>112</v>
      </c>
      <c r="D10388" t="s">
        <v>23957</v>
      </c>
    </row>
    <row r="10389" spans="1:4" x14ac:dyDescent="0.25">
      <c r="A10389" t="s">
        <v>23958</v>
      </c>
      <c r="B10389" t="s">
        <v>23915</v>
      </c>
      <c r="C10389" t="s">
        <v>112</v>
      </c>
      <c r="D10389" t="s">
        <v>23959</v>
      </c>
    </row>
    <row r="10390" spans="1:4" x14ac:dyDescent="0.25">
      <c r="A10390" t="s">
        <v>23960</v>
      </c>
      <c r="B10390" t="s">
        <v>23943</v>
      </c>
      <c r="C10390" t="s">
        <v>112</v>
      </c>
      <c r="D10390" t="s">
        <v>23961</v>
      </c>
    </row>
    <row r="10391" spans="1:4" x14ac:dyDescent="0.25">
      <c r="A10391" t="s">
        <v>23962</v>
      </c>
      <c r="B10391" t="s">
        <v>23946</v>
      </c>
      <c r="C10391" t="s">
        <v>112</v>
      </c>
      <c r="D10391" t="s">
        <v>23963</v>
      </c>
    </row>
    <row r="10392" spans="1:4" x14ac:dyDescent="0.25">
      <c r="A10392" t="s">
        <v>23964</v>
      </c>
      <c r="B10392" t="s">
        <v>23918</v>
      </c>
      <c r="C10392" t="s">
        <v>112</v>
      </c>
      <c r="D10392" t="s">
        <v>23965</v>
      </c>
    </row>
    <row r="10393" spans="1:4" x14ac:dyDescent="0.25">
      <c r="A10393" t="s">
        <v>23966</v>
      </c>
      <c r="B10393" t="s">
        <v>23921</v>
      </c>
      <c r="C10393" t="s">
        <v>112</v>
      </c>
      <c r="D10393" t="s">
        <v>23967</v>
      </c>
    </row>
    <row r="10394" spans="1:4" x14ac:dyDescent="0.25">
      <c r="A10394" t="s">
        <v>23968</v>
      </c>
      <c r="B10394" t="s">
        <v>23924</v>
      </c>
      <c r="C10394" t="s">
        <v>112</v>
      </c>
      <c r="D10394" t="s">
        <v>23969</v>
      </c>
    </row>
    <row r="10395" spans="1:4" x14ac:dyDescent="0.25">
      <c r="A10395" t="s">
        <v>23970</v>
      </c>
      <c r="B10395" t="s">
        <v>23927</v>
      </c>
      <c r="C10395" t="s">
        <v>112</v>
      </c>
      <c r="D10395" t="s">
        <v>23971</v>
      </c>
    </row>
    <row r="10396" spans="1:4" x14ac:dyDescent="0.25">
      <c r="A10396" t="s">
        <v>23972</v>
      </c>
      <c r="B10396" t="s">
        <v>23930</v>
      </c>
      <c r="C10396" t="s">
        <v>112</v>
      </c>
      <c r="D10396" t="s">
        <v>23973</v>
      </c>
    </row>
    <row r="10397" spans="1:4" x14ac:dyDescent="0.25">
      <c r="A10397" t="s">
        <v>23974</v>
      </c>
      <c r="B10397" t="s">
        <v>23933</v>
      </c>
      <c r="C10397" t="s">
        <v>112</v>
      </c>
      <c r="D10397" t="s">
        <v>23975</v>
      </c>
    </row>
    <row r="10398" spans="1:4" x14ac:dyDescent="0.25">
      <c r="A10398" t="s">
        <v>23976</v>
      </c>
      <c r="B10398" t="s">
        <v>4039</v>
      </c>
      <c r="C10398" t="s">
        <v>65</v>
      </c>
      <c r="D10398" t="s">
        <v>23977</v>
      </c>
    </row>
    <row r="10399" spans="1:4" x14ac:dyDescent="0.25">
      <c r="A10399" t="s">
        <v>23978</v>
      </c>
      <c r="B10399" t="s">
        <v>4139</v>
      </c>
      <c r="C10399" t="s">
        <v>65</v>
      </c>
      <c r="D10399" t="s">
        <v>23979</v>
      </c>
    </row>
    <row r="10400" spans="1:4" x14ac:dyDescent="0.25">
      <c r="A10400" t="s">
        <v>23980</v>
      </c>
      <c r="B10400" t="s">
        <v>23940</v>
      </c>
      <c r="C10400" t="s">
        <v>65</v>
      </c>
      <c r="D10400" t="s">
        <v>23981</v>
      </c>
    </row>
    <row r="10401" spans="1:4" x14ac:dyDescent="0.25">
      <c r="A10401" t="s">
        <v>23982</v>
      </c>
      <c r="B10401" t="s">
        <v>23918</v>
      </c>
      <c r="C10401" t="s">
        <v>112</v>
      </c>
      <c r="D10401" t="s">
        <v>23983</v>
      </c>
    </row>
    <row r="10402" spans="1:4" x14ac:dyDescent="0.25">
      <c r="A10402" t="s">
        <v>23984</v>
      </c>
      <c r="B10402" t="s">
        <v>23921</v>
      </c>
      <c r="C10402" t="s">
        <v>112</v>
      </c>
      <c r="D10402" t="s">
        <v>23985</v>
      </c>
    </row>
    <row r="10403" spans="1:4" x14ac:dyDescent="0.25">
      <c r="A10403" t="s">
        <v>23986</v>
      </c>
      <c r="B10403" t="s">
        <v>23924</v>
      </c>
      <c r="C10403" t="s">
        <v>112</v>
      </c>
      <c r="D10403" t="s">
        <v>23987</v>
      </c>
    </row>
    <row r="10404" spans="1:4" x14ac:dyDescent="0.25">
      <c r="A10404" t="s">
        <v>23988</v>
      </c>
      <c r="B10404" t="s">
        <v>2775</v>
      </c>
      <c r="C10404" t="s">
        <v>535</v>
      </c>
      <c r="D10404" t="s">
        <v>23989</v>
      </c>
    </row>
    <row r="10405" spans="1:4" x14ac:dyDescent="0.25">
      <c r="A10405" t="s">
        <v>23990</v>
      </c>
      <c r="B10405" t="s">
        <v>23991</v>
      </c>
      <c r="C10405" t="s">
        <v>535</v>
      </c>
      <c r="D10405" t="s">
        <v>23992</v>
      </c>
    </row>
    <row r="10406" spans="1:4" x14ac:dyDescent="0.25">
      <c r="A10406" t="s">
        <v>23993</v>
      </c>
      <c r="B10406" t="s">
        <v>248</v>
      </c>
      <c r="C10406" t="s">
        <v>535</v>
      </c>
      <c r="D10406" t="s">
        <v>23994</v>
      </c>
    </row>
    <row r="10407" spans="1:4" x14ac:dyDescent="0.25">
      <c r="A10407" t="s">
        <v>23995</v>
      </c>
      <c r="B10407" t="s">
        <v>740</v>
      </c>
      <c r="C10407" t="s">
        <v>535</v>
      </c>
      <c r="D10407" t="s">
        <v>23996</v>
      </c>
    </row>
    <row r="10408" spans="1:4" x14ac:dyDescent="0.25">
      <c r="A10408" t="s">
        <v>23997</v>
      </c>
      <c r="B10408" t="s">
        <v>172</v>
      </c>
      <c r="C10408" t="s">
        <v>33</v>
      </c>
      <c r="D10408" t="s">
        <v>23998</v>
      </c>
    </row>
    <row r="10409" spans="1:4" x14ac:dyDescent="0.25">
      <c r="A10409" t="s">
        <v>23999</v>
      </c>
      <c r="B10409" t="s">
        <v>2775</v>
      </c>
      <c r="C10409" t="s">
        <v>535</v>
      </c>
      <c r="D10409" t="s">
        <v>24000</v>
      </c>
    </row>
    <row r="10410" spans="1:4" x14ac:dyDescent="0.25">
      <c r="A10410" t="s">
        <v>24001</v>
      </c>
      <c r="B10410" t="s">
        <v>23991</v>
      </c>
      <c r="C10410" t="s">
        <v>535</v>
      </c>
      <c r="D10410" t="s">
        <v>24002</v>
      </c>
    </row>
    <row r="10411" spans="1:4" x14ac:dyDescent="0.25">
      <c r="A10411" t="s">
        <v>24003</v>
      </c>
      <c r="B10411" t="s">
        <v>248</v>
      </c>
      <c r="C10411" t="s">
        <v>535</v>
      </c>
      <c r="D10411" t="s">
        <v>24004</v>
      </c>
    </row>
    <row r="10412" spans="1:4" x14ac:dyDescent="0.25">
      <c r="A10412" t="s">
        <v>24005</v>
      </c>
      <c r="B10412" t="s">
        <v>740</v>
      </c>
      <c r="C10412" t="s">
        <v>535</v>
      </c>
      <c r="D10412" t="s">
        <v>24006</v>
      </c>
    </row>
    <row r="10413" spans="1:4" x14ac:dyDescent="0.25">
      <c r="A10413" t="s">
        <v>24007</v>
      </c>
      <c r="B10413" t="s">
        <v>172</v>
      </c>
      <c r="C10413" t="s">
        <v>33</v>
      </c>
      <c r="D10413" t="s">
        <v>24008</v>
      </c>
    </row>
    <row r="10414" spans="1:4" x14ac:dyDescent="0.25">
      <c r="A10414" t="s">
        <v>24009</v>
      </c>
      <c r="B10414" t="s">
        <v>310</v>
      </c>
      <c r="C10414" t="s">
        <v>33</v>
      </c>
      <c r="D10414" t="s">
        <v>24010</v>
      </c>
    </row>
    <row r="10415" spans="1:4" x14ac:dyDescent="0.25">
      <c r="A10415" t="s">
        <v>24011</v>
      </c>
      <c r="B10415" t="s">
        <v>4857</v>
      </c>
      <c r="C10415" t="s">
        <v>33</v>
      </c>
      <c r="D10415" t="s">
        <v>24012</v>
      </c>
    </row>
    <row r="10416" spans="1:4" x14ac:dyDescent="0.25">
      <c r="A10416" t="s">
        <v>24013</v>
      </c>
      <c r="B10416" t="s">
        <v>24014</v>
      </c>
      <c r="C10416" t="s">
        <v>65</v>
      </c>
      <c r="D10416" t="s">
        <v>24015</v>
      </c>
    </row>
    <row r="10417" spans="1:4" x14ac:dyDescent="0.25">
      <c r="A10417" t="s">
        <v>24016</v>
      </c>
      <c r="B10417" t="s">
        <v>24017</v>
      </c>
      <c r="C10417" t="s">
        <v>127</v>
      </c>
      <c r="D10417" t="s">
        <v>24018</v>
      </c>
    </row>
    <row r="10418" spans="1:4" x14ac:dyDescent="0.25">
      <c r="A10418" t="s">
        <v>24019</v>
      </c>
      <c r="B10418" t="s">
        <v>24020</v>
      </c>
      <c r="C10418" t="s">
        <v>65</v>
      </c>
      <c r="D10418" t="s">
        <v>24021</v>
      </c>
    </row>
    <row r="10419" spans="1:4" x14ac:dyDescent="0.25">
      <c r="A10419" t="s">
        <v>24022</v>
      </c>
      <c r="B10419" t="s">
        <v>310</v>
      </c>
      <c r="C10419" t="s">
        <v>33</v>
      </c>
      <c r="D10419" t="s">
        <v>24023</v>
      </c>
    </row>
    <row r="10420" spans="1:4" x14ac:dyDescent="0.25">
      <c r="A10420" t="s">
        <v>24024</v>
      </c>
      <c r="B10420" t="s">
        <v>4857</v>
      </c>
      <c r="C10420" t="s">
        <v>33</v>
      </c>
      <c r="D10420" t="s">
        <v>24025</v>
      </c>
    </row>
    <row r="10421" spans="1:4" x14ac:dyDescent="0.25">
      <c r="A10421" t="s">
        <v>24026</v>
      </c>
      <c r="B10421" t="s">
        <v>24014</v>
      </c>
      <c r="C10421" t="s">
        <v>65</v>
      </c>
      <c r="D10421" t="s">
        <v>24027</v>
      </c>
    </row>
    <row r="10422" spans="1:4" x14ac:dyDescent="0.25">
      <c r="A10422" t="s">
        <v>24028</v>
      </c>
      <c r="B10422" t="s">
        <v>24017</v>
      </c>
      <c r="C10422" t="s">
        <v>127</v>
      </c>
      <c r="D10422" t="s">
        <v>24029</v>
      </c>
    </row>
    <row r="10423" spans="1:4" x14ac:dyDescent="0.25">
      <c r="A10423" t="s">
        <v>24030</v>
      </c>
      <c r="B10423" t="s">
        <v>24020</v>
      </c>
      <c r="C10423" t="s">
        <v>65</v>
      </c>
      <c r="D10423" t="s">
        <v>24031</v>
      </c>
    </row>
    <row r="10424" spans="1:4" x14ac:dyDescent="0.25">
      <c r="A10424" t="s">
        <v>24032</v>
      </c>
      <c r="B10424" t="s">
        <v>24033</v>
      </c>
      <c r="C10424" t="s">
        <v>535</v>
      </c>
      <c r="D10424" t="s">
        <v>24034</v>
      </c>
    </row>
    <row r="10425" spans="1:4" x14ac:dyDescent="0.25">
      <c r="A10425" t="s">
        <v>24035</v>
      </c>
      <c r="B10425" t="s">
        <v>24033</v>
      </c>
      <c r="C10425" t="s">
        <v>535</v>
      </c>
      <c r="D10425" t="s">
        <v>24036</v>
      </c>
    </row>
    <row r="10426" spans="1:4" x14ac:dyDescent="0.25">
      <c r="A10426" t="s">
        <v>24037</v>
      </c>
      <c r="B10426" t="s">
        <v>538</v>
      </c>
      <c r="C10426" t="s">
        <v>65</v>
      </c>
      <c r="D10426" t="s">
        <v>24038</v>
      </c>
    </row>
    <row r="10427" spans="1:4" x14ac:dyDescent="0.25">
      <c r="A10427" t="s">
        <v>24039</v>
      </c>
      <c r="B10427" t="s">
        <v>24040</v>
      </c>
      <c r="C10427" t="s">
        <v>65</v>
      </c>
      <c r="D10427" t="s">
        <v>24041</v>
      </c>
    </row>
    <row r="10428" spans="1:4" x14ac:dyDescent="0.25">
      <c r="A10428" t="s">
        <v>24042</v>
      </c>
      <c r="B10428" t="s">
        <v>24043</v>
      </c>
      <c r="C10428" t="s">
        <v>65</v>
      </c>
      <c r="D10428" t="s">
        <v>24044</v>
      </c>
    </row>
    <row r="10429" spans="1:4" x14ac:dyDescent="0.25">
      <c r="A10429" t="s">
        <v>24045</v>
      </c>
      <c r="B10429" t="s">
        <v>24046</v>
      </c>
      <c r="C10429" t="s">
        <v>65</v>
      </c>
      <c r="D10429" t="s">
        <v>24047</v>
      </c>
    </row>
    <row r="10430" spans="1:4" x14ac:dyDescent="0.25">
      <c r="A10430" t="s">
        <v>24048</v>
      </c>
      <c r="B10430" t="s">
        <v>24049</v>
      </c>
      <c r="C10430" t="s">
        <v>65</v>
      </c>
      <c r="D10430" t="s">
        <v>24050</v>
      </c>
    </row>
    <row r="10431" spans="1:4" x14ac:dyDescent="0.25">
      <c r="A10431" t="s">
        <v>24051</v>
      </c>
      <c r="B10431" t="s">
        <v>24052</v>
      </c>
      <c r="C10431" t="s">
        <v>65</v>
      </c>
      <c r="D10431" t="s">
        <v>24053</v>
      </c>
    </row>
    <row r="10432" spans="1:4" x14ac:dyDescent="0.25">
      <c r="A10432" t="s">
        <v>24054</v>
      </c>
      <c r="B10432" t="s">
        <v>24055</v>
      </c>
      <c r="C10432" t="s">
        <v>65</v>
      </c>
      <c r="D10432" t="s">
        <v>24056</v>
      </c>
    </row>
    <row r="10433" spans="1:4" x14ac:dyDescent="0.25">
      <c r="A10433" t="s">
        <v>24057</v>
      </c>
      <c r="B10433" t="s">
        <v>538</v>
      </c>
      <c r="C10433" t="s">
        <v>65</v>
      </c>
      <c r="D10433" t="s">
        <v>24058</v>
      </c>
    </row>
    <row r="10434" spans="1:4" x14ac:dyDescent="0.25">
      <c r="A10434" t="s">
        <v>24059</v>
      </c>
      <c r="B10434" t="s">
        <v>24040</v>
      </c>
      <c r="C10434" t="s">
        <v>65</v>
      </c>
      <c r="D10434" t="s">
        <v>24060</v>
      </c>
    </row>
    <row r="10435" spans="1:4" x14ac:dyDescent="0.25">
      <c r="A10435" t="s">
        <v>24061</v>
      </c>
      <c r="B10435" t="s">
        <v>24043</v>
      </c>
      <c r="C10435" t="s">
        <v>65</v>
      </c>
      <c r="D10435" t="s">
        <v>24062</v>
      </c>
    </row>
    <row r="10436" spans="1:4" x14ac:dyDescent="0.25">
      <c r="A10436" t="s">
        <v>24063</v>
      </c>
      <c r="B10436" t="s">
        <v>24046</v>
      </c>
      <c r="C10436" t="s">
        <v>65</v>
      </c>
      <c r="D10436" t="s">
        <v>24064</v>
      </c>
    </row>
    <row r="10437" spans="1:4" x14ac:dyDescent="0.25">
      <c r="A10437" t="s">
        <v>24065</v>
      </c>
      <c r="B10437" t="s">
        <v>24049</v>
      </c>
      <c r="C10437" t="s">
        <v>65</v>
      </c>
      <c r="D10437" t="s">
        <v>24066</v>
      </c>
    </row>
    <row r="10438" spans="1:4" x14ac:dyDescent="0.25">
      <c r="A10438" t="s">
        <v>24067</v>
      </c>
      <c r="B10438" t="s">
        <v>24052</v>
      </c>
      <c r="C10438" t="s">
        <v>65</v>
      </c>
      <c r="D10438" t="s">
        <v>24068</v>
      </c>
    </row>
    <row r="10439" spans="1:4" x14ac:dyDescent="0.25">
      <c r="A10439" t="s">
        <v>24069</v>
      </c>
      <c r="B10439" t="s">
        <v>24055</v>
      </c>
      <c r="C10439" t="s">
        <v>65</v>
      </c>
      <c r="D10439" t="s">
        <v>24070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29DEC-33EB-44E4-9FD5-C0DDE3BD0E17}">
  <sheetPr>
    <pageSetUpPr fitToPage="1"/>
  </sheetPr>
  <dimension ref="A1:AL65"/>
  <sheetViews>
    <sheetView showGridLines="0" view="pageBreakPreview" topLeftCell="C2" zoomScaleNormal="100" zoomScaleSheetLayoutView="100" workbookViewId="0">
      <selection activeCell="C8" sqref="C8:C9"/>
    </sheetView>
  </sheetViews>
  <sheetFormatPr defaultColWidth="11.28515625" defaultRowHeight="12.75" x14ac:dyDescent="0.2"/>
  <cols>
    <col min="1" max="1" width="4.140625" style="69" customWidth="1"/>
    <col min="2" max="2" width="10.140625" style="60" customWidth="1"/>
    <col min="3" max="3" width="12.28515625" style="54" bestFit="1" customWidth="1"/>
    <col min="4" max="4" width="9.42578125" style="4" customWidth="1"/>
    <col min="5" max="5" width="7.85546875" style="57" customWidth="1"/>
    <col min="6" max="6" width="6.28515625" style="57" customWidth="1"/>
    <col min="7" max="7" width="7.85546875" style="57" customWidth="1"/>
    <col min="8" max="8" width="6.28515625" style="57" customWidth="1"/>
    <col min="9" max="9" width="12.42578125" style="57" customWidth="1"/>
    <col min="10" max="10" width="12.7109375" style="57" customWidth="1"/>
    <col min="11" max="13" width="8.42578125" style="57" customWidth="1"/>
    <col min="14" max="15" width="6.85546875" style="59" customWidth="1"/>
    <col min="16" max="17" width="6.42578125" style="59" customWidth="1"/>
    <col min="18" max="18" width="8.5703125" style="142" customWidth="1"/>
    <col min="19" max="19" width="7.85546875" style="150" customWidth="1"/>
    <col min="20" max="20" width="26.42578125" style="143" customWidth="1"/>
    <col min="21" max="22" width="9.28515625" style="59" customWidth="1"/>
    <col min="23" max="23" width="6.7109375" style="54" bestFit="1" customWidth="1"/>
    <col min="24" max="24" width="15" style="55" customWidth="1"/>
    <col min="25" max="25" width="5.7109375" style="19" customWidth="1"/>
    <col min="26" max="26" width="9.7109375" style="19" hidden="1" customWidth="1"/>
    <col min="27" max="27" width="11.28515625" style="19" hidden="1" customWidth="1"/>
    <col min="28" max="28" width="8.5703125" style="19" hidden="1" customWidth="1"/>
    <col min="29" max="29" width="10" style="19" hidden="1" customWidth="1"/>
    <col min="30" max="30" width="24.5703125" style="20" hidden="1" customWidth="1"/>
    <col min="31" max="31" width="14.5703125" style="21" hidden="1" customWidth="1"/>
    <col min="32" max="32" width="14.5703125" style="85" hidden="1" customWidth="1"/>
    <col min="33" max="33" width="14.5703125" style="77" hidden="1" customWidth="1"/>
    <col min="34" max="35" width="14.5703125" style="19" hidden="1" customWidth="1"/>
    <col min="36" max="38" width="0" style="19" hidden="1" customWidth="1"/>
    <col min="39" max="16384" width="11.28515625" style="19"/>
  </cols>
  <sheetData>
    <row r="1" spans="1:38" s="7" customFormat="1" ht="45.75" customHeight="1" x14ac:dyDescent="0.25">
      <c r="A1" s="1"/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6"/>
      <c r="O1" s="6"/>
      <c r="P1" s="6"/>
      <c r="Q1" s="6"/>
      <c r="R1" s="142"/>
      <c r="S1" s="141"/>
      <c r="T1" s="143"/>
      <c r="U1" s="377" t="s">
        <v>24071</v>
      </c>
      <c r="V1" s="377"/>
      <c r="W1" s="377"/>
      <c r="X1" s="377"/>
      <c r="AD1" s="8"/>
      <c r="AE1" s="9"/>
      <c r="AF1" s="84"/>
      <c r="AG1" s="76"/>
    </row>
    <row r="2" spans="1:38" s="7" customFormat="1" ht="27.75" customHeight="1" x14ac:dyDescent="0.2">
      <c r="A2" s="10"/>
      <c r="B2" s="11"/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2"/>
      <c r="O2" s="6"/>
      <c r="P2" s="6"/>
      <c r="Q2" s="6"/>
      <c r="R2" s="142"/>
      <c r="S2" s="141"/>
      <c r="T2" s="143"/>
      <c r="U2" s="81"/>
      <c r="V2" s="81"/>
      <c r="W2" s="11"/>
      <c r="X2" s="14"/>
      <c r="AD2" s="8"/>
      <c r="AE2" s="9"/>
      <c r="AF2" s="84"/>
      <c r="AG2" s="76"/>
    </row>
    <row r="3" spans="1:38" s="7" customFormat="1" ht="12.2" customHeight="1" x14ac:dyDescent="0.2">
      <c r="A3" s="10"/>
      <c r="B3" s="15" t="s">
        <v>24072</v>
      </c>
      <c r="C3" s="16"/>
      <c r="D3" s="16"/>
      <c r="E3" s="164"/>
      <c r="F3" s="5"/>
      <c r="G3" s="164"/>
      <c r="H3" s="5"/>
      <c r="I3" s="5"/>
      <c r="J3" s="5"/>
      <c r="K3" s="5"/>
      <c r="L3" s="5"/>
      <c r="M3" s="5"/>
      <c r="N3" s="6"/>
      <c r="O3" s="6"/>
      <c r="P3" s="6"/>
      <c r="Q3" s="6"/>
      <c r="R3" s="142"/>
      <c r="S3" s="141"/>
      <c r="T3" s="143"/>
      <c r="U3" s="82"/>
      <c r="V3" s="82"/>
      <c r="W3" s="17"/>
      <c r="X3" s="18"/>
      <c r="AD3" s="8"/>
      <c r="AE3" s="9"/>
      <c r="AF3" s="84"/>
      <c r="AG3" s="76"/>
    </row>
    <row r="4" spans="1:38" ht="19.5" customHeight="1" x14ac:dyDescent="0.3">
      <c r="A4" s="392" t="s">
        <v>1</v>
      </c>
      <c r="B4" s="392"/>
      <c r="C4" s="392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2"/>
      <c r="U4" s="392"/>
      <c r="V4" s="392"/>
      <c r="W4" s="392"/>
      <c r="X4" s="392"/>
    </row>
    <row r="5" spans="1:38" s="25" customFormat="1" ht="15.75" customHeight="1" x14ac:dyDescent="0.25">
      <c r="A5" s="22" t="s">
        <v>24073</v>
      </c>
      <c r="B5" s="23"/>
      <c r="C5" s="23"/>
      <c r="D5" s="23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144"/>
      <c r="S5" s="144"/>
      <c r="T5" s="145"/>
      <c r="U5" s="65"/>
      <c r="V5" s="65"/>
      <c r="W5" s="23"/>
      <c r="X5" s="24"/>
      <c r="AD5" s="26"/>
      <c r="AE5" s="27"/>
      <c r="AF5" s="86"/>
      <c r="AG5" s="78"/>
    </row>
    <row r="6" spans="1:38" s="25" customFormat="1" ht="16.5" customHeight="1" x14ac:dyDescent="0.25">
      <c r="A6" s="22" t="s">
        <v>24074</v>
      </c>
      <c r="B6" s="23"/>
      <c r="C6" s="23"/>
      <c r="D6" s="23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144"/>
      <c r="S6" s="144"/>
      <c r="T6" s="145"/>
      <c r="U6" s="65"/>
      <c r="V6" s="65"/>
      <c r="W6" s="23"/>
      <c r="X6" s="24"/>
      <c r="AD6" s="26"/>
      <c r="AE6" s="27"/>
      <c r="AF6" s="86"/>
      <c r="AG6" s="78"/>
    </row>
    <row r="7" spans="1:38" s="28" customFormat="1" ht="17.45" customHeight="1" x14ac:dyDescent="0.15">
      <c r="A7" s="367" t="s">
        <v>24075</v>
      </c>
      <c r="B7" s="389" t="s">
        <v>24076</v>
      </c>
      <c r="C7" s="389" t="s">
        <v>24077</v>
      </c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 t="s">
        <v>24078</v>
      </c>
      <c r="S7" s="389"/>
      <c r="T7" s="393" t="s">
        <v>24079</v>
      </c>
      <c r="U7" s="390" t="s">
        <v>24080</v>
      </c>
      <c r="V7" s="390" t="s">
        <v>24081</v>
      </c>
      <c r="W7" s="390" t="s">
        <v>24082</v>
      </c>
      <c r="X7" s="368" t="s">
        <v>24083</v>
      </c>
      <c r="Z7" s="373" t="s">
        <v>24084</v>
      </c>
      <c r="AA7" s="374" t="s">
        <v>24085</v>
      </c>
      <c r="AB7" s="374" t="s">
        <v>24086</v>
      </c>
      <c r="AC7" s="374" t="s">
        <v>24087</v>
      </c>
      <c r="AD7" s="29"/>
      <c r="AE7" s="30"/>
      <c r="AF7" s="87"/>
      <c r="AG7" s="79"/>
    </row>
    <row r="8" spans="1:38" s="28" customFormat="1" ht="24.75" customHeight="1" x14ac:dyDescent="0.15">
      <c r="A8" s="367"/>
      <c r="B8" s="389"/>
      <c r="C8" s="389" t="s">
        <v>24088</v>
      </c>
      <c r="D8" s="390" t="s">
        <v>24089</v>
      </c>
      <c r="E8" s="391" t="s">
        <v>24090</v>
      </c>
      <c r="F8" s="391"/>
      <c r="G8" s="391" t="s">
        <v>24091</v>
      </c>
      <c r="H8" s="391"/>
      <c r="I8" s="170" t="s">
        <v>24092</v>
      </c>
      <c r="J8" s="170" t="s">
        <v>24093</v>
      </c>
      <c r="K8" s="385" t="s">
        <v>24094</v>
      </c>
      <c r="L8" s="385" t="s">
        <v>24095</v>
      </c>
      <c r="M8" s="387" t="s">
        <v>24096</v>
      </c>
      <c r="N8" s="389" t="s">
        <v>24097</v>
      </c>
      <c r="O8" s="389"/>
      <c r="P8" s="389"/>
      <c r="Q8" s="389"/>
      <c r="R8" s="389"/>
      <c r="S8" s="389"/>
      <c r="T8" s="393"/>
      <c r="U8" s="390"/>
      <c r="V8" s="390"/>
      <c r="W8" s="390"/>
      <c r="X8" s="368"/>
      <c r="Z8" s="373"/>
      <c r="AA8" s="375"/>
      <c r="AB8" s="375"/>
      <c r="AC8" s="375"/>
      <c r="AD8" s="29"/>
      <c r="AE8" s="30"/>
      <c r="AF8" s="87"/>
      <c r="AG8" s="79"/>
    </row>
    <row r="9" spans="1:38" s="28" customFormat="1" ht="56.25" x14ac:dyDescent="0.15">
      <c r="A9" s="367"/>
      <c r="B9" s="389"/>
      <c r="C9" s="389"/>
      <c r="D9" s="390"/>
      <c r="E9" s="31" t="s">
        <v>24098</v>
      </c>
      <c r="F9" s="31" t="s">
        <v>24099</v>
      </c>
      <c r="G9" s="31" t="s">
        <v>24100</v>
      </c>
      <c r="H9" s="31" t="s">
        <v>24101</v>
      </c>
      <c r="I9" s="170" t="s">
        <v>24098</v>
      </c>
      <c r="J9" s="170" t="s">
        <v>24100</v>
      </c>
      <c r="K9" s="386"/>
      <c r="L9" s="386"/>
      <c r="M9" s="388"/>
      <c r="N9" s="32" t="s">
        <v>24102</v>
      </c>
      <c r="O9" s="32" t="s">
        <v>24103</v>
      </c>
      <c r="P9" s="32" t="s">
        <v>24104</v>
      </c>
      <c r="Q9" s="32" t="s">
        <v>24105</v>
      </c>
      <c r="R9" s="33" t="s">
        <v>24106</v>
      </c>
      <c r="S9" s="33" t="s">
        <v>24107</v>
      </c>
      <c r="T9" s="393"/>
      <c r="U9" s="390"/>
      <c r="V9" s="390"/>
      <c r="W9" s="390"/>
      <c r="X9" s="368"/>
      <c r="Y9" s="34"/>
      <c r="Z9" s="373"/>
      <c r="AA9" s="376"/>
      <c r="AB9" s="376"/>
      <c r="AC9" s="376"/>
      <c r="AD9" s="29"/>
      <c r="AE9" s="30"/>
      <c r="AF9" s="87"/>
      <c r="AG9" s="79"/>
    </row>
    <row r="10" spans="1:38" s="138" customFormat="1" ht="25.5" customHeight="1" x14ac:dyDescent="0.25">
      <c r="A10" s="35">
        <f t="shared" ref="A10:A40" si="0">ROW()-9</f>
        <v>1</v>
      </c>
      <c r="B10" s="382" t="s">
        <v>24108</v>
      </c>
      <c r="C10" s="36" t="s">
        <v>24109</v>
      </c>
      <c r="D10" s="36" t="s">
        <v>24110</v>
      </c>
      <c r="E10" s="165">
        <v>50</v>
      </c>
      <c r="F10" s="165">
        <v>0</v>
      </c>
      <c r="G10" s="83">
        <f>+AA10</f>
        <v>2.1276595744680851</v>
      </c>
      <c r="H10" s="165" t="s">
        <v>24111</v>
      </c>
      <c r="I10" s="165">
        <v>1106</v>
      </c>
      <c r="J10" s="165">
        <v>48</v>
      </c>
      <c r="K10" s="165">
        <f>I10-E10</f>
        <v>1056</v>
      </c>
      <c r="L10" s="83">
        <f>+J10-G10</f>
        <v>45.872340425531917</v>
      </c>
      <c r="M10" s="83" t="s">
        <v>24112</v>
      </c>
      <c r="N10" s="134" t="s">
        <v>24113</v>
      </c>
      <c r="O10" s="134" t="s">
        <v>24113</v>
      </c>
      <c r="P10" s="134" t="s">
        <v>24113</v>
      </c>
      <c r="Q10" s="134" t="s">
        <v>24114</v>
      </c>
      <c r="R10" s="146" t="s">
        <v>15</v>
      </c>
      <c r="S10" s="147" t="s">
        <v>24115</v>
      </c>
      <c r="T10" s="148" t="s">
        <v>24116</v>
      </c>
      <c r="U10" s="83" t="e">
        <f>+AF10</f>
        <v>#N/A</v>
      </c>
      <c r="V10" s="83" t="e">
        <f>+AG10</f>
        <v>#N/A</v>
      </c>
      <c r="W10" s="36" t="s">
        <v>24117</v>
      </c>
      <c r="X10" s="36" t="s">
        <v>24118</v>
      </c>
      <c r="Y10" s="34"/>
      <c r="Z10" s="140">
        <f>RIGHT(W10,2)-0.5</f>
        <v>23.5</v>
      </c>
      <c r="AA10" s="160">
        <f t="shared" ref="AA10:AA39" si="1">SUM(E10:F10)/Z10</f>
        <v>2.1276595744680851</v>
      </c>
      <c r="AB10" s="160">
        <f t="shared" ref="AB10:AB39" si="2">SUM(E10:F10)*0.9/Z10</f>
        <v>1.9148936170212767</v>
      </c>
      <c r="AC10" s="161">
        <f t="shared" ref="AC10:AC39" si="3">SUM(E10:F10)*1.1/Z10</f>
        <v>2.3404255319148941</v>
      </c>
      <c r="AD10" s="29" t="str">
        <f>"Thép cuộn cán nóng "&amp;C10&amp;" "&amp;D10</f>
        <v>Thép cuộn cán nóng 2.75x132Y SAE1006</v>
      </c>
      <c r="AE10" s="37" t="str">
        <f>VLOOKUP(AD10,mvt!A:D,4,0)</f>
        <v>1251121969953</v>
      </c>
      <c r="AF10" s="137" t="e">
        <f>VLOOKUP('Theo dõi thực tế'!AD10,'ort9'!A:B,2,0)</f>
        <v>#N/A</v>
      </c>
      <c r="AG10" s="30" t="e">
        <f>VLOOKUP(AD10,'ort9'!D:E,2,0)</f>
        <v>#N/A</v>
      </c>
      <c r="AI10" s="30">
        <f>(AC10-AB10)/2</f>
        <v>0.21276595744680871</v>
      </c>
      <c r="AJ10" s="163" t="s">
        <v>24119</v>
      </c>
      <c r="AK10" s="30">
        <f>ROUND(AI10,0)</f>
        <v>0</v>
      </c>
      <c r="AL10" s="138" t="str">
        <f>AJ10&amp;AK10</f>
        <v>±0</v>
      </c>
    </row>
    <row r="11" spans="1:38" s="138" customFormat="1" ht="24" customHeight="1" x14ac:dyDescent="0.25">
      <c r="A11" s="35">
        <f t="shared" si="0"/>
        <v>2</v>
      </c>
      <c r="B11" s="383"/>
      <c r="C11" s="36" t="s">
        <v>24120</v>
      </c>
      <c r="D11" s="36" t="s">
        <v>24110</v>
      </c>
      <c r="E11" s="165">
        <v>1000</v>
      </c>
      <c r="F11" s="165">
        <v>0</v>
      </c>
      <c r="G11" s="83">
        <f t="shared" ref="G11:G39" si="4">+AA11</f>
        <v>42.553191489361701</v>
      </c>
      <c r="H11" s="165" t="s">
        <v>24121</v>
      </c>
      <c r="I11" s="165">
        <v>1083</v>
      </c>
      <c r="J11" s="165">
        <v>47</v>
      </c>
      <c r="K11" s="165">
        <f>I11-E11</f>
        <v>83</v>
      </c>
      <c r="L11" s="83">
        <f>+J11-G11</f>
        <v>4.4468085106382986</v>
      </c>
      <c r="M11" s="83" t="s">
        <v>24112</v>
      </c>
      <c r="N11" s="134" t="s">
        <v>24113</v>
      </c>
      <c r="O11" s="134" t="s">
        <v>24113</v>
      </c>
      <c r="P11" s="134" t="s">
        <v>24113</v>
      </c>
      <c r="Q11" s="134" t="s">
        <v>24114</v>
      </c>
      <c r="R11" s="146" t="s">
        <v>15</v>
      </c>
      <c r="S11" s="147" t="s">
        <v>24115</v>
      </c>
      <c r="T11" s="148" t="s">
        <v>24122</v>
      </c>
      <c r="U11" s="83" t="e">
        <f t="shared" ref="U11:V39" si="5">+AF11</f>
        <v>#N/A</v>
      </c>
      <c r="V11" s="83" t="e">
        <f t="shared" si="5"/>
        <v>#N/A</v>
      </c>
      <c r="W11" s="36" t="s">
        <v>24117</v>
      </c>
      <c r="X11" s="36" t="s">
        <v>24118</v>
      </c>
      <c r="Y11" s="34"/>
      <c r="Z11" s="140">
        <f t="shared" ref="Z11:Z32" si="6">RIGHT(W11,2)-0.5</f>
        <v>23.5</v>
      </c>
      <c r="AA11" s="160">
        <f t="shared" si="1"/>
        <v>42.553191489361701</v>
      </c>
      <c r="AB11" s="160">
        <f t="shared" si="2"/>
        <v>38.297872340425535</v>
      </c>
      <c r="AC11" s="161">
        <f t="shared" si="3"/>
        <v>46.808510638297875</v>
      </c>
      <c r="AD11" s="29" t="str">
        <f t="shared" ref="AD11:AD40" si="7">"Thép cuộn cán nóng "&amp;C11&amp;" "&amp;D11</f>
        <v>Thép cuộn cán nóng 2.50x132Y SAE1006</v>
      </c>
      <c r="AE11" s="37" t="str">
        <f>VLOOKUP(AD11,mvt!A:D,4,0)</f>
        <v>1251121969939</v>
      </c>
      <c r="AF11" s="137" t="e">
        <f>VLOOKUP('Theo dõi thực tế'!AD11,'ort9'!A:B,2,0)</f>
        <v>#N/A</v>
      </c>
      <c r="AG11" s="30" t="e">
        <f>VLOOKUP(AD11,'ort9'!D:E,2,0)</f>
        <v>#N/A</v>
      </c>
      <c r="AI11" s="30">
        <f t="shared" ref="AI11:AI39" si="8">(AC11-AB11)/2</f>
        <v>4.2553191489361701</v>
      </c>
      <c r="AJ11" s="163" t="s">
        <v>24119</v>
      </c>
      <c r="AK11" s="30">
        <f t="shared" ref="AK11:AK39" si="9">ROUND(AI11,0)</f>
        <v>4</v>
      </c>
      <c r="AL11" s="138" t="str">
        <f t="shared" ref="AL11:AL39" si="10">AJ11&amp;AK11</f>
        <v>±4</v>
      </c>
    </row>
    <row r="12" spans="1:38" s="138" customFormat="1" ht="24" customHeight="1" x14ac:dyDescent="0.25">
      <c r="A12" s="35">
        <f t="shared" si="0"/>
        <v>3</v>
      </c>
      <c r="B12" s="383"/>
      <c r="C12" s="36" t="s">
        <v>24123</v>
      </c>
      <c r="D12" s="36" t="s">
        <v>24110</v>
      </c>
      <c r="E12" s="165">
        <v>500</v>
      </c>
      <c r="F12" s="165">
        <v>0</v>
      </c>
      <c r="G12" s="83">
        <f t="shared" si="4"/>
        <v>22.222222222222221</v>
      </c>
      <c r="H12" s="165" t="s">
        <v>24124</v>
      </c>
      <c r="I12" s="165"/>
      <c r="J12" s="165"/>
      <c r="K12" s="165"/>
      <c r="L12" s="165"/>
      <c r="M12" s="165"/>
      <c r="N12" s="134" t="s">
        <v>24113</v>
      </c>
      <c r="O12" s="134" t="s">
        <v>24113</v>
      </c>
      <c r="P12" s="134" t="s">
        <v>24113</v>
      </c>
      <c r="Q12" s="134" t="s">
        <v>24114</v>
      </c>
      <c r="R12" s="146" t="s">
        <v>15</v>
      </c>
      <c r="S12" s="147" t="s">
        <v>24125</v>
      </c>
      <c r="T12" s="148" t="s">
        <v>24126</v>
      </c>
      <c r="U12" s="83" t="e">
        <f t="shared" si="5"/>
        <v>#N/A</v>
      </c>
      <c r="V12" s="83" t="e">
        <f t="shared" si="5"/>
        <v>#N/A</v>
      </c>
      <c r="W12" s="36" t="s">
        <v>24127</v>
      </c>
      <c r="X12" s="36" t="s">
        <v>24118</v>
      </c>
      <c r="Y12" s="34"/>
      <c r="Z12" s="140">
        <f t="shared" si="6"/>
        <v>22.5</v>
      </c>
      <c r="AA12" s="160">
        <f t="shared" si="1"/>
        <v>22.222222222222221</v>
      </c>
      <c r="AB12" s="160">
        <f t="shared" si="2"/>
        <v>20</v>
      </c>
      <c r="AC12" s="161">
        <f t="shared" si="3"/>
        <v>24.444444444444443</v>
      </c>
      <c r="AD12" s="29" t="str">
        <f t="shared" si="7"/>
        <v>Thép cuộn cán nóng 4.00x126X SAE1006</v>
      </c>
      <c r="AE12" s="37" t="str">
        <f>VLOOKUP(AD12,mvt!A:D,4,0)</f>
        <v>1251121920305</v>
      </c>
      <c r="AF12" s="137" t="e">
        <f>VLOOKUP('Theo dõi thực tế'!AD12,'ort9'!A:B,2,0)</f>
        <v>#N/A</v>
      </c>
      <c r="AG12" s="30" t="e">
        <f>VLOOKUP(AD12,'ort9'!D:E,2,0)</f>
        <v>#N/A</v>
      </c>
      <c r="AI12" s="30">
        <f t="shared" si="8"/>
        <v>2.2222222222222214</v>
      </c>
      <c r="AJ12" s="163" t="s">
        <v>24119</v>
      </c>
      <c r="AK12" s="30">
        <f t="shared" si="9"/>
        <v>2</v>
      </c>
      <c r="AL12" s="138" t="str">
        <f t="shared" si="10"/>
        <v>±2</v>
      </c>
    </row>
    <row r="13" spans="1:38" s="138" customFormat="1" ht="24" customHeight="1" x14ac:dyDescent="0.25">
      <c r="A13" s="35">
        <f t="shared" si="0"/>
        <v>4</v>
      </c>
      <c r="B13" s="383"/>
      <c r="C13" s="136" t="s">
        <v>24128</v>
      </c>
      <c r="D13" s="36" t="s">
        <v>24110</v>
      </c>
      <c r="E13" s="165">
        <v>500</v>
      </c>
      <c r="F13" s="165">
        <v>0</v>
      </c>
      <c r="G13" s="83">
        <f t="shared" si="4"/>
        <v>22.222222222222221</v>
      </c>
      <c r="H13" s="165" t="s">
        <v>24124</v>
      </c>
      <c r="I13" s="165"/>
      <c r="J13" s="165"/>
      <c r="K13" s="165"/>
      <c r="L13" s="165"/>
      <c r="M13" s="165"/>
      <c r="N13" s="134" t="s">
        <v>24113</v>
      </c>
      <c r="O13" s="134" t="s">
        <v>24113</v>
      </c>
      <c r="P13" s="134" t="s">
        <v>24113</v>
      </c>
      <c r="Q13" s="134" t="s">
        <v>24114</v>
      </c>
      <c r="R13" s="146" t="s">
        <v>15</v>
      </c>
      <c r="S13" s="147" t="s">
        <v>24125</v>
      </c>
      <c r="T13" s="148" t="s">
        <v>24126</v>
      </c>
      <c r="U13" s="83" t="e">
        <f t="shared" si="5"/>
        <v>#N/A</v>
      </c>
      <c r="V13" s="83" t="e">
        <f t="shared" si="5"/>
        <v>#N/A</v>
      </c>
      <c r="W13" s="36" t="s">
        <v>24127</v>
      </c>
      <c r="X13" s="36" t="s">
        <v>24118</v>
      </c>
      <c r="Y13" s="135"/>
      <c r="Z13" s="140">
        <f t="shared" si="6"/>
        <v>22.5</v>
      </c>
      <c r="AA13" s="160">
        <f t="shared" si="1"/>
        <v>22.222222222222221</v>
      </c>
      <c r="AB13" s="160">
        <f t="shared" si="2"/>
        <v>20</v>
      </c>
      <c r="AC13" s="161">
        <f t="shared" si="3"/>
        <v>24.444444444444443</v>
      </c>
      <c r="AD13" s="29" t="str">
        <f t="shared" si="7"/>
        <v>Thép cuộn cán nóng 3.80x126X SAE1006</v>
      </c>
      <c r="AE13" s="37" t="str">
        <f>VLOOKUP(AD13,mvt!A:D,4,0)</f>
        <v>1251121920961</v>
      </c>
      <c r="AF13" s="137" t="e">
        <f>VLOOKUP('Theo dõi thực tế'!AD13,'ort9'!A:B,2,0)</f>
        <v>#N/A</v>
      </c>
      <c r="AG13" s="30" t="e">
        <f>VLOOKUP(AD13,'ort9'!D:E,2,0)</f>
        <v>#N/A</v>
      </c>
      <c r="AI13" s="30">
        <f t="shared" si="8"/>
        <v>2.2222222222222214</v>
      </c>
      <c r="AJ13" s="163" t="s">
        <v>24119</v>
      </c>
      <c r="AK13" s="30">
        <f t="shared" si="9"/>
        <v>2</v>
      </c>
      <c r="AL13" s="138" t="str">
        <f t="shared" si="10"/>
        <v>±2</v>
      </c>
    </row>
    <row r="14" spans="1:38" s="138" customFormat="1" ht="24" customHeight="1" x14ac:dyDescent="0.25">
      <c r="A14" s="35">
        <f t="shared" si="0"/>
        <v>5</v>
      </c>
      <c r="B14" s="383"/>
      <c r="C14" s="36" t="s">
        <v>24129</v>
      </c>
      <c r="D14" s="36" t="s">
        <v>24110</v>
      </c>
      <c r="E14" s="165">
        <v>2000</v>
      </c>
      <c r="F14" s="165">
        <v>0</v>
      </c>
      <c r="G14" s="83">
        <f t="shared" si="4"/>
        <v>88.888888888888886</v>
      </c>
      <c r="H14" s="165" t="s">
        <v>24130</v>
      </c>
      <c r="I14" s="165"/>
      <c r="J14" s="165"/>
      <c r="K14" s="165"/>
      <c r="L14" s="165"/>
      <c r="M14" s="165"/>
      <c r="N14" s="134" t="s">
        <v>24113</v>
      </c>
      <c r="O14" s="134" t="s">
        <v>24113</v>
      </c>
      <c r="P14" s="134" t="s">
        <v>24113</v>
      </c>
      <c r="Q14" s="134" t="s">
        <v>24114</v>
      </c>
      <c r="R14" s="146" t="s">
        <v>15</v>
      </c>
      <c r="S14" s="147" t="s">
        <v>24125</v>
      </c>
      <c r="T14" s="148" t="s">
        <v>24126</v>
      </c>
      <c r="U14" s="83" t="e">
        <f t="shared" si="5"/>
        <v>#N/A</v>
      </c>
      <c r="V14" s="83" t="e">
        <f t="shared" si="5"/>
        <v>#N/A</v>
      </c>
      <c r="W14" s="36" t="s">
        <v>24127</v>
      </c>
      <c r="X14" s="36" t="s">
        <v>24118</v>
      </c>
      <c r="Y14" s="34"/>
      <c r="Z14" s="140">
        <f t="shared" si="6"/>
        <v>22.5</v>
      </c>
      <c r="AA14" s="160">
        <f t="shared" si="1"/>
        <v>88.888888888888886</v>
      </c>
      <c r="AB14" s="160">
        <f t="shared" si="2"/>
        <v>80</v>
      </c>
      <c r="AC14" s="161">
        <f t="shared" si="3"/>
        <v>97.777777777777771</v>
      </c>
      <c r="AD14" s="29" t="str">
        <f t="shared" si="7"/>
        <v>Thép cuộn cán nóng 3.20x126X SAE1006</v>
      </c>
      <c r="AE14" s="37" t="str">
        <f>VLOOKUP(AD14,mvt!A:D,4,0)</f>
        <v>1251121919538</v>
      </c>
      <c r="AF14" s="137" t="e">
        <f>VLOOKUP('Theo dõi thực tế'!AD14,'ort9'!A:B,2,0)</f>
        <v>#N/A</v>
      </c>
      <c r="AG14" s="30" t="e">
        <f>VLOOKUP(AD14,'ort9'!D:E,2,0)</f>
        <v>#N/A</v>
      </c>
      <c r="AI14" s="30">
        <f t="shared" si="8"/>
        <v>8.8888888888888857</v>
      </c>
      <c r="AJ14" s="163" t="s">
        <v>24119</v>
      </c>
      <c r="AK14" s="30">
        <f t="shared" si="9"/>
        <v>9</v>
      </c>
      <c r="AL14" s="138" t="str">
        <f t="shared" si="10"/>
        <v>±9</v>
      </c>
    </row>
    <row r="15" spans="1:38" s="138" customFormat="1" ht="24" customHeight="1" x14ac:dyDescent="0.25">
      <c r="A15" s="35">
        <f t="shared" si="0"/>
        <v>6</v>
      </c>
      <c r="B15" s="383"/>
      <c r="C15" s="131" t="s">
        <v>24131</v>
      </c>
      <c r="D15" s="36" t="s">
        <v>24110</v>
      </c>
      <c r="E15" s="165">
        <v>150</v>
      </c>
      <c r="F15" s="165">
        <v>0</v>
      </c>
      <c r="G15" s="83">
        <f t="shared" si="4"/>
        <v>6.3829787234042552</v>
      </c>
      <c r="H15" s="165" t="s">
        <v>24132</v>
      </c>
      <c r="I15" s="165"/>
      <c r="J15" s="165"/>
      <c r="K15" s="165"/>
      <c r="L15" s="165"/>
      <c r="M15" s="165"/>
      <c r="N15" s="134" t="s">
        <v>24113</v>
      </c>
      <c r="O15" s="134" t="s">
        <v>24113</v>
      </c>
      <c r="P15" s="134" t="s">
        <v>24113</v>
      </c>
      <c r="Q15" s="134" t="s">
        <v>24114</v>
      </c>
      <c r="R15" s="146" t="s">
        <v>15</v>
      </c>
      <c r="S15" s="147" t="s">
        <v>24125</v>
      </c>
      <c r="T15" s="148"/>
      <c r="U15" s="83" t="e">
        <f t="shared" si="5"/>
        <v>#N/A</v>
      </c>
      <c r="V15" s="83" t="e">
        <f t="shared" si="5"/>
        <v>#N/A</v>
      </c>
      <c r="W15" s="131" t="s">
        <v>24133</v>
      </c>
      <c r="X15" s="131" t="s">
        <v>24118</v>
      </c>
      <c r="Y15" s="34"/>
      <c r="Z15" s="140">
        <f t="shared" si="6"/>
        <v>23.5</v>
      </c>
      <c r="AA15" s="160">
        <f t="shared" si="1"/>
        <v>6.3829787234042552</v>
      </c>
      <c r="AB15" s="160">
        <f t="shared" si="2"/>
        <v>5.7446808510638299</v>
      </c>
      <c r="AC15" s="161">
        <f t="shared" si="3"/>
        <v>7.0212765957446805</v>
      </c>
      <c r="AD15" s="29" t="str">
        <f t="shared" si="7"/>
        <v>Thép cuộn cán nóng 3.00x126X SAE1006</v>
      </c>
      <c r="AE15" s="37" t="str">
        <f>VLOOKUP(AD15,mvt!A:D,4,0)</f>
        <v>1251121915400</v>
      </c>
      <c r="AF15" s="137" t="e">
        <f>VLOOKUP('Theo dõi thực tế'!AD15,'ort9'!A:B,2,0)</f>
        <v>#N/A</v>
      </c>
      <c r="AG15" s="30" t="e">
        <f>VLOOKUP(AD15,'ort9'!D:E,2,0)</f>
        <v>#N/A</v>
      </c>
      <c r="AI15" s="30">
        <f t="shared" si="8"/>
        <v>0.63829787234042534</v>
      </c>
      <c r="AJ15" s="163" t="s">
        <v>24119</v>
      </c>
      <c r="AK15" s="30">
        <f t="shared" si="9"/>
        <v>1</v>
      </c>
      <c r="AL15" s="138" t="str">
        <f t="shared" si="10"/>
        <v>±1</v>
      </c>
    </row>
    <row r="16" spans="1:38" s="138" customFormat="1" ht="24" customHeight="1" x14ac:dyDescent="0.25">
      <c r="A16" s="35">
        <f t="shared" si="0"/>
        <v>7</v>
      </c>
      <c r="B16" s="383"/>
      <c r="C16" s="131" t="s">
        <v>24134</v>
      </c>
      <c r="D16" s="36" t="s">
        <v>24110</v>
      </c>
      <c r="E16" s="165">
        <v>1000</v>
      </c>
      <c r="F16" s="165">
        <v>0</v>
      </c>
      <c r="G16" s="83">
        <f t="shared" si="4"/>
        <v>44.444444444444443</v>
      </c>
      <c r="H16" s="165" t="s">
        <v>24121</v>
      </c>
      <c r="I16" s="165"/>
      <c r="J16" s="165"/>
      <c r="K16" s="165"/>
      <c r="L16" s="165"/>
      <c r="M16" s="165"/>
      <c r="N16" s="134" t="s">
        <v>24113</v>
      </c>
      <c r="O16" s="134" t="s">
        <v>24113</v>
      </c>
      <c r="P16" s="134" t="s">
        <v>24113</v>
      </c>
      <c r="Q16" s="134" t="s">
        <v>24114</v>
      </c>
      <c r="R16" s="146" t="s">
        <v>15</v>
      </c>
      <c r="S16" s="147" t="s">
        <v>24125</v>
      </c>
      <c r="T16" s="148" t="s">
        <v>24126</v>
      </c>
      <c r="U16" s="83" t="e">
        <f t="shared" si="5"/>
        <v>#N/A</v>
      </c>
      <c r="V16" s="83" t="e">
        <f t="shared" si="5"/>
        <v>#N/A</v>
      </c>
      <c r="W16" s="131" t="s">
        <v>24127</v>
      </c>
      <c r="X16" s="131" t="s">
        <v>24118</v>
      </c>
      <c r="Y16" s="34"/>
      <c r="Z16" s="140">
        <f t="shared" si="6"/>
        <v>22.5</v>
      </c>
      <c r="AA16" s="160">
        <f t="shared" si="1"/>
        <v>44.444444444444443</v>
      </c>
      <c r="AB16" s="160">
        <f t="shared" si="2"/>
        <v>40</v>
      </c>
      <c r="AC16" s="161">
        <f t="shared" si="3"/>
        <v>48.888888888888886</v>
      </c>
      <c r="AD16" s="29" t="str">
        <f t="shared" si="7"/>
        <v>Thép cuộn cán nóng 2.80x126X SAE1006</v>
      </c>
      <c r="AE16" s="37" t="str">
        <f>VLOOKUP(AD16,mvt!A:D,4,0)</f>
        <v>1251121919552</v>
      </c>
      <c r="AF16" s="137" t="e">
        <f>VLOOKUP('Theo dõi thực tế'!AD16,'ort9'!A:B,2,0)</f>
        <v>#N/A</v>
      </c>
      <c r="AG16" s="30" t="e">
        <f>VLOOKUP(AD16,'ort9'!D:E,2,0)</f>
        <v>#N/A</v>
      </c>
      <c r="AI16" s="30">
        <f t="shared" si="8"/>
        <v>4.4444444444444429</v>
      </c>
      <c r="AJ16" s="163" t="s">
        <v>24119</v>
      </c>
      <c r="AK16" s="30">
        <f t="shared" si="9"/>
        <v>4</v>
      </c>
      <c r="AL16" s="138" t="str">
        <f t="shared" si="10"/>
        <v>±4</v>
      </c>
    </row>
    <row r="17" spans="1:38" s="138" customFormat="1" ht="24" customHeight="1" x14ac:dyDescent="0.25">
      <c r="A17" s="35">
        <f t="shared" si="0"/>
        <v>8</v>
      </c>
      <c r="B17" s="383"/>
      <c r="C17" s="131" t="s">
        <v>24135</v>
      </c>
      <c r="D17" s="36" t="s">
        <v>24110</v>
      </c>
      <c r="E17" s="165">
        <v>1000</v>
      </c>
      <c r="F17" s="165">
        <v>0</v>
      </c>
      <c r="G17" s="83">
        <f t="shared" si="4"/>
        <v>42.553191489361701</v>
      </c>
      <c r="H17" s="165" t="s">
        <v>24121</v>
      </c>
      <c r="I17" s="165"/>
      <c r="J17" s="165"/>
      <c r="K17" s="165"/>
      <c r="L17" s="165"/>
      <c r="M17" s="165"/>
      <c r="N17" s="134" t="s">
        <v>24113</v>
      </c>
      <c r="O17" s="134" t="s">
        <v>24113</v>
      </c>
      <c r="P17" s="134" t="s">
        <v>24113</v>
      </c>
      <c r="Q17" s="134" t="s">
        <v>24114</v>
      </c>
      <c r="R17" s="146" t="s">
        <v>15</v>
      </c>
      <c r="S17" s="147" t="s">
        <v>24125</v>
      </c>
      <c r="T17" s="148" t="s">
        <v>24122</v>
      </c>
      <c r="U17" s="83" t="e">
        <f t="shared" si="5"/>
        <v>#N/A</v>
      </c>
      <c r="V17" s="83" t="e">
        <f t="shared" si="5"/>
        <v>#N/A</v>
      </c>
      <c r="W17" s="131" t="s">
        <v>24117</v>
      </c>
      <c r="X17" s="131" t="s">
        <v>24118</v>
      </c>
      <c r="Y17" s="34"/>
      <c r="Z17" s="140">
        <f t="shared" si="6"/>
        <v>23.5</v>
      </c>
      <c r="AA17" s="160">
        <f t="shared" si="1"/>
        <v>42.553191489361701</v>
      </c>
      <c r="AB17" s="160">
        <f t="shared" si="2"/>
        <v>38.297872340425535</v>
      </c>
      <c r="AC17" s="161">
        <f t="shared" si="3"/>
        <v>46.808510638297875</v>
      </c>
      <c r="AD17" s="29" t="str">
        <f t="shared" si="7"/>
        <v>Thép cuộn cán nóng 2.75x126Y SAE1006</v>
      </c>
      <c r="AE17" s="37" t="str">
        <f>VLOOKUP(AD17,mvt!A:D,4,0)</f>
        <v>1251121961698</v>
      </c>
      <c r="AF17" s="137" t="e">
        <f>VLOOKUP('Theo dõi thực tế'!AD17,'ort9'!A:B,2,0)</f>
        <v>#N/A</v>
      </c>
      <c r="AG17" s="30" t="e">
        <f>VLOOKUP(AD17,'ort9'!D:E,2,0)</f>
        <v>#N/A</v>
      </c>
      <c r="AI17" s="30">
        <f t="shared" si="8"/>
        <v>4.2553191489361701</v>
      </c>
      <c r="AJ17" s="163" t="s">
        <v>24119</v>
      </c>
      <c r="AK17" s="30">
        <f t="shared" si="9"/>
        <v>4</v>
      </c>
      <c r="AL17" s="138" t="str">
        <f t="shared" si="10"/>
        <v>±4</v>
      </c>
    </row>
    <row r="18" spans="1:38" s="138" customFormat="1" ht="24" customHeight="1" x14ac:dyDescent="0.25">
      <c r="A18" s="35">
        <f t="shared" si="0"/>
        <v>9</v>
      </c>
      <c r="B18" s="383"/>
      <c r="C18" s="131" t="s">
        <v>24136</v>
      </c>
      <c r="D18" s="36" t="s">
        <v>24110</v>
      </c>
      <c r="E18" s="168">
        <v>0</v>
      </c>
      <c r="F18" s="168">
        <v>3560</v>
      </c>
      <c r="G18" s="83">
        <f t="shared" si="4"/>
        <v>165.58139534883722</v>
      </c>
      <c r="H18" s="165" t="s">
        <v>24137</v>
      </c>
      <c r="I18" s="165"/>
      <c r="J18" s="165"/>
      <c r="K18" s="165"/>
      <c r="L18" s="165"/>
      <c r="M18" s="165"/>
      <c r="N18" s="134" t="s">
        <v>24113</v>
      </c>
      <c r="O18" s="134" t="s">
        <v>24113</v>
      </c>
      <c r="P18" s="134" t="s">
        <v>24113</v>
      </c>
      <c r="Q18" s="134" t="s">
        <v>24114</v>
      </c>
      <c r="R18" s="146" t="s">
        <v>15</v>
      </c>
      <c r="S18" s="147" t="s">
        <v>24125</v>
      </c>
      <c r="T18" s="148" t="s">
        <v>24138</v>
      </c>
      <c r="U18" s="83" t="e">
        <f t="shared" si="5"/>
        <v>#N/A</v>
      </c>
      <c r="V18" s="83" t="e">
        <f t="shared" si="5"/>
        <v>#N/A</v>
      </c>
      <c r="W18" s="131" t="s">
        <v>24139</v>
      </c>
      <c r="X18" s="131" t="s">
        <v>24140</v>
      </c>
      <c r="Y18" s="34"/>
      <c r="Z18" s="140">
        <f t="shared" si="6"/>
        <v>21.5</v>
      </c>
      <c r="AA18" s="160">
        <f t="shared" si="1"/>
        <v>165.58139534883722</v>
      </c>
      <c r="AB18" s="160">
        <f t="shared" si="2"/>
        <v>149.02325581395348</v>
      </c>
      <c r="AC18" s="161">
        <f t="shared" si="3"/>
        <v>182.13953488372096</v>
      </c>
      <c r="AD18" s="29" t="str">
        <f t="shared" si="7"/>
        <v>Thép cuộn cán nóng 2.50x126X SAE1006</v>
      </c>
      <c r="AE18" s="37" t="str">
        <f>VLOOKUP(AD18,mvt!A:D,4,0)</f>
        <v>1251121918340</v>
      </c>
      <c r="AF18" s="137" t="e">
        <f>VLOOKUP('Theo dõi thực tế'!AD18,'ort9'!A:B,2,0)</f>
        <v>#N/A</v>
      </c>
      <c r="AG18" s="30" t="e">
        <f>VLOOKUP(AD18,'ort9'!D:E,2,0)</f>
        <v>#N/A</v>
      </c>
      <c r="AI18" s="30">
        <f t="shared" si="8"/>
        <v>16.558139534883736</v>
      </c>
      <c r="AJ18" s="163" t="s">
        <v>24119</v>
      </c>
      <c r="AK18" s="30">
        <f t="shared" si="9"/>
        <v>17</v>
      </c>
      <c r="AL18" s="138" t="str">
        <f t="shared" si="10"/>
        <v>±17</v>
      </c>
    </row>
    <row r="19" spans="1:38" s="138" customFormat="1" ht="24" customHeight="1" x14ac:dyDescent="0.25">
      <c r="A19" s="35">
        <f t="shared" si="0"/>
        <v>10</v>
      </c>
      <c r="B19" s="383"/>
      <c r="C19" s="131" t="s">
        <v>24136</v>
      </c>
      <c r="D19" s="36" t="s">
        <v>24110</v>
      </c>
      <c r="E19" s="165">
        <v>1000</v>
      </c>
      <c r="F19" s="165">
        <v>0</v>
      </c>
      <c r="G19" s="83">
        <f t="shared" si="4"/>
        <v>44.444444444444443</v>
      </c>
      <c r="H19" s="165" t="s">
        <v>24121</v>
      </c>
      <c r="I19" s="165"/>
      <c r="J19" s="165"/>
      <c r="K19" s="165"/>
      <c r="L19" s="165"/>
      <c r="M19" s="165"/>
      <c r="N19" s="134" t="s">
        <v>24113</v>
      </c>
      <c r="O19" s="134" t="s">
        <v>24113</v>
      </c>
      <c r="P19" s="134" t="s">
        <v>24113</v>
      </c>
      <c r="Q19" s="134" t="s">
        <v>24114</v>
      </c>
      <c r="R19" s="146" t="s">
        <v>15</v>
      </c>
      <c r="S19" s="147" t="s">
        <v>24125</v>
      </c>
      <c r="T19" s="148" t="s">
        <v>24126</v>
      </c>
      <c r="U19" s="83" t="e">
        <f t="shared" si="5"/>
        <v>#N/A</v>
      </c>
      <c r="V19" s="83" t="e">
        <f t="shared" si="5"/>
        <v>#N/A</v>
      </c>
      <c r="W19" s="131" t="s">
        <v>24127</v>
      </c>
      <c r="X19" s="131" t="s">
        <v>24118</v>
      </c>
      <c r="Y19" s="34"/>
      <c r="Z19" s="140">
        <f t="shared" si="6"/>
        <v>22.5</v>
      </c>
      <c r="AA19" s="160">
        <f t="shared" si="1"/>
        <v>44.444444444444443</v>
      </c>
      <c r="AB19" s="160">
        <f t="shared" si="2"/>
        <v>40</v>
      </c>
      <c r="AC19" s="161">
        <f t="shared" si="3"/>
        <v>48.888888888888886</v>
      </c>
      <c r="AD19" s="29" t="str">
        <f t="shared" si="7"/>
        <v>Thép cuộn cán nóng 2.50x126X SAE1006</v>
      </c>
      <c r="AE19" s="37" t="str">
        <f>VLOOKUP(AD19,mvt!A:D,4,0)</f>
        <v>1251121918340</v>
      </c>
      <c r="AF19" s="137" t="e">
        <f>VLOOKUP('Theo dõi thực tế'!AD19,'ort9'!A:B,2,0)</f>
        <v>#N/A</v>
      </c>
      <c r="AG19" s="30" t="e">
        <f>VLOOKUP(AD19,'ort9'!D:E,2,0)</f>
        <v>#N/A</v>
      </c>
      <c r="AI19" s="30">
        <f t="shared" si="8"/>
        <v>4.4444444444444429</v>
      </c>
      <c r="AJ19" s="163" t="s">
        <v>24119</v>
      </c>
      <c r="AK19" s="30">
        <f t="shared" si="9"/>
        <v>4</v>
      </c>
      <c r="AL19" s="138" t="str">
        <f t="shared" si="10"/>
        <v>±4</v>
      </c>
    </row>
    <row r="20" spans="1:38" s="138" customFormat="1" ht="24" customHeight="1" x14ac:dyDescent="0.25">
      <c r="A20" s="35">
        <f t="shared" si="0"/>
        <v>11</v>
      </c>
      <c r="B20" s="383"/>
      <c r="C20" s="131" t="s">
        <v>24141</v>
      </c>
      <c r="D20" s="36" t="s">
        <v>24110</v>
      </c>
      <c r="E20" s="166">
        <v>1000</v>
      </c>
      <c r="F20" s="165">
        <v>0</v>
      </c>
      <c r="G20" s="83">
        <f t="shared" si="4"/>
        <v>42.553191489361701</v>
      </c>
      <c r="H20" s="165" t="s">
        <v>24121</v>
      </c>
      <c r="I20" s="165"/>
      <c r="J20" s="165"/>
      <c r="K20" s="165"/>
      <c r="L20" s="165"/>
      <c r="M20" s="165"/>
      <c r="N20" s="134" t="s">
        <v>24113</v>
      </c>
      <c r="O20" s="134" t="s">
        <v>24113</v>
      </c>
      <c r="P20" s="134" t="s">
        <v>24113</v>
      </c>
      <c r="Q20" s="134" t="s">
        <v>24114</v>
      </c>
      <c r="R20" s="146" t="s">
        <v>15</v>
      </c>
      <c r="S20" s="147" t="s">
        <v>24125</v>
      </c>
      <c r="T20" s="148" t="s">
        <v>24122</v>
      </c>
      <c r="U20" s="83" t="e">
        <f t="shared" si="5"/>
        <v>#N/A</v>
      </c>
      <c r="V20" s="83" t="e">
        <f t="shared" si="5"/>
        <v>#N/A</v>
      </c>
      <c r="W20" s="131" t="s">
        <v>24117</v>
      </c>
      <c r="X20" s="131" t="s">
        <v>24118</v>
      </c>
      <c r="Y20" s="34"/>
      <c r="Z20" s="140">
        <f t="shared" si="6"/>
        <v>23.5</v>
      </c>
      <c r="AA20" s="160">
        <f t="shared" si="1"/>
        <v>42.553191489361701</v>
      </c>
      <c r="AB20" s="160">
        <f t="shared" si="2"/>
        <v>38.297872340425535</v>
      </c>
      <c r="AC20" s="161">
        <f t="shared" si="3"/>
        <v>46.808510638297875</v>
      </c>
      <c r="AD20" s="29" t="str">
        <f t="shared" si="7"/>
        <v>Thép cuộn cán nóng 2.30x126Y SAE1006</v>
      </c>
      <c r="AE20" s="37" t="str">
        <f>VLOOKUP(AD20,mvt!A:D,4,0)</f>
        <v>1251121915462</v>
      </c>
      <c r="AF20" s="137" t="e">
        <f>VLOOKUP('Theo dõi thực tế'!AD20,'ort9'!A:B,2,0)</f>
        <v>#N/A</v>
      </c>
      <c r="AG20" s="30" t="e">
        <f>VLOOKUP(AD20,'ort9'!D:E,2,0)</f>
        <v>#N/A</v>
      </c>
      <c r="AI20" s="30">
        <f t="shared" si="8"/>
        <v>4.2553191489361701</v>
      </c>
      <c r="AJ20" s="163" t="s">
        <v>24119</v>
      </c>
      <c r="AK20" s="30">
        <f t="shared" si="9"/>
        <v>4</v>
      </c>
      <c r="AL20" s="138" t="str">
        <f t="shared" si="10"/>
        <v>±4</v>
      </c>
    </row>
    <row r="21" spans="1:38" s="138" customFormat="1" ht="24" customHeight="1" x14ac:dyDescent="0.25">
      <c r="A21" s="35">
        <f t="shared" si="0"/>
        <v>12</v>
      </c>
      <c r="B21" s="383"/>
      <c r="C21" s="131" t="s">
        <v>24142</v>
      </c>
      <c r="D21" s="36" t="s">
        <v>24110</v>
      </c>
      <c r="E21" s="166">
        <v>2000</v>
      </c>
      <c r="F21" s="165">
        <v>0</v>
      </c>
      <c r="G21" s="83">
        <f t="shared" si="4"/>
        <v>88.888888888888886</v>
      </c>
      <c r="H21" s="165" t="s">
        <v>24130</v>
      </c>
      <c r="I21" s="165"/>
      <c r="J21" s="165"/>
      <c r="K21" s="165"/>
      <c r="L21" s="165"/>
      <c r="M21" s="165"/>
      <c r="N21" s="134" t="s">
        <v>24113</v>
      </c>
      <c r="O21" s="134" t="s">
        <v>24113</v>
      </c>
      <c r="P21" s="134" t="s">
        <v>24113</v>
      </c>
      <c r="Q21" s="134" t="s">
        <v>24114</v>
      </c>
      <c r="R21" s="146" t="s">
        <v>15</v>
      </c>
      <c r="S21" s="147" t="s">
        <v>24125</v>
      </c>
      <c r="T21" s="148" t="s">
        <v>24126</v>
      </c>
      <c r="U21" s="83" t="e">
        <f t="shared" si="5"/>
        <v>#N/A</v>
      </c>
      <c r="V21" s="83" t="e">
        <f t="shared" si="5"/>
        <v>#N/A</v>
      </c>
      <c r="W21" s="131" t="s">
        <v>24127</v>
      </c>
      <c r="X21" s="131" t="s">
        <v>24118</v>
      </c>
      <c r="Y21" s="34"/>
      <c r="Z21" s="140">
        <f t="shared" si="6"/>
        <v>22.5</v>
      </c>
      <c r="AA21" s="160">
        <f t="shared" si="1"/>
        <v>88.888888888888886</v>
      </c>
      <c r="AB21" s="160">
        <f t="shared" si="2"/>
        <v>80</v>
      </c>
      <c r="AC21" s="161">
        <f t="shared" si="3"/>
        <v>97.777777777777771</v>
      </c>
      <c r="AD21" s="29" t="str">
        <f t="shared" si="7"/>
        <v>Thép cuộn cán nóng 2.30x126X SAE1006</v>
      </c>
      <c r="AE21" s="37" t="str">
        <f>VLOOKUP(AD21,mvt!A:D,4,0)</f>
        <v>1251121915387</v>
      </c>
      <c r="AF21" s="137" t="e">
        <f>VLOOKUP('Theo dõi thực tế'!AD21,'ort9'!A:B,2,0)</f>
        <v>#N/A</v>
      </c>
      <c r="AG21" s="30" t="e">
        <f>VLOOKUP(AD21,'ort9'!D:E,2,0)</f>
        <v>#N/A</v>
      </c>
      <c r="AI21" s="30">
        <f t="shared" si="8"/>
        <v>8.8888888888888857</v>
      </c>
      <c r="AJ21" s="163" t="s">
        <v>24119</v>
      </c>
      <c r="AK21" s="30">
        <f t="shared" si="9"/>
        <v>9</v>
      </c>
      <c r="AL21" s="138" t="str">
        <f t="shared" si="10"/>
        <v>±9</v>
      </c>
    </row>
    <row r="22" spans="1:38" s="138" customFormat="1" ht="24" customHeight="1" x14ac:dyDescent="0.25">
      <c r="A22" s="35">
        <f t="shared" si="0"/>
        <v>13</v>
      </c>
      <c r="B22" s="383"/>
      <c r="C22" s="131" t="s">
        <v>24143</v>
      </c>
      <c r="D22" s="36" t="s">
        <v>24110</v>
      </c>
      <c r="E22" s="166">
        <v>1000</v>
      </c>
      <c r="F22" s="165">
        <v>0</v>
      </c>
      <c r="G22" s="83">
        <f t="shared" si="4"/>
        <v>42.553191489361701</v>
      </c>
      <c r="H22" s="165" t="s">
        <v>24121</v>
      </c>
      <c r="I22" s="165"/>
      <c r="J22" s="165"/>
      <c r="K22" s="165"/>
      <c r="L22" s="165"/>
      <c r="M22" s="165"/>
      <c r="N22" s="134" t="s">
        <v>24113</v>
      </c>
      <c r="O22" s="134" t="s">
        <v>24113</v>
      </c>
      <c r="P22" s="134" t="s">
        <v>24113</v>
      </c>
      <c r="Q22" s="134" t="s">
        <v>24114</v>
      </c>
      <c r="R22" s="146" t="s">
        <v>15</v>
      </c>
      <c r="S22" s="147" t="s">
        <v>24125</v>
      </c>
      <c r="T22" s="148" t="s">
        <v>24122</v>
      </c>
      <c r="U22" s="83" t="e">
        <f t="shared" si="5"/>
        <v>#N/A</v>
      </c>
      <c r="V22" s="83" t="e">
        <f t="shared" si="5"/>
        <v>#N/A</v>
      </c>
      <c r="W22" s="131" t="s">
        <v>24117</v>
      </c>
      <c r="X22" s="131" t="s">
        <v>24118</v>
      </c>
      <c r="Y22" s="34"/>
      <c r="Z22" s="140">
        <f t="shared" si="6"/>
        <v>23.5</v>
      </c>
      <c r="AA22" s="160">
        <f t="shared" si="1"/>
        <v>42.553191489361701</v>
      </c>
      <c r="AB22" s="160">
        <f t="shared" si="2"/>
        <v>38.297872340425535</v>
      </c>
      <c r="AC22" s="161">
        <f t="shared" si="3"/>
        <v>46.808510638297875</v>
      </c>
      <c r="AD22" s="29" t="str">
        <f t="shared" si="7"/>
        <v>Thép cuộn cán nóng 2.00x126Y SAE1006</v>
      </c>
      <c r="AE22" s="37" t="str">
        <f>VLOOKUP(AD22,mvt!A:D,4,0)</f>
        <v>1251121915721</v>
      </c>
      <c r="AF22" s="137" t="e">
        <f>VLOOKUP('Theo dõi thực tế'!AD22,'ort9'!A:B,2,0)</f>
        <v>#N/A</v>
      </c>
      <c r="AG22" s="30" t="e">
        <f>VLOOKUP(AD22,'ort9'!D:E,2,0)</f>
        <v>#N/A</v>
      </c>
      <c r="AI22" s="30">
        <f t="shared" si="8"/>
        <v>4.2553191489361701</v>
      </c>
      <c r="AJ22" s="163" t="s">
        <v>24119</v>
      </c>
      <c r="AK22" s="30">
        <f t="shared" si="9"/>
        <v>4</v>
      </c>
      <c r="AL22" s="138" t="str">
        <f t="shared" si="10"/>
        <v>±4</v>
      </c>
    </row>
    <row r="23" spans="1:38" s="138" customFormat="1" ht="24" customHeight="1" x14ac:dyDescent="0.25">
      <c r="A23" s="35">
        <f t="shared" si="0"/>
        <v>14</v>
      </c>
      <c r="B23" s="383"/>
      <c r="C23" s="131" t="s">
        <v>24144</v>
      </c>
      <c r="D23" s="36" t="s">
        <v>24110</v>
      </c>
      <c r="E23" s="166">
        <v>1470</v>
      </c>
      <c r="F23" s="165">
        <v>0</v>
      </c>
      <c r="G23" s="83">
        <f t="shared" si="4"/>
        <v>65.333333333333329</v>
      </c>
      <c r="H23" s="165" t="s">
        <v>24145</v>
      </c>
      <c r="I23" s="165"/>
      <c r="J23" s="165"/>
      <c r="K23" s="165"/>
      <c r="L23" s="165"/>
      <c r="M23" s="165"/>
      <c r="N23" s="134" t="s">
        <v>24113</v>
      </c>
      <c r="O23" s="134" t="s">
        <v>24113</v>
      </c>
      <c r="P23" s="134" t="s">
        <v>24113</v>
      </c>
      <c r="Q23" s="134" t="s">
        <v>24114</v>
      </c>
      <c r="R23" s="146" t="s">
        <v>15</v>
      </c>
      <c r="S23" s="147" t="s">
        <v>24125</v>
      </c>
      <c r="T23" s="148" t="s">
        <v>24126</v>
      </c>
      <c r="U23" s="83" t="e">
        <f t="shared" si="5"/>
        <v>#N/A</v>
      </c>
      <c r="V23" s="83" t="e">
        <f t="shared" si="5"/>
        <v>#N/A</v>
      </c>
      <c r="W23" s="131" t="s">
        <v>24127</v>
      </c>
      <c r="X23" s="131" t="s">
        <v>24118</v>
      </c>
      <c r="Y23" s="34"/>
      <c r="Z23" s="140">
        <f t="shared" si="6"/>
        <v>22.5</v>
      </c>
      <c r="AA23" s="160">
        <f t="shared" si="1"/>
        <v>65.333333333333329</v>
      </c>
      <c r="AB23" s="160">
        <f t="shared" si="2"/>
        <v>58.8</v>
      </c>
      <c r="AC23" s="161">
        <f t="shared" si="3"/>
        <v>71.866666666666674</v>
      </c>
      <c r="AD23" s="29" t="str">
        <f t="shared" si="7"/>
        <v>Thép cuộn cán nóng 2.00x126X SAE1006</v>
      </c>
      <c r="AE23" s="37" t="str">
        <f>VLOOKUP(AD23,mvt!A:D,4,0)</f>
        <v>1251121919057</v>
      </c>
      <c r="AF23" s="137" t="e">
        <f>VLOOKUP('Theo dõi thực tế'!AD23,'ort9'!A:B,2,0)</f>
        <v>#N/A</v>
      </c>
      <c r="AG23" s="30" t="e">
        <f>VLOOKUP(AD23,'ort9'!D:E,2,0)</f>
        <v>#N/A</v>
      </c>
      <c r="AI23" s="30">
        <f t="shared" si="8"/>
        <v>6.5333333333333385</v>
      </c>
      <c r="AJ23" s="163" t="s">
        <v>24119</v>
      </c>
      <c r="AK23" s="30">
        <f t="shared" si="9"/>
        <v>7</v>
      </c>
      <c r="AL23" s="138" t="str">
        <f t="shared" si="10"/>
        <v>±7</v>
      </c>
    </row>
    <row r="24" spans="1:38" s="138" customFormat="1" ht="24" customHeight="1" x14ac:dyDescent="0.25">
      <c r="A24" s="35">
        <f t="shared" si="0"/>
        <v>15</v>
      </c>
      <c r="B24" s="384"/>
      <c r="C24" s="131" t="s">
        <v>24144</v>
      </c>
      <c r="D24" s="36" t="s">
        <v>24110</v>
      </c>
      <c r="E24" s="166">
        <v>530</v>
      </c>
      <c r="F24" s="165">
        <v>0</v>
      </c>
      <c r="G24" s="83">
        <f t="shared" si="4"/>
        <v>23.555555555555557</v>
      </c>
      <c r="H24" s="165" t="s">
        <v>24124</v>
      </c>
      <c r="I24" s="165"/>
      <c r="J24" s="165"/>
      <c r="K24" s="165"/>
      <c r="L24" s="165"/>
      <c r="M24" s="165"/>
      <c r="N24" s="134" t="s">
        <v>24113</v>
      </c>
      <c r="O24" s="134" t="s">
        <v>24113</v>
      </c>
      <c r="P24" s="134" t="s">
        <v>24113</v>
      </c>
      <c r="Q24" s="134" t="s">
        <v>24114</v>
      </c>
      <c r="R24" s="146" t="s">
        <v>15</v>
      </c>
      <c r="S24" s="147" t="s">
        <v>24125</v>
      </c>
      <c r="T24" s="148" t="s">
        <v>24146</v>
      </c>
      <c r="U24" s="83" t="e">
        <f t="shared" si="5"/>
        <v>#N/A</v>
      </c>
      <c r="V24" s="83" t="e">
        <f t="shared" si="5"/>
        <v>#N/A</v>
      </c>
      <c r="W24" s="131" t="s">
        <v>24127</v>
      </c>
      <c r="X24" s="131" t="s">
        <v>24118</v>
      </c>
      <c r="Y24" s="34"/>
      <c r="Z24" s="140">
        <f t="shared" si="6"/>
        <v>22.5</v>
      </c>
      <c r="AA24" s="160">
        <f t="shared" si="1"/>
        <v>23.555555555555557</v>
      </c>
      <c r="AB24" s="160">
        <f t="shared" si="2"/>
        <v>21.2</v>
      </c>
      <c r="AC24" s="161">
        <f t="shared" si="3"/>
        <v>25.911111111111111</v>
      </c>
      <c r="AD24" s="29" t="str">
        <f t="shared" si="7"/>
        <v>Thép cuộn cán nóng 2.00x126X SAE1006</v>
      </c>
      <c r="AE24" s="37" t="str">
        <f>VLOOKUP(AD24,mvt!A:D,4,0)</f>
        <v>1251121919057</v>
      </c>
      <c r="AF24" s="137" t="e">
        <f>VLOOKUP('Theo dõi thực tế'!AD24,'ort9'!A:B,2,0)</f>
        <v>#N/A</v>
      </c>
      <c r="AG24" s="30" t="e">
        <f>VLOOKUP(AD24,'ort9'!D:E,2,0)</f>
        <v>#N/A</v>
      </c>
      <c r="AI24" s="30">
        <f t="shared" si="8"/>
        <v>2.3555555555555561</v>
      </c>
      <c r="AJ24" s="163" t="s">
        <v>24119</v>
      </c>
      <c r="AK24" s="30">
        <f t="shared" si="9"/>
        <v>2</v>
      </c>
      <c r="AL24" s="138" t="str">
        <f t="shared" si="10"/>
        <v>±2</v>
      </c>
    </row>
    <row r="25" spans="1:38" s="138" customFormat="1" ht="24" customHeight="1" x14ac:dyDescent="0.25">
      <c r="A25" s="35">
        <f t="shared" si="0"/>
        <v>16</v>
      </c>
      <c r="B25" s="382" t="s">
        <v>24147</v>
      </c>
      <c r="C25" s="131" t="s">
        <v>24148</v>
      </c>
      <c r="D25" s="36" t="s">
        <v>24110</v>
      </c>
      <c r="E25" s="166">
        <v>0</v>
      </c>
      <c r="F25" s="165">
        <v>50</v>
      </c>
      <c r="G25" s="83">
        <f t="shared" si="4"/>
        <v>2.0408163265306123</v>
      </c>
      <c r="H25" s="165" t="s">
        <v>24111</v>
      </c>
      <c r="I25" s="165"/>
      <c r="J25" s="165"/>
      <c r="K25" s="165"/>
      <c r="L25" s="165"/>
      <c r="M25" s="165"/>
      <c r="N25" s="134" t="s">
        <v>24113</v>
      </c>
      <c r="O25" s="134" t="s">
        <v>24113</v>
      </c>
      <c r="P25" s="134" t="s">
        <v>24113</v>
      </c>
      <c r="Q25" s="134" t="s">
        <v>24114</v>
      </c>
      <c r="R25" s="146" t="s">
        <v>15</v>
      </c>
      <c r="S25" s="147" t="s">
        <v>24149</v>
      </c>
      <c r="T25" s="162" t="s">
        <v>24150</v>
      </c>
      <c r="U25" s="83" t="e">
        <f t="shared" si="5"/>
        <v>#N/A</v>
      </c>
      <c r="V25" s="83" t="e">
        <f t="shared" si="5"/>
        <v>#N/A</v>
      </c>
      <c r="W25" s="131" t="s">
        <v>24151</v>
      </c>
      <c r="X25" s="131" t="s">
        <v>24140</v>
      </c>
      <c r="Y25" s="34"/>
      <c r="Z25" s="140">
        <f t="shared" si="6"/>
        <v>24.5</v>
      </c>
      <c r="AA25" s="160">
        <f t="shared" si="1"/>
        <v>2.0408163265306123</v>
      </c>
      <c r="AB25" s="160">
        <f t="shared" si="2"/>
        <v>1.8367346938775511</v>
      </c>
      <c r="AC25" s="161">
        <f t="shared" si="3"/>
        <v>2.2448979591836737</v>
      </c>
      <c r="AD25" s="29" t="str">
        <f t="shared" si="7"/>
        <v>Thép cuộn cán nóng 2.75x125X SAE1006</v>
      </c>
      <c r="AE25" s="37" t="str">
        <f>VLOOKUP(AD25,mvt!A:D,4,0)</f>
        <v>1251121928226</v>
      </c>
      <c r="AF25" s="137" t="e">
        <f>VLOOKUP('Theo dõi thực tế'!AD25,'ort9'!A:B,2,0)</f>
        <v>#N/A</v>
      </c>
      <c r="AG25" s="30" t="e">
        <f>VLOOKUP(AD25,'ort9'!D:E,2,0)</f>
        <v>#N/A</v>
      </c>
      <c r="AI25" s="30">
        <f t="shared" si="8"/>
        <v>0.20408163265306134</v>
      </c>
      <c r="AJ25" s="163" t="s">
        <v>24119</v>
      </c>
      <c r="AK25" s="30">
        <f t="shared" si="9"/>
        <v>0</v>
      </c>
      <c r="AL25" s="138" t="str">
        <f t="shared" si="10"/>
        <v>±0</v>
      </c>
    </row>
    <row r="26" spans="1:38" s="138" customFormat="1" ht="24" customHeight="1" x14ac:dyDescent="0.25">
      <c r="A26" s="35">
        <f t="shared" si="0"/>
        <v>17</v>
      </c>
      <c r="B26" s="383"/>
      <c r="C26" s="131" t="s">
        <v>24152</v>
      </c>
      <c r="D26" s="36" t="s">
        <v>24110</v>
      </c>
      <c r="E26" s="166">
        <v>0</v>
      </c>
      <c r="F26" s="165">
        <v>1000</v>
      </c>
      <c r="G26" s="83">
        <f t="shared" si="4"/>
        <v>40.816326530612244</v>
      </c>
      <c r="H26" s="165" t="s">
        <v>24121</v>
      </c>
      <c r="I26" s="165"/>
      <c r="J26" s="165"/>
      <c r="K26" s="165"/>
      <c r="L26" s="165"/>
      <c r="M26" s="165"/>
      <c r="N26" s="134" t="s">
        <v>24113</v>
      </c>
      <c r="O26" s="134" t="s">
        <v>24113</v>
      </c>
      <c r="P26" s="134" t="s">
        <v>24113</v>
      </c>
      <c r="Q26" s="134" t="s">
        <v>24114</v>
      </c>
      <c r="R26" s="146" t="s">
        <v>15</v>
      </c>
      <c r="S26" s="147" t="s">
        <v>24149</v>
      </c>
      <c r="T26" s="148"/>
      <c r="U26" s="83" t="e">
        <f t="shared" si="5"/>
        <v>#N/A</v>
      </c>
      <c r="V26" s="83" t="e">
        <f t="shared" si="5"/>
        <v>#N/A</v>
      </c>
      <c r="W26" s="131" t="s">
        <v>24151</v>
      </c>
      <c r="X26" s="131" t="s">
        <v>24140</v>
      </c>
      <c r="Y26" s="34"/>
      <c r="Z26" s="140">
        <f t="shared" si="6"/>
        <v>24.5</v>
      </c>
      <c r="AA26" s="160">
        <f t="shared" si="1"/>
        <v>40.816326530612244</v>
      </c>
      <c r="AB26" s="160">
        <f t="shared" si="2"/>
        <v>36.734693877551024</v>
      </c>
      <c r="AC26" s="161">
        <f t="shared" si="3"/>
        <v>44.897959183673471</v>
      </c>
      <c r="AD26" s="29" t="str">
        <f t="shared" si="7"/>
        <v>Thép cuộn cán nóng 2.50x125X SAE1006</v>
      </c>
      <c r="AE26" s="37" t="str">
        <f>VLOOKUP(AD26,mvt!A:D,4,0)</f>
        <v>1251121918005</v>
      </c>
      <c r="AF26" s="137" t="e">
        <f>VLOOKUP('Theo dõi thực tế'!AD26,'ort9'!A:B,2,0)</f>
        <v>#N/A</v>
      </c>
      <c r="AG26" s="30" t="e">
        <f>VLOOKUP(AD26,'ort9'!D:E,2,0)</f>
        <v>#N/A</v>
      </c>
      <c r="AI26" s="30">
        <f t="shared" si="8"/>
        <v>4.0816326530612237</v>
      </c>
      <c r="AJ26" s="163" t="s">
        <v>24119</v>
      </c>
      <c r="AK26" s="30">
        <f t="shared" si="9"/>
        <v>4</v>
      </c>
      <c r="AL26" s="138" t="str">
        <f t="shared" si="10"/>
        <v>±4</v>
      </c>
    </row>
    <row r="27" spans="1:38" s="138" customFormat="1" ht="24" customHeight="1" x14ac:dyDescent="0.25">
      <c r="A27" s="35">
        <f t="shared" si="0"/>
        <v>18</v>
      </c>
      <c r="B27" s="383"/>
      <c r="C27" s="131" t="s">
        <v>24153</v>
      </c>
      <c r="D27" s="36" t="s">
        <v>24110</v>
      </c>
      <c r="E27" s="166">
        <v>0</v>
      </c>
      <c r="F27" s="165">
        <v>1000</v>
      </c>
      <c r="G27" s="83">
        <f t="shared" si="4"/>
        <v>40.816326530612244</v>
      </c>
      <c r="H27" s="165" t="s">
        <v>24121</v>
      </c>
      <c r="I27" s="165"/>
      <c r="J27" s="165"/>
      <c r="K27" s="165"/>
      <c r="L27" s="165"/>
      <c r="M27" s="165"/>
      <c r="N27" s="134" t="s">
        <v>24113</v>
      </c>
      <c r="O27" s="134" t="s">
        <v>24113</v>
      </c>
      <c r="P27" s="134" t="s">
        <v>24113</v>
      </c>
      <c r="Q27" s="134" t="s">
        <v>24114</v>
      </c>
      <c r="R27" s="146" t="s">
        <v>15</v>
      </c>
      <c r="S27" s="147" t="s">
        <v>24149</v>
      </c>
      <c r="T27" s="148"/>
      <c r="U27" s="83" t="e">
        <f t="shared" si="5"/>
        <v>#N/A</v>
      </c>
      <c r="V27" s="83" t="e">
        <f t="shared" si="5"/>
        <v>#N/A</v>
      </c>
      <c r="W27" s="131" t="s">
        <v>24151</v>
      </c>
      <c r="X27" s="131" t="s">
        <v>24140</v>
      </c>
      <c r="Y27" s="34"/>
      <c r="Z27" s="140">
        <f t="shared" si="6"/>
        <v>24.5</v>
      </c>
      <c r="AA27" s="160">
        <f t="shared" si="1"/>
        <v>40.816326530612244</v>
      </c>
      <c r="AB27" s="160">
        <f t="shared" si="2"/>
        <v>36.734693877551024</v>
      </c>
      <c r="AC27" s="161">
        <f t="shared" si="3"/>
        <v>44.897959183673471</v>
      </c>
      <c r="AD27" s="29" t="str">
        <f t="shared" si="7"/>
        <v>Thép cuộn cán nóng 2.30x125X SAE1006</v>
      </c>
      <c r="AE27" s="37" t="str">
        <f>VLOOKUP(AD27,mvt!A:D,4,0)</f>
        <v>1251121917985</v>
      </c>
      <c r="AF27" s="137" t="e">
        <f>VLOOKUP('Theo dõi thực tế'!AD27,'ort9'!A:B,2,0)</f>
        <v>#N/A</v>
      </c>
      <c r="AG27" s="30" t="e">
        <f>VLOOKUP(AD27,'ort9'!D:E,2,0)</f>
        <v>#N/A</v>
      </c>
      <c r="AI27" s="30">
        <f t="shared" si="8"/>
        <v>4.0816326530612237</v>
      </c>
      <c r="AJ27" s="163" t="s">
        <v>24119</v>
      </c>
      <c r="AK27" s="30">
        <f t="shared" si="9"/>
        <v>4</v>
      </c>
      <c r="AL27" s="138" t="str">
        <f t="shared" si="10"/>
        <v>±4</v>
      </c>
    </row>
    <row r="28" spans="1:38" s="138" customFormat="1" ht="24" customHeight="1" x14ac:dyDescent="0.25">
      <c r="A28" s="35">
        <f t="shared" si="0"/>
        <v>19</v>
      </c>
      <c r="B28" s="383"/>
      <c r="C28" s="131" t="s">
        <v>24154</v>
      </c>
      <c r="D28" s="36" t="s">
        <v>24110</v>
      </c>
      <c r="E28" s="166">
        <v>0</v>
      </c>
      <c r="F28" s="165">
        <v>2000</v>
      </c>
      <c r="G28" s="83">
        <f t="shared" si="4"/>
        <v>81.632653061224488</v>
      </c>
      <c r="H28" s="165" t="s">
        <v>24155</v>
      </c>
      <c r="I28" s="165"/>
      <c r="J28" s="165"/>
      <c r="K28" s="165"/>
      <c r="L28" s="165"/>
      <c r="M28" s="165"/>
      <c r="N28" s="134" t="s">
        <v>24113</v>
      </c>
      <c r="O28" s="134" t="s">
        <v>24113</v>
      </c>
      <c r="P28" s="134" t="s">
        <v>24113</v>
      </c>
      <c r="Q28" s="134" t="s">
        <v>24114</v>
      </c>
      <c r="R28" s="146" t="s">
        <v>15</v>
      </c>
      <c r="S28" s="147" t="s">
        <v>24149</v>
      </c>
      <c r="T28" s="148"/>
      <c r="U28" s="83" t="e">
        <f t="shared" si="5"/>
        <v>#N/A</v>
      </c>
      <c r="V28" s="83" t="e">
        <f t="shared" si="5"/>
        <v>#N/A</v>
      </c>
      <c r="W28" s="131" t="s">
        <v>24151</v>
      </c>
      <c r="X28" s="131" t="s">
        <v>24140</v>
      </c>
      <c r="Y28" s="34"/>
      <c r="Z28" s="140">
        <f t="shared" si="6"/>
        <v>24.5</v>
      </c>
      <c r="AA28" s="160">
        <f t="shared" si="1"/>
        <v>81.632653061224488</v>
      </c>
      <c r="AB28" s="160">
        <f t="shared" si="2"/>
        <v>73.469387755102048</v>
      </c>
      <c r="AC28" s="161">
        <f t="shared" si="3"/>
        <v>89.795918367346943</v>
      </c>
      <c r="AD28" s="29" t="str">
        <f t="shared" si="7"/>
        <v>Thép cuộn cán nóng 2.00x125X SAE1006</v>
      </c>
      <c r="AE28" s="37" t="str">
        <f>VLOOKUP(AD28,mvt!A:D,4,0)</f>
        <v>1251121917961</v>
      </c>
      <c r="AF28" s="137" t="e">
        <f>VLOOKUP('Theo dõi thực tế'!AD28,'ort9'!A:B,2,0)</f>
        <v>#N/A</v>
      </c>
      <c r="AG28" s="30" t="e">
        <f>VLOOKUP(AD28,'ort9'!D:E,2,0)</f>
        <v>#N/A</v>
      </c>
      <c r="AI28" s="30">
        <f t="shared" si="8"/>
        <v>8.1632653061224474</v>
      </c>
      <c r="AJ28" s="163" t="s">
        <v>24119</v>
      </c>
      <c r="AK28" s="30">
        <f t="shared" si="9"/>
        <v>8</v>
      </c>
      <c r="AL28" s="138" t="str">
        <f t="shared" si="10"/>
        <v>±8</v>
      </c>
    </row>
    <row r="29" spans="1:38" s="138" customFormat="1" ht="24" customHeight="1" x14ac:dyDescent="0.25">
      <c r="A29" s="35">
        <f t="shared" si="0"/>
        <v>20</v>
      </c>
      <c r="B29" s="383"/>
      <c r="C29" s="131" t="s">
        <v>24156</v>
      </c>
      <c r="D29" s="36" t="s">
        <v>24110</v>
      </c>
      <c r="E29" s="167">
        <v>200</v>
      </c>
      <c r="F29" s="165">
        <v>0</v>
      </c>
      <c r="G29" s="83">
        <f t="shared" si="4"/>
        <v>8.8888888888888893</v>
      </c>
      <c r="H29" s="165" t="s">
        <v>24132</v>
      </c>
      <c r="I29" s="165"/>
      <c r="J29" s="165"/>
      <c r="K29" s="165"/>
      <c r="L29" s="165"/>
      <c r="M29" s="165"/>
      <c r="N29" s="134" t="s">
        <v>24113</v>
      </c>
      <c r="O29" s="134" t="s">
        <v>24113</v>
      </c>
      <c r="P29" s="134" t="s">
        <v>24113</v>
      </c>
      <c r="Q29" s="134" t="s">
        <v>24114</v>
      </c>
      <c r="R29" s="146" t="s">
        <v>15</v>
      </c>
      <c r="S29" s="147" t="s">
        <v>24157</v>
      </c>
      <c r="T29" s="148"/>
      <c r="U29" s="83" t="e">
        <f t="shared" si="5"/>
        <v>#N/A</v>
      </c>
      <c r="V29" s="83" t="e">
        <f t="shared" si="5"/>
        <v>#N/A</v>
      </c>
      <c r="W29" s="131" t="s">
        <v>24158</v>
      </c>
      <c r="X29" s="131" t="s">
        <v>24118</v>
      </c>
      <c r="Y29" s="34"/>
      <c r="Z29" s="140">
        <f t="shared" si="6"/>
        <v>22.5</v>
      </c>
      <c r="AA29" s="160">
        <f t="shared" si="1"/>
        <v>8.8888888888888893</v>
      </c>
      <c r="AB29" s="160">
        <f t="shared" si="2"/>
        <v>8</v>
      </c>
      <c r="AC29" s="161">
        <f t="shared" si="3"/>
        <v>9.7777777777777786</v>
      </c>
      <c r="AD29" s="29" t="str">
        <f t="shared" si="7"/>
        <v>Thép cuộn cán nóng 3.95x123X SAE1006</v>
      </c>
      <c r="AE29" s="37" t="str">
        <f>VLOOKUP(AD29,mvt!A:D,4,0)</f>
        <v>1251121938942</v>
      </c>
      <c r="AF29" s="137" t="e">
        <f>VLOOKUP('Theo dõi thực tế'!AD29,'ort9'!A:B,2,0)</f>
        <v>#N/A</v>
      </c>
      <c r="AG29" s="30" t="e">
        <f>VLOOKUP(AD29,'ort9'!D:E,2,0)</f>
        <v>#N/A</v>
      </c>
      <c r="AI29" s="30">
        <f t="shared" si="8"/>
        <v>0.88888888888888928</v>
      </c>
      <c r="AJ29" s="163" t="s">
        <v>24119</v>
      </c>
      <c r="AK29" s="30">
        <f t="shared" si="9"/>
        <v>1</v>
      </c>
      <c r="AL29" s="138" t="str">
        <f t="shared" si="10"/>
        <v>±1</v>
      </c>
    </row>
    <row r="30" spans="1:38" s="138" customFormat="1" ht="24" customHeight="1" x14ac:dyDescent="0.25">
      <c r="A30" s="35">
        <f t="shared" si="0"/>
        <v>21</v>
      </c>
      <c r="B30" s="383"/>
      <c r="C30" s="131" t="s">
        <v>24156</v>
      </c>
      <c r="D30" s="36" t="s">
        <v>24110</v>
      </c>
      <c r="E30" s="165">
        <v>200</v>
      </c>
      <c r="F30" s="165">
        <v>0</v>
      </c>
      <c r="G30" s="83">
        <f t="shared" si="4"/>
        <v>57.142857142857146</v>
      </c>
      <c r="H30" s="165" t="s">
        <v>24159</v>
      </c>
      <c r="I30" s="165"/>
      <c r="J30" s="165"/>
      <c r="K30" s="165"/>
      <c r="L30" s="165"/>
      <c r="M30" s="165"/>
      <c r="N30" s="134" t="s">
        <v>24113</v>
      </c>
      <c r="O30" s="134" t="s">
        <v>24113</v>
      </c>
      <c r="P30" s="134" t="s">
        <v>24113</v>
      </c>
      <c r="Q30" s="134" t="s">
        <v>24114</v>
      </c>
      <c r="R30" s="146" t="s">
        <v>15</v>
      </c>
      <c r="S30" s="147" t="s">
        <v>24157</v>
      </c>
      <c r="T30" s="148"/>
      <c r="U30" s="83" t="e">
        <f t="shared" si="5"/>
        <v>#N/A</v>
      </c>
      <c r="V30" s="83" t="e">
        <f t="shared" si="5"/>
        <v>#N/A</v>
      </c>
      <c r="W30" s="131" t="s">
        <v>24160</v>
      </c>
      <c r="X30" s="131" t="s">
        <v>24118</v>
      </c>
      <c r="Y30" s="34"/>
      <c r="Z30" s="140">
        <f t="shared" si="6"/>
        <v>3.5</v>
      </c>
      <c r="AA30" s="160">
        <f t="shared" si="1"/>
        <v>57.142857142857146</v>
      </c>
      <c r="AB30" s="160">
        <f t="shared" si="2"/>
        <v>51.428571428571431</v>
      </c>
      <c r="AC30" s="161">
        <f t="shared" si="3"/>
        <v>62.857142857142868</v>
      </c>
      <c r="AD30" s="29" t="str">
        <f t="shared" si="7"/>
        <v>Thép cuộn cán nóng 3.95x123X SAE1006</v>
      </c>
      <c r="AE30" s="37" t="str">
        <f>VLOOKUP(AD30,mvt!A:D,4,0)</f>
        <v>1251121938942</v>
      </c>
      <c r="AF30" s="137" t="e">
        <f>VLOOKUP('Theo dõi thực tế'!AD30,'ort9'!A:B,2,0)</f>
        <v>#N/A</v>
      </c>
      <c r="AG30" s="30" t="e">
        <f>VLOOKUP(AD30,'ort9'!D:E,2,0)</f>
        <v>#N/A</v>
      </c>
      <c r="AI30" s="30">
        <f t="shared" si="8"/>
        <v>5.7142857142857189</v>
      </c>
      <c r="AJ30" s="163" t="s">
        <v>24119</v>
      </c>
      <c r="AK30" s="30">
        <f t="shared" si="9"/>
        <v>6</v>
      </c>
      <c r="AL30" s="138" t="str">
        <f t="shared" si="10"/>
        <v>±6</v>
      </c>
    </row>
    <row r="31" spans="1:38" s="138" customFormat="1" ht="24" customHeight="1" x14ac:dyDescent="0.25">
      <c r="A31" s="35">
        <f t="shared" si="0"/>
        <v>22</v>
      </c>
      <c r="B31" s="383"/>
      <c r="C31" s="131" t="s">
        <v>24161</v>
      </c>
      <c r="D31" s="36" t="s">
        <v>24110</v>
      </c>
      <c r="E31" s="167">
        <v>0</v>
      </c>
      <c r="F31" s="165">
        <v>5900</v>
      </c>
      <c r="G31" s="83">
        <f t="shared" si="4"/>
        <v>274.41860465116281</v>
      </c>
      <c r="H31" s="165" t="s">
        <v>24162</v>
      </c>
      <c r="I31" s="165"/>
      <c r="J31" s="165"/>
      <c r="K31" s="165"/>
      <c r="L31" s="165"/>
      <c r="M31" s="165"/>
      <c r="N31" s="134" t="s">
        <v>24113</v>
      </c>
      <c r="O31" s="134" t="s">
        <v>24113</v>
      </c>
      <c r="P31" s="134" t="s">
        <v>24113</v>
      </c>
      <c r="Q31" s="134" t="s">
        <v>24114</v>
      </c>
      <c r="R31" s="146" t="s">
        <v>15</v>
      </c>
      <c r="S31" s="147" t="s">
        <v>24157</v>
      </c>
      <c r="T31" s="148"/>
      <c r="U31" s="83" t="e">
        <f t="shared" si="5"/>
        <v>#N/A</v>
      </c>
      <c r="V31" s="83" t="e">
        <f t="shared" si="5"/>
        <v>#N/A</v>
      </c>
      <c r="W31" s="131" t="s">
        <v>24139</v>
      </c>
      <c r="X31" s="131" t="s">
        <v>24140</v>
      </c>
      <c r="Y31" s="34"/>
      <c r="Z31" s="140">
        <f t="shared" si="6"/>
        <v>21.5</v>
      </c>
      <c r="AA31" s="160">
        <f t="shared" si="1"/>
        <v>274.41860465116281</v>
      </c>
      <c r="AB31" s="160">
        <f t="shared" si="2"/>
        <v>246.97674418604652</v>
      </c>
      <c r="AC31" s="161">
        <f t="shared" si="3"/>
        <v>301.8604651162791</v>
      </c>
      <c r="AD31" s="29" t="str">
        <f t="shared" si="7"/>
        <v>Thép cuộn cán nóng 2.50x123X SAE1006</v>
      </c>
      <c r="AE31" s="37" t="str">
        <f>VLOOKUP(AD31,mvt!A:D,4,0)</f>
        <v>1251121918081</v>
      </c>
      <c r="AF31" s="137" t="e">
        <f>VLOOKUP('Theo dõi thực tế'!AD31,'ort9'!A:B,2,0)</f>
        <v>#N/A</v>
      </c>
      <c r="AG31" s="30" t="e">
        <f>VLOOKUP(AD31,'ort9'!D:E,2,0)</f>
        <v>#N/A</v>
      </c>
      <c r="AI31" s="30">
        <f t="shared" si="8"/>
        <v>27.441860465116292</v>
      </c>
      <c r="AJ31" s="163" t="s">
        <v>24119</v>
      </c>
      <c r="AK31" s="30">
        <f t="shared" si="9"/>
        <v>27</v>
      </c>
      <c r="AL31" s="138" t="str">
        <f t="shared" si="10"/>
        <v>±27</v>
      </c>
    </row>
    <row r="32" spans="1:38" s="138" customFormat="1" ht="24" customHeight="1" x14ac:dyDescent="0.25">
      <c r="A32" s="35"/>
      <c r="B32" s="383"/>
      <c r="C32" s="131" t="s">
        <v>24163</v>
      </c>
      <c r="D32" s="36" t="s">
        <v>24110</v>
      </c>
      <c r="E32" s="167">
        <v>50</v>
      </c>
      <c r="F32" s="165">
        <v>0</v>
      </c>
      <c r="G32" s="83">
        <f t="shared" si="4"/>
        <v>2.2222222222222223</v>
      </c>
      <c r="H32" s="165" t="s">
        <v>24111</v>
      </c>
      <c r="I32" s="165"/>
      <c r="J32" s="165"/>
      <c r="K32" s="165"/>
      <c r="L32" s="165"/>
      <c r="M32" s="165"/>
      <c r="N32" s="134" t="s">
        <v>24113</v>
      </c>
      <c r="O32" s="134" t="s">
        <v>24113</v>
      </c>
      <c r="P32" s="134" t="s">
        <v>24113</v>
      </c>
      <c r="Q32" s="134" t="s">
        <v>24114</v>
      </c>
      <c r="R32" s="146" t="s">
        <v>15</v>
      </c>
      <c r="S32" s="147" t="s">
        <v>24157</v>
      </c>
      <c r="T32" s="162" t="s">
        <v>24150</v>
      </c>
      <c r="U32" s="83" t="e">
        <f t="shared" si="5"/>
        <v>#N/A</v>
      </c>
      <c r="V32" s="83" t="e">
        <f t="shared" si="5"/>
        <v>#N/A</v>
      </c>
      <c r="W32" s="131" t="s">
        <v>24127</v>
      </c>
      <c r="X32" s="131" t="s">
        <v>24118</v>
      </c>
      <c r="Y32" s="34"/>
      <c r="Z32" s="140">
        <f t="shared" si="6"/>
        <v>22.5</v>
      </c>
      <c r="AA32" s="160">
        <f t="shared" si="1"/>
        <v>2.2222222222222223</v>
      </c>
      <c r="AB32" s="160">
        <f t="shared" si="2"/>
        <v>2</v>
      </c>
      <c r="AC32" s="161">
        <f t="shared" si="3"/>
        <v>2.4444444444444446</v>
      </c>
      <c r="AD32" s="29" t="str">
        <f t="shared" si="7"/>
        <v>Thép cuộn cán nóng 2.30x123X SAE1006</v>
      </c>
      <c r="AE32" s="37" t="str">
        <f>VLOOKUP(AD32,mvt!A:D,4,0)</f>
        <v>1251121917640</v>
      </c>
      <c r="AF32" s="137" t="e">
        <f>VLOOKUP('Theo dõi thực tế'!AD32,'ort9'!A:B,2,0)</f>
        <v>#N/A</v>
      </c>
      <c r="AG32" s="30" t="e">
        <f>VLOOKUP(AD32,'ort9'!D:E,2,0)</f>
        <v>#N/A</v>
      </c>
      <c r="AI32" s="30">
        <f t="shared" si="8"/>
        <v>0.22222222222222232</v>
      </c>
      <c r="AJ32" s="163" t="s">
        <v>24119</v>
      </c>
      <c r="AK32" s="30">
        <f t="shared" si="9"/>
        <v>0</v>
      </c>
      <c r="AL32" s="138" t="str">
        <f t="shared" si="10"/>
        <v>±0</v>
      </c>
    </row>
    <row r="33" spans="1:38" s="138" customFormat="1" ht="24" customHeight="1" x14ac:dyDescent="0.25">
      <c r="A33" s="35">
        <f t="shared" si="0"/>
        <v>24</v>
      </c>
      <c r="B33" s="383"/>
      <c r="C33" s="131" t="s">
        <v>24164</v>
      </c>
      <c r="D33" s="36" t="s">
        <v>24110</v>
      </c>
      <c r="E33" s="167">
        <v>715</v>
      </c>
      <c r="F33" s="165">
        <v>0</v>
      </c>
      <c r="G33" s="83">
        <f t="shared" si="4"/>
        <v>31.086956521739129</v>
      </c>
      <c r="H33" s="165" t="s">
        <v>24165</v>
      </c>
      <c r="I33" s="165"/>
      <c r="J33" s="165"/>
      <c r="K33" s="165"/>
      <c r="L33" s="165"/>
      <c r="M33" s="165"/>
      <c r="N33" s="134" t="s">
        <v>24113</v>
      </c>
      <c r="O33" s="134" t="s">
        <v>24113</v>
      </c>
      <c r="P33" s="134" t="s">
        <v>24113</v>
      </c>
      <c r="Q33" s="134" t="s">
        <v>24114</v>
      </c>
      <c r="R33" s="146" t="s">
        <v>15</v>
      </c>
      <c r="S33" s="147" t="s">
        <v>24157</v>
      </c>
      <c r="T33" s="148" t="s">
        <v>24126</v>
      </c>
      <c r="U33" s="83" t="e">
        <f t="shared" si="5"/>
        <v>#N/A</v>
      </c>
      <c r="V33" s="83" t="e">
        <f t="shared" si="5"/>
        <v>#N/A</v>
      </c>
      <c r="W33" s="131" t="s">
        <v>24127</v>
      </c>
      <c r="X33" s="131" t="s">
        <v>24118</v>
      </c>
      <c r="Y33" s="34"/>
      <c r="Z33" s="140" t="str">
        <f t="shared" ref="Z33:Z39" si="11">RIGHT(W33,2)</f>
        <v>23</v>
      </c>
      <c r="AA33" s="160">
        <f t="shared" si="1"/>
        <v>31.086956521739129</v>
      </c>
      <c r="AB33" s="160">
        <f t="shared" si="2"/>
        <v>27.978260869565219</v>
      </c>
      <c r="AC33" s="161">
        <f t="shared" si="3"/>
        <v>34.195652173913047</v>
      </c>
      <c r="AD33" s="29" t="str">
        <f t="shared" si="7"/>
        <v>Thép cuộn cán nóng 2.00x123X SAE1006</v>
      </c>
      <c r="AE33" s="37" t="str">
        <f>VLOOKUP(AD33,mvt!A:D,4,0)</f>
        <v>1251121917749</v>
      </c>
      <c r="AF33" s="137" t="e">
        <f>VLOOKUP('Theo dõi thực tế'!AD33,'ort9'!A:B,2,0)</f>
        <v>#N/A</v>
      </c>
      <c r="AG33" s="30" t="e">
        <f>VLOOKUP(AD33,'ort9'!D:E,2,0)</f>
        <v>#N/A</v>
      </c>
      <c r="AI33" s="30">
        <f t="shared" si="8"/>
        <v>3.108695652173914</v>
      </c>
      <c r="AJ33" s="163" t="s">
        <v>24119</v>
      </c>
      <c r="AK33" s="30">
        <f t="shared" si="9"/>
        <v>3</v>
      </c>
      <c r="AL33" s="138" t="str">
        <f t="shared" si="10"/>
        <v>±3</v>
      </c>
    </row>
    <row r="34" spans="1:38" s="138" customFormat="1" ht="24" customHeight="1" x14ac:dyDescent="0.25">
      <c r="A34" s="35">
        <f t="shared" si="0"/>
        <v>25</v>
      </c>
      <c r="B34" s="383"/>
      <c r="C34" s="131" t="s">
        <v>24166</v>
      </c>
      <c r="D34" s="36" t="s">
        <v>24110</v>
      </c>
      <c r="E34" s="167">
        <v>0</v>
      </c>
      <c r="F34" s="165">
        <v>2322</v>
      </c>
      <c r="G34" s="83">
        <f t="shared" si="4"/>
        <v>96.75</v>
      </c>
      <c r="H34" s="165" t="s">
        <v>24167</v>
      </c>
      <c r="I34" s="165"/>
      <c r="J34" s="165"/>
      <c r="K34" s="165"/>
      <c r="L34" s="165"/>
      <c r="M34" s="165"/>
      <c r="N34" s="134" t="s">
        <v>24113</v>
      </c>
      <c r="O34" s="134" t="s">
        <v>24113</v>
      </c>
      <c r="P34" s="134" t="s">
        <v>24113</v>
      </c>
      <c r="Q34" s="134" t="s">
        <v>24114</v>
      </c>
      <c r="R34" s="146" t="s">
        <v>15</v>
      </c>
      <c r="S34" s="147" t="s">
        <v>24168</v>
      </c>
      <c r="T34" s="148" t="s">
        <v>24169</v>
      </c>
      <c r="U34" s="83" t="e">
        <f t="shared" si="5"/>
        <v>#N/A</v>
      </c>
      <c r="V34" s="83" t="e">
        <f t="shared" si="5"/>
        <v>#N/A</v>
      </c>
      <c r="W34" s="131" t="s">
        <v>24170</v>
      </c>
      <c r="X34" s="131" t="s">
        <v>24171</v>
      </c>
      <c r="Y34" s="132"/>
      <c r="Z34" s="140" t="str">
        <f t="shared" si="11"/>
        <v>24</v>
      </c>
      <c r="AA34" s="160">
        <f t="shared" si="1"/>
        <v>96.75</v>
      </c>
      <c r="AB34" s="160">
        <f t="shared" si="2"/>
        <v>87.075000000000003</v>
      </c>
      <c r="AC34" s="161">
        <f t="shared" si="3"/>
        <v>106.42500000000001</v>
      </c>
      <c r="AD34" s="29" t="str">
        <f t="shared" si="7"/>
        <v>Thép cuộn cán nóng 3.00x122X SAE1006</v>
      </c>
      <c r="AE34" s="37" t="str">
        <f>VLOOKUP(AD34,mvt!A:D,4,0)</f>
        <v>1251121939512</v>
      </c>
      <c r="AF34" s="137" t="e">
        <f>VLOOKUP('Theo dõi thực tế'!AD34,'ort9'!A:B,2,0)</f>
        <v>#N/A</v>
      </c>
      <c r="AG34" s="30" t="e">
        <f>VLOOKUP(AD34,'ort9'!D:E,2,0)</f>
        <v>#N/A</v>
      </c>
      <c r="AI34" s="30">
        <f t="shared" si="8"/>
        <v>9.6750000000000043</v>
      </c>
      <c r="AJ34" s="163" t="s">
        <v>24119</v>
      </c>
      <c r="AK34" s="30">
        <f t="shared" si="9"/>
        <v>10</v>
      </c>
      <c r="AL34" s="138" t="str">
        <f t="shared" si="10"/>
        <v>±10</v>
      </c>
    </row>
    <row r="35" spans="1:38" s="138" customFormat="1" ht="24" customHeight="1" x14ac:dyDescent="0.25">
      <c r="A35" s="35">
        <f t="shared" si="0"/>
        <v>26</v>
      </c>
      <c r="B35" s="383"/>
      <c r="C35" s="131" t="s">
        <v>24166</v>
      </c>
      <c r="D35" s="36" t="s">
        <v>24110</v>
      </c>
      <c r="E35" s="167">
        <v>0</v>
      </c>
      <c r="F35" s="165">
        <v>1900</v>
      </c>
      <c r="G35" s="83">
        <f t="shared" si="4"/>
        <v>79.166666666666671</v>
      </c>
      <c r="H35" s="165" t="s">
        <v>24155</v>
      </c>
      <c r="I35" s="165"/>
      <c r="J35" s="165"/>
      <c r="K35" s="165"/>
      <c r="L35" s="165"/>
      <c r="M35" s="165"/>
      <c r="N35" s="134" t="s">
        <v>24113</v>
      </c>
      <c r="O35" s="134" t="s">
        <v>24113</v>
      </c>
      <c r="P35" s="134" t="s">
        <v>24113</v>
      </c>
      <c r="Q35" s="134" t="s">
        <v>24114</v>
      </c>
      <c r="R35" s="146" t="s">
        <v>15</v>
      </c>
      <c r="S35" s="147" t="s">
        <v>24168</v>
      </c>
      <c r="T35" s="148" t="s">
        <v>24169</v>
      </c>
      <c r="U35" s="83" t="e">
        <f t="shared" si="5"/>
        <v>#N/A</v>
      </c>
      <c r="V35" s="83" t="e">
        <f t="shared" si="5"/>
        <v>#N/A</v>
      </c>
      <c r="W35" s="131" t="s">
        <v>24170</v>
      </c>
      <c r="X35" s="131" t="s">
        <v>24171</v>
      </c>
      <c r="Y35" s="34"/>
      <c r="Z35" s="140" t="str">
        <f t="shared" si="11"/>
        <v>24</v>
      </c>
      <c r="AA35" s="160">
        <f t="shared" si="1"/>
        <v>79.166666666666671</v>
      </c>
      <c r="AB35" s="160">
        <f t="shared" si="2"/>
        <v>71.25</v>
      </c>
      <c r="AC35" s="161">
        <f t="shared" si="3"/>
        <v>87.083333333333329</v>
      </c>
      <c r="AD35" s="29" t="str">
        <f t="shared" si="7"/>
        <v>Thép cuộn cán nóng 3.00x122X SAE1006</v>
      </c>
      <c r="AE35" s="37" t="str">
        <f>VLOOKUP(AD35,mvt!A:D,4,0)</f>
        <v>1251121939512</v>
      </c>
      <c r="AF35" s="137" t="e">
        <f>VLOOKUP('Theo dõi thực tế'!AD35,'ort9'!A:B,2,0)</f>
        <v>#N/A</v>
      </c>
      <c r="AG35" s="30" t="e">
        <f>VLOOKUP(AD35,'ort9'!D:E,2,0)</f>
        <v>#N/A</v>
      </c>
      <c r="AI35" s="30">
        <f t="shared" si="8"/>
        <v>7.9166666666666643</v>
      </c>
      <c r="AJ35" s="163" t="s">
        <v>24119</v>
      </c>
      <c r="AK35" s="30">
        <f t="shared" si="9"/>
        <v>8</v>
      </c>
      <c r="AL35" s="138" t="str">
        <f t="shared" si="10"/>
        <v>±8</v>
      </c>
    </row>
    <row r="36" spans="1:38" s="138" customFormat="1" ht="24" customHeight="1" x14ac:dyDescent="0.25">
      <c r="A36" s="35">
        <f t="shared" si="0"/>
        <v>27</v>
      </c>
      <c r="B36" s="383"/>
      <c r="C36" s="131" t="s">
        <v>24172</v>
      </c>
      <c r="D36" s="36" t="s">
        <v>24110</v>
      </c>
      <c r="E36" s="167">
        <v>0</v>
      </c>
      <c r="F36" s="165">
        <v>1500</v>
      </c>
      <c r="G36" s="83">
        <f t="shared" si="4"/>
        <v>62.5</v>
      </c>
      <c r="H36" s="165" t="s">
        <v>24159</v>
      </c>
      <c r="I36" s="165"/>
      <c r="J36" s="165"/>
      <c r="K36" s="165"/>
      <c r="L36" s="165"/>
      <c r="M36" s="165"/>
      <c r="N36" s="134" t="s">
        <v>24113</v>
      </c>
      <c r="O36" s="134" t="s">
        <v>24113</v>
      </c>
      <c r="P36" s="134" t="s">
        <v>24113</v>
      </c>
      <c r="Q36" s="134" t="s">
        <v>24114</v>
      </c>
      <c r="R36" s="146" t="s">
        <v>15</v>
      </c>
      <c r="S36" s="147" t="s">
        <v>24168</v>
      </c>
      <c r="T36" s="148" t="s">
        <v>24169</v>
      </c>
      <c r="U36" s="83" t="e">
        <f t="shared" si="5"/>
        <v>#N/A</v>
      </c>
      <c r="V36" s="83" t="e">
        <f t="shared" si="5"/>
        <v>#N/A</v>
      </c>
      <c r="W36" s="131" t="s">
        <v>24170</v>
      </c>
      <c r="X36" s="131" t="s">
        <v>24171</v>
      </c>
      <c r="Y36" s="34"/>
      <c r="Z36" s="140" t="str">
        <f t="shared" si="11"/>
        <v>24</v>
      </c>
      <c r="AA36" s="160">
        <f t="shared" si="1"/>
        <v>62.5</v>
      </c>
      <c r="AB36" s="160">
        <f t="shared" si="2"/>
        <v>56.25</v>
      </c>
      <c r="AC36" s="161">
        <f t="shared" si="3"/>
        <v>68.750000000000014</v>
      </c>
      <c r="AD36" s="29" t="str">
        <f t="shared" si="7"/>
        <v>Thép cuộn cán nóng 2.75x122X SAE1006</v>
      </c>
      <c r="AE36" s="37" t="str">
        <f>VLOOKUP(AD36,mvt!A:D,4,0)</f>
        <v>1251121976814</v>
      </c>
      <c r="AF36" s="137" t="e">
        <f>VLOOKUP('Theo dõi thực tế'!AD36,'ort9'!A:B,2,0)</f>
        <v>#N/A</v>
      </c>
      <c r="AG36" s="30" t="e">
        <f>VLOOKUP(AD36,'ort9'!D:E,2,0)</f>
        <v>#N/A</v>
      </c>
      <c r="AI36" s="30">
        <f t="shared" si="8"/>
        <v>6.2500000000000071</v>
      </c>
      <c r="AJ36" s="163" t="s">
        <v>24119</v>
      </c>
      <c r="AK36" s="30">
        <f t="shared" si="9"/>
        <v>6</v>
      </c>
      <c r="AL36" s="138" t="str">
        <f t="shared" si="10"/>
        <v>±6</v>
      </c>
    </row>
    <row r="37" spans="1:38" s="138" customFormat="1" ht="24" customHeight="1" x14ac:dyDescent="0.25">
      <c r="A37" s="35">
        <f t="shared" si="0"/>
        <v>28</v>
      </c>
      <c r="B37" s="383"/>
      <c r="C37" s="131" t="s">
        <v>24172</v>
      </c>
      <c r="D37" s="36" t="s">
        <v>24110</v>
      </c>
      <c r="E37" s="167">
        <v>0</v>
      </c>
      <c r="F37" s="165">
        <v>1000</v>
      </c>
      <c r="G37" s="83">
        <f t="shared" si="4"/>
        <v>41.666666666666664</v>
      </c>
      <c r="H37" s="165" t="s">
        <v>24121</v>
      </c>
      <c r="I37" s="165"/>
      <c r="J37" s="165"/>
      <c r="K37" s="165"/>
      <c r="L37" s="165"/>
      <c r="M37" s="165"/>
      <c r="N37" s="134" t="s">
        <v>24113</v>
      </c>
      <c r="O37" s="134" t="s">
        <v>24113</v>
      </c>
      <c r="P37" s="134" t="s">
        <v>24113</v>
      </c>
      <c r="Q37" s="134" t="s">
        <v>24114</v>
      </c>
      <c r="R37" s="146" t="s">
        <v>15</v>
      </c>
      <c r="S37" s="147" t="s">
        <v>24168</v>
      </c>
      <c r="T37" s="148" t="s">
        <v>24169</v>
      </c>
      <c r="U37" s="83" t="e">
        <f t="shared" si="5"/>
        <v>#N/A</v>
      </c>
      <c r="V37" s="83" t="e">
        <f t="shared" si="5"/>
        <v>#N/A</v>
      </c>
      <c r="W37" s="131" t="s">
        <v>24170</v>
      </c>
      <c r="X37" s="131" t="s">
        <v>24171</v>
      </c>
      <c r="Y37" s="132"/>
      <c r="Z37" s="140" t="str">
        <f t="shared" si="11"/>
        <v>24</v>
      </c>
      <c r="AA37" s="160">
        <f t="shared" si="1"/>
        <v>41.666666666666664</v>
      </c>
      <c r="AB37" s="160">
        <f t="shared" si="2"/>
        <v>37.5</v>
      </c>
      <c r="AC37" s="161">
        <f t="shared" si="3"/>
        <v>45.833333333333336</v>
      </c>
      <c r="AD37" s="29" t="str">
        <f t="shared" si="7"/>
        <v>Thép cuộn cán nóng 2.75x122X SAE1006</v>
      </c>
      <c r="AE37" s="37" t="str">
        <f>VLOOKUP(AD37,mvt!A:D,4,0)</f>
        <v>1251121976814</v>
      </c>
      <c r="AF37" s="137" t="e">
        <f>VLOOKUP('Theo dõi thực tế'!AD37,'ort9'!A:B,2,0)</f>
        <v>#N/A</v>
      </c>
      <c r="AG37" s="30" t="e">
        <f>VLOOKUP(AD37,'ort9'!D:E,2,0)</f>
        <v>#N/A</v>
      </c>
      <c r="AI37" s="30">
        <f t="shared" si="8"/>
        <v>4.1666666666666679</v>
      </c>
      <c r="AJ37" s="163" t="s">
        <v>24119</v>
      </c>
      <c r="AK37" s="30">
        <f t="shared" si="9"/>
        <v>4</v>
      </c>
      <c r="AL37" s="138" t="str">
        <f t="shared" si="10"/>
        <v>±4</v>
      </c>
    </row>
    <row r="38" spans="1:38" s="138" customFormat="1" ht="24" customHeight="1" x14ac:dyDescent="0.25">
      <c r="A38" s="35">
        <f t="shared" si="0"/>
        <v>29</v>
      </c>
      <c r="B38" s="383"/>
      <c r="C38" s="131" t="s">
        <v>24173</v>
      </c>
      <c r="D38" s="36" t="s">
        <v>24110</v>
      </c>
      <c r="E38" s="167">
        <v>0</v>
      </c>
      <c r="F38" s="165">
        <v>500</v>
      </c>
      <c r="G38" s="83">
        <f t="shared" si="4"/>
        <v>20.833333333333332</v>
      </c>
      <c r="H38" s="165" t="s">
        <v>24124</v>
      </c>
      <c r="I38" s="165"/>
      <c r="J38" s="165"/>
      <c r="K38" s="165"/>
      <c r="L38" s="165"/>
      <c r="M38" s="165"/>
      <c r="N38" s="134" t="s">
        <v>24113</v>
      </c>
      <c r="O38" s="134" t="s">
        <v>24113</v>
      </c>
      <c r="P38" s="134" t="s">
        <v>24113</v>
      </c>
      <c r="Q38" s="134" t="s">
        <v>24114</v>
      </c>
      <c r="R38" s="146" t="s">
        <v>15</v>
      </c>
      <c r="S38" s="147" t="s">
        <v>24168</v>
      </c>
      <c r="T38" s="148" t="s">
        <v>24169</v>
      </c>
      <c r="U38" s="83" t="e">
        <f t="shared" si="5"/>
        <v>#N/A</v>
      </c>
      <c r="V38" s="83" t="e">
        <f t="shared" si="5"/>
        <v>#N/A</v>
      </c>
      <c r="W38" s="131" t="s">
        <v>24170</v>
      </c>
      <c r="X38" s="131" t="s">
        <v>24171</v>
      </c>
      <c r="Y38" s="132"/>
      <c r="Z38" s="140" t="str">
        <f t="shared" si="11"/>
        <v>24</v>
      </c>
      <c r="AA38" s="160">
        <f t="shared" si="1"/>
        <v>20.833333333333332</v>
      </c>
      <c r="AB38" s="160">
        <f t="shared" si="2"/>
        <v>18.75</v>
      </c>
      <c r="AC38" s="161">
        <f t="shared" si="3"/>
        <v>22.916666666666668</v>
      </c>
      <c r="AD38" s="29" t="str">
        <f t="shared" si="7"/>
        <v>Thép cuộn cán nóng 2.50x122X SAE1006</v>
      </c>
      <c r="AE38" s="37" t="str">
        <f>VLOOKUP(AD38,mvt!A:D,4,0)</f>
        <v>1251121954737</v>
      </c>
      <c r="AF38" s="137" t="e">
        <f>VLOOKUP('Theo dõi thực tế'!AD38,'ort9'!A:B,2,0)</f>
        <v>#N/A</v>
      </c>
      <c r="AG38" s="30" t="e">
        <f>VLOOKUP(AD38,'ort9'!D:E,2,0)</f>
        <v>#N/A</v>
      </c>
      <c r="AI38" s="30">
        <f t="shared" si="8"/>
        <v>2.0833333333333339</v>
      </c>
      <c r="AJ38" s="163" t="s">
        <v>24119</v>
      </c>
      <c r="AK38" s="30">
        <f t="shared" si="9"/>
        <v>2</v>
      </c>
      <c r="AL38" s="138" t="str">
        <f t="shared" si="10"/>
        <v>±2</v>
      </c>
    </row>
    <row r="39" spans="1:38" s="138" customFormat="1" ht="24" customHeight="1" x14ac:dyDescent="0.25">
      <c r="A39" s="35">
        <f t="shared" si="0"/>
        <v>30</v>
      </c>
      <c r="B39" s="384"/>
      <c r="C39" s="131" t="s">
        <v>24173</v>
      </c>
      <c r="D39" s="36" t="s">
        <v>24110</v>
      </c>
      <c r="E39" s="167">
        <v>0</v>
      </c>
      <c r="F39" s="165">
        <v>1500</v>
      </c>
      <c r="G39" s="83">
        <f t="shared" si="4"/>
        <v>62.5</v>
      </c>
      <c r="H39" s="165" t="s">
        <v>24159</v>
      </c>
      <c r="I39" s="165"/>
      <c r="J39" s="165"/>
      <c r="K39" s="165"/>
      <c r="L39" s="165"/>
      <c r="M39" s="165"/>
      <c r="N39" s="134" t="s">
        <v>24113</v>
      </c>
      <c r="O39" s="134" t="s">
        <v>24113</v>
      </c>
      <c r="P39" s="134" t="s">
        <v>24113</v>
      </c>
      <c r="Q39" s="134" t="s">
        <v>24114</v>
      </c>
      <c r="R39" s="146" t="s">
        <v>15</v>
      </c>
      <c r="S39" s="147" t="s">
        <v>24168</v>
      </c>
      <c r="T39" s="148" t="s">
        <v>24169</v>
      </c>
      <c r="U39" s="83" t="e">
        <f t="shared" si="5"/>
        <v>#N/A</v>
      </c>
      <c r="V39" s="83" t="e">
        <f t="shared" si="5"/>
        <v>#N/A</v>
      </c>
      <c r="W39" s="131" t="s">
        <v>24170</v>
      </c>
      <c r="X39" s="131" t="s">
        <v>24171</v>
      </c>
      <c r="Y39" s="132"/>
      <c r="Z39" s="140" t="str">
        <f t="shared" si="11"/>
        <v>24</v>
      </c>
      <c r="AA39" s="160">
        <f t="shared" si="1"/>
        <v>62.5</v>
      </c>
      <c r="AB39" s="160">
        <f t="shared" si="2"/>
        <v>56.25</v>
      </c>
      <c r="AC39" s="161">
        <f t="shared" si="3"/>
        <v>68.750000000000014</v>
      </c>
      <c r="AD39" s="29" t="str">
        <f t="shared" si="7"/>
        <v>Thép cuộn cán nóng 2.50x122X SAE1006</v>
      </c>
      <c r="AE39" s="37" t="str">
        <f>VLOOKUP(AD39,mvt!A:D,4,0)</f>
        <v>1251121954737</v>
      </c>
      <c r="AF39" s="137" t="e">
        <f>VLOOKUP('Theo dõi thực tế'!AD39,'ort9'!A:B,2,0)</f>
        <v>#N/A</v>
      </c>
      <c r="AG39" s="30" t="e">
        <f>VLOOKUP(AD39,'ort9'!D:E,2,0)</f>
        <v>#N/A</v>
      </c>
      <c r="AI39" s="30">
        <f t="shared" si="8"/>
        <v>6.2500000000000071</v>
      </c>
      <c r="AJ39" s="163" t="s">
        <v>24119</v>
      </c>
      <c r="AK39" s="30">
        <f t="shared" si="9"/>
        <v>6</v>
      </c>
      <c r="AL39" s="138" t="str">
        <f t="shared" si="10"/>
        <v>±6</v>
      </c>
    </row>
    <row r="40" spans="1:38" s="10" customFormat="1" ht="14.25" customHeight="1" x14ac:dyDescent="0.2">
      <c r="A40" s="35">
        <f t="shared" si="0"/>
        <v>31</v>
      </c>
      <c r="B40" s="38" t="s">
        <v>19</v>
      </c>
      <c r="C40" s="39"/>
      <c r="D40" s="40"/>
      <c r="E40" s="41">
        <f>SUM(E10:E39)</f>
        <v>14365</v>
      </c>
      <c r="F40" s="41">
        <f>SUM(F10:F39)</f>
        <v>22232</v>
      </c>
      <c r="G40" s="41">
        <f>SUM(G10:G39)</f>
        <v>1646.787118146673</v>
      </c>
      <c r="H40" s="41">
        <f>SUM(H10:H39)</f>
        <v>0</v>
      </c>
      <c r="I40" s="169"/>
      <c r="J40" s="169"/>
      <c r="K40" s="169"/>
      <c r="L40" s="169"/>
      <c r="M40" s="169"/>
      <c r="N40" s="153"/>
      <c r="O40" s="154"/>
      <c r="P40" s="154"/>
      <c r="Q40" s="154"/>
      <c r="R40" s="155"/>
      <c r="S40" s="156"/>
      <c r="T40" s="157"/>
      <c r="U40" s="154"/>
      <c r="V40" s="154"/>
      <c r="W40" s="158"/>
      <c r="X40" s="159"/>
      <c r="Y40" s="42"/>
      <c r="Z40" s="42"/>
      <c r="AA40" s="42"/>
      <c r="AB40" s="42"/>
      <c r="AC40" s="42"/>
      <c r="AD40" s="29" t="str">
        <f t="shared" si="7"/>
        <v xml:space="preserve">Thép cuộn cán nóng  </v>
      </c>
      <c r="AE40" s="37" t="e">
        <f>VLOOKUP(AD40,mvt!A:D,4,0)</f>
        <v>#N/A</v>
      </c>
      <c r="AF40" s="137" t="e">
        <f>VLOOKUP('Theo dõi thực tế'!AD40,'ort9'!A:B,2,0)</f>
        <v>#N/A</v>
      </c>
      <c r="AG40" s="30" t="e">
        <f>VLOOKUP(AD40,'ort9'!D:E,2,0)</f>
        <v>#N/A</v>
      </c>
    </row>
    <row r="41" spans="1:38" s="10" customFormat="1" ht="68.25" customHeight="1" x14ac:dyDescent="0.2">
      <c r="A41" s="363" t="s">
        <v>24174</v>
      </c>
      <c r="B41" s="364"/>
      <c r="C41" s="364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4"/>
      <c r="O41" s="364"/>
      <c r="P41" s="364"/>
      <c r="Q41" s="364"/>
      <c r="R41" s="364"/>
      <c r="S41" s="364"/>
      <c r="T41" s="364"/>
      <c r="U41" s="364"/>
      <c r="V41" s="364"/>
      <c r="W41" s="364"/>
      <c r="X41" s="364"/>
      <c r="AD41" s="29"/>
      <c r="AE41" s="30"/>
      <c r="AF41" s="87"/>
      <c r="AG41" s="79"/>
    </row>
    <row r="42" spans="1:38" s="10" customFormat="1" ht="17.45" customHeight="1" x14ac:dyDescent="0.2">
      <c r="A42" s="43"/>
      <c r="B42" s="44"/>
      <c r="C42" s="45"/>
      <c r="D42" s="46"/>
      <c r="E42" s="45"/>
      <c r="F42" s="45"/>
      <c r="G42" s="45"/>
      <c r="H42" s="45"/>
      <c r="I42" s="45"/>
      <c r="J42" s="45"/>
      <c r="K42" s="45"/>
      <c r="L42" s="45"/>
      <c r="M42" s="45"/>
      <c r="N42" s="47"/>
      <c r="O42" s="47"/>
      <c r="P42" s="47"/>
      <c r="Q42" s="47"/>
      <c r="R42" s="44"/>
      <c r="S42" s="365" t="s">
        <v>24175</v>
      </c>
      <c r="T42" s="365"/>
      <c r="U42" s="365"/>
      <c r="V42" s="365"/>
      <c r="W42" s="365"/>
      <c r="X42" s="365"/>
      <c r="AD42" s="29"/>
      <c r="AE42" s="30"/>
      <c r="AF42" s="87"/>
      <c r="AG42" s="79"/>
    </row>
    <row r="43" spans="1:38" s="10" customFormat="1" ht="16.5" customHeight="1" x14ac:dyDescent="0.25">
      <c r="A43" s="48"/>
      <c r="B43" s="49"/>
      <c r="C43" s="50"/>
      <c r="D43" s="4"/>
      <c r="E43" s="51" t="s">
        <v>21</v>
      </c>
      <c r="F43" s="4"/>
      <c r="G43" s="51"/>
      <c r="H43" s="4"/>
      <c r="I43" s="4"/>
      <c r="J43" s="4"/>
      <c r="K43" s="4"/>
      <c r="L43" s="4"/>
      <c r="M43" s="4"/>
      <c r="N43" s="6"/>
      <c r="O43" s="52"/>
      <c r="P43" s="52"/>
      <c r="Q43" s="52"/>
      <c r="R43" s="142"/>
      <c r="S43" s="141"/>
      <c r="T43" s="149" t="s">
        <v>22</v>
      </c>
      <c r="U43" s="53"/>
      <c r="V43" s="6"/>
      <c r="W43" s="54"/>
      <c r="X43" s="55"/>
      <c r="AD43" s="29"/>
      <c r="AE43" s="30"/>
      <c r="AF43" s="87"/>
      <c r="AG43" s="79"/>
    </row>
    <row r="44" spans="1:38" ht="14.25" customHeight="1" x14ac:dyDescent="0.2">
      <c r="A44" s="133" t="s">
        <v>24176</v>
      </c>
      <c r="B44" s="56"/>
      <c r="C44" s="50"/>
      <c r="N44" s="58"/>
      <c r="Y44" s="61"/>
      <c r="Z44" s="61"/>
      <c r="AA44" s="61"/>
      <c r="AB44" s="61"/>
      <c r="AC44" s="61"/>
      <c r="AD44" s="29"/>
      <c r="AE44" s="30"/>
      <c r="AF44" s="87"/>
      <c r="AG44" s="79"/>
    </row>
    <row r="45" spans="1:38" ht="13.7" customHeight="1" x14ac:dyDescent="0.2">
      <c r="A45" s="62" t="s">
        <v>24</v>
      </c>
      <c r="B45" s="63"/>
      <c r="C45" s="63"/>
      <c r="D45" s="63"/>
      <c r="Y45" s="61"/>
      <c r="Z45" s="61"/>
      <c r="AA45" s="61"/>
      <c r="AB45" s="61"/>
      <c r="AC45" s="61"/>
      <c r="AD45" s="29"/>
      <c r="AE45" s="30"/>
      <c r="AF45" s="87"/>
      <c r="AG45" s="79"/>
    </row>
    <row r="46" spans="1:38" ht="14.25" customHeight="1" x14ac:dyDescent="0.2">
      <c r="A46" s="62" t="s">
        <v>25</v>
      </c>
      <c r="B46" s="63"/>
      <c r="C46" s="64"/>
      <c r="D46" s="65"/>
      <c r="Y46" s="61"/>
      <c r="Z46" s="61"/>
      <c r="AA46" s="61"/>
      <c r="AB46" s="61"/>
      <c r="AC46" s="61"/>
      <c r="AD46" s="29"/>
      <c r="AE46" s="30"/>
      <c r="AF46" s="87"/>
      <c r="AG46" s="79"/>
    </row>
    <row r="47" spans="1:38" ht="18" customHeight="1" x14ac:dyDescent="0.2">
      <c r="A47" s="66" t="s">
        <v>26</v>
      </c>
      <c r="B47" s="67"/>
      <c r="C47" s="67"/>
      <c r="D47" s="65"/>
      <c r="Y47" s="61"/>
      <c r="Z47" s="61"/>
      <c r="AA47" s="61"/>
      <c r="AB47" s="61"/>
      <c r="AC47" s="61"/>
      <c r="AD47" s="29"/>
      <c r="AE47" s="30"/>
      <c r="AF47" s="87"/>
      <c r="AG47" s="79"/>
    </row>
    <row r="48" spans="1:38" ht="10.5" customHeight="1" x14ac:dyDescent="0.2">
      <c r="A48" s="68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4"/>
      <c r="R48" s="152"/>
      <c r="S48" s="151"/>
      <c r="Y48" s="61"/>
      <c r="Z48" s="61"/>
      <c r="AA48" s="61"/>
      <c r="AB48" s="61"/>
      <c r="AC48" s="61"/>
    </row>
    <row r="49" spans="1:33" ht="12.75" customHeight="1" x14ac:dyDescent="0.2">
      <c r="Y49" s="61"/>
      <c r="Z49" s="61"/>
      <c r="AA49" s="61"/>
      <c r="AB49" s="61"/>
      <c r="AC49" s="61"/>
    </row>
    <row r="50" spans="1:33" x14ac:dyDescent="0.2">
      <c r="Y50" s="61"/>
      <c r="Z50" s="61"/>
      <c r="AA50" s="61"/>
      <c r="AB50" s="61"/>
      <c r="AC50" s="61"/>
    </row>
    <row r="51" spans="1:33" x14ac:dyDescent="0.2">
      <c r="Y51" s="61"/>
      <c r="Z51" s="61"/>
      <c r="AA51" s="61"/>
      <c r="AB51" s="61"/>
      <c r="AC51" s="61"/>
    </row>
    <row r="53" spans="1:33" s="70" customFormat="1" x14ac:dyDescent="0.2">
      <c r="A53" s="69"/>
      <c r="B53" s="60"/>
      <c r="C53" s="54"/>
      <c r="D53" s="4"/>
      <c r="E53" s="57"/>
      <c r="F53" s="57"/>
      <c r="G53" s="57"/>
      <c r="H53" s="57"/>
      <c r="I53" s="57"/>
      <c r="J53" s="57"/>
      <c r="K53" s="57"/>
      <c r="L53" s="57"/>
      <c r="M53" s="57"/>
      <c r="N53" s="59"/>
      <c r="O53" s="59"/>
      <c r="P53" s="59"/>
      <c r="Q53" s="59"/>
      <c r="R53" s="142"/>
      <c r="S53" s="150"/>
      <c r="T53" s="143"/>
      <c r="U53" s="59"/>
      <c r="V53" s="59"/>
      <c r="W53" s="54"/>
      <c r="X53" s="55"/>
      <c r="AD53" s="20"/>
      <c r="AE53" s="21"/>
      <c r="AF53" s="88"/>
      <c r="AG53" s="77"/>
    </row>
    <row r="54" spans="1:33" s="74" customFormat="1" x14ac:dyDescent="0.2">
      <c r="A54" s="69"/>
      <c r="B54" s="60"/>
      <c r="C54" s="54"/>
      <c r="D54" s="4"/>
      <c r="E54" s="57"/>
      <c r="F54" s="57"/>
      <c r="G54" s="57"/>
      <c r="H54" s="57"/>
      <c r="I54" s="57"/>
      <c r="J54" s="57"/>
      <c r="K54" s="57"/>
      <c r="L54" s="57"/>
      <c r="M54" s="57"/>
      <c r="N54" s="59"/>
      <c r="O54" s="59"/>
      <c r="P54" s="59"/>
      <c r="Q54" s="59"/>
      <c r="R54" s="142"/>
      <c r="S54" s="150"/>
      <c r="T54" s="143"/>
      <c r="U54" s="59"/>
      <c r="V54" s="59"/>
      <c r="W54" s="54"/>
      <c r="X54" s="55"/>
      <c r="Y54" s="71"/>
      <c r="Z54" s="71"/>
      <c r="AA54" s="71"/>
      <c r="AB54" s="71"/>
      <c r="AC54" s="71"/>
      <c r="AD54" s="72"/>
      <c r="AE54" s="73"/>
      <c r="AF54" s="89"/>
      <c r="AG54" s="80"/>
    </row>
    <row r="55" spans="1:33" s="74" customFormat="1" x14ac:dyDescent="0.2">
      <c r="A55" s="69"/>
      <c r="B55" s="60"/>
      <c r="C55" s="54"/>
      <c r="D55" s="4"/>
      <c r="E55" s="57"/>
      <c r="F55" s="57"/>
      <c r="G55" s="57"/>
      <c r="H55" s="57"/>
      <c r="I55" s="57"/>
      <c r="J55" s="57"/>
      <c r="K55" s="57"/>
      <c r="L55" s="57"/>
      <c r="M55" s="57"/>
      <c r="N55" s="59"/>
      <c r="O55" s="59"/>
      <c r="P55" s="59"/>
      <c r="Q55" s="59"/>
      <c r="R55" s="142"/>
      <c r="S55" s="150"/>
      <c r="T55" s="143"/>
      <c r="U55" s="59"/>
      <c r="V55" s="59"/>
      <c r="W55" s="54"/>
      <c r="X55" s="55"/>
      <c r="Y55" s="71"/>
      <c r="Z55" s="71"/>
      <c r="AA55" s="71"/>
      <c r="AB55" s="71"/>
      <c r="AC55" s="71"/>
      <c r="AD55" s="72"/>
      <c r="AE55" s="73"/>
      <c r="AF55" s="89"/>
      <c r="AG55" s="80"/>
    </row>
    <row r="56" spans="1:33" s="74" customFormat="1" x14ac:dyDescent="0.2">
      <c r="A56" s="69"/>
      <c r="B56" s="60"/>
      <c r="C56" s="54"/>
      <c r="D56" s="4"/>
      <c r="E56" s="57"/>
      <c r="F56" s="57"/>
      <c r="G56" s="57"/>
      <c r="H56" s="57"/>
      <c r="I56" s="57"/>
      <c r="J56" s="57"/>
      <c r="K56" s="57"/>
      <c r="L56" s="57"/>
      <c r="M56" s="57"/>
      <c r="N56" s="59"/>
      <c r="O56" s="59"/>
      <c r="P56" s="59"/>
      <c r="Q56" s="59"/>
      <c r="R56" s="142"/>
      <c r="S56" s="150"/>
      <c r="T56" s="143"/>
      <c r="U56" s="59"/>
      <c r="V56" s="59"/>
      <c r="W56" s="54"/>
      <c r="X56" s="55"/>
      <c r="Y56" s="71"/>
      <c r="Z56" s="71"/>
      <c r="AA56" s="71"/>
      <c r="AB56" s="71"/>
      <c r="AC56" s="71"/>
      <c r="AD56" s="72"/>
      <c r="AE56" s="73"/>
      <c r="AF56" s="89"/>
      <c r="AG56" s="80"/>
    </row>
    <row r="57" spans="1:33" s="74" customFormat="1" x14ac:dyDescent="0.2">
      <c r="A57" s="69"/>
      <c r="B57" s="60"/>
      <c r="C57" s="54"/>
      <c r="D57" s="4"/>
      <c r="E57" s="57"/>
      <c r="F57" s="57"/>
      <c r="G57" s="57"/>
      <c r="H57" s="57"/>
      <c r="I57" s="57"/>
      <c r="J57" s="57"/>
      <c r="K57" s="57"/>
      <c r="L57" s="57"/>
      <c r="M57" s="57"/>
      <c r="N57" s="59"/>
      <c r="O57" s="59"/>
      <c r="P57" s="59"/>
      <c r="Q57" s="59"/>
      <c r="R57" s="142"/>
      <c r="S57" s="150"/>
      <c r="T57" s="143"/>
      <c r="U57" s="59"/>
      <c r="V57" s="59"/>
      <c r="W57" s="54"/>
      <c r="X57" s="55"/>
      <c r="Y57" s="71"/>
      <c r="Z57" s="71"/>
      <c r="AA57" s="71"/>
      <c r="AB57" s="71"/>
      <c r="AC57" s="71"/>
      <c r="AD57" s="72"/>
      <c r="AE57" s="73"/>
      <c r="AF57" s="89"/>
      <c r="AG57" s="80"/>
    </row>
    <row r="58" spans="1:33" s="74" customFormat="1" x14ac:dyDescent="0.2">
      <c r="A58" s="69"/>
      <c r="B58" s="60"/>
      <c r="C58" s="54"/>
      <c r="D58" s="4"/>
      <c r="E58" s="57"/>
      <c r="F58" s="57"/>
      <c r="G58" s="57"/>
      <c r="H58" s="57"/>
      <c r="I58" s="57"/>
      <c r="J58" s="57"/>
      <c r="K58" s="57"/>
      <c r="L58" s="57"/>
      <c r="M58" s="57"/>
      <c r="N58" s="59"/>
      <c r="O58" s="59"/>
      <c r="P58" s="59"/>
      <c r="Q58" s="59"/>
      <c r="R58" s="142"/>
      <c r="S58" s="150"/>
      <c r="T58" s="143"/>
      <c r="U58" s="59"/>
      <c r="V58" s="59"/>
      <c r="W58" s="54"/>
      <c r="X58" s="55"/>
      <c r="Y58" s="71"/>
      <c r="Z58" s="71"/>
      <c r="AA58" s="71"/>
      <c r="AB58" s="71"/>
      <c r="AC58" s="71"/>
      <c r="AD58" s="72"/>
      <c r="AE58" s="73"/>
      <c r="AF58" s="89"/>
      <c r="AG58" s="80"/>
    </row>
    <row r="59" spans="1:33" s="74" customFormat="1" x14ac:dyDescent="0.2">
      <c r="A59" s="69"/>
      <c r="B59" s="60"/>
      <c r="C59" s="54"/>
      <c r="D59" s="4"/>
      <c r="E59" s="57"/>
      <c r="F59" s="57"/>
      <c r="G59" s="57"/>
      <c r="H59" s="57"/>
      <c r="I59" s="57"/>
      <c r="J59" s="57"/>
      <c r="K59" s="57"/>
      <c r="L59" s="57"/>
      <c r="M59" s="57"/>
      <c r="N59" s="59"/>
      <c r="O59" s="59"/>
      <c r="P59" s="59"/>
      <c r="Q59" s="59"/>
      <c r="R59" s="142"/>
      <c r="S59" s="150"/>
      <c r="T59" s="143"/>
      <c r="U59" s="59"/>
      <c r="V59" s="59"/>
      <c r="W59" s="54"/>
      <c r="X59" s="55"/>
      <c r="Y59" s="71"/>
      <c r="Z59" s="71"/>
      <c r="AA59" s="71"/>
      <c r="AB59" s="71"/>
      <c r="AC59" s="71"/>
      <c r="AD59" s="72"/>
      <c r="AE59" s="73"/>
      <c r="AF59" s="89"/>
      <c r="AG59" s="80"/>
    </row>
    <row r="60" spans="1:33" s="74" customFormat="1" x14ac:dyDescent="0.2">
      <c r="A60" s="69"/>
      <c r="B60" s="60"/>
      <c r="C60" s="54"/>
      <c r="D60" s="4"/>
      <c r="E60" s="57"/>
      <c r="F60" s="57"/>
      <c r="G60" s="57"/>
      <c r="H60" s="57"/>
      <c r="I60" s="57"/>
      <c r="J60" s="57"/>
      <c r="K60" s="57"/>
      <c r="L60" s="57"/>
      <c r="M60" s="57"/>
      <c r="N60" s="59"/>
      <c r="O60" s="59"/>
      <c r="P60" s="59"/>
      <c r="Q60" s="59"/>
      <c r="R60" s="142"/>
      <c r="S60" s="150"/>
      <c r="T60" s="143"/>
      <c r="U60" s="59"/>
      <c r="V60" s="59"/>
      <c r="W60" s="54"/>
      <c r="X60" s="55"/>
      <c r="Y60" s="71"/>
      <c r="Z60" s="71"/>
      <c r="AA60" s="71"/>
      <c r="AB60" s="71"/>
      <c r="AC60" s="71"/>
      <c r="AD60" s="72"/>
      <c r="AE60" s="73"/>
      <c r="AF60" s="89"/>
      <c r="AG60" s="80"/>
    </row>
    <row r="61" spans="1:33" s="74" customFormat="1" x14ac:dyDescent="0.2">
      <c r="A61" s="69"/>
      <c r="B61" s="60"/>
      <c r="C61" s="54"/>
      <c r="D61" s="4"/>
      <c r="E61" s="57"/>
      <c r="F61" s="57"/>
      <c r="G61" s="57"/>
      <c r="H61" s="57"/>
      <c r="I61" s="57"/>
      <c r="J61" s="57"/>
      <c r="K61" s="57"/>
      <c r="L61" s="57"/>
      <c r="M61" s="57"/>
      <c r="N61" s="59"/>
      <c r="O61" s="59"/>
      <c r="P61" s="59"/>
      <c r="Q61" s="59"/>
      <c r="R61" s="142"/>
      <c r="S61" s="150"/>
      <c r="T61" s="143"/>
      <c r="U61" s="59"/>
      <c r="V61" s="59"/>
      <c r="W61" s="54"/>
      <c r="X61" s="55"/>
      <c r="Y61" s="71"/>
      <c r="Z61" s="71"/>
      <c r="AA61" s="71"/>
      <c r="AB61" s="71"/>
      <c r="AC61" s="71"/>
      <c r="AD61" s="72"/>
      <c r="AE61" s="73"/>
      <c r="AF61" s="89"/>
      <c r="AG61" s="80"/>
    </row>
    <row r="62" spans="1:33" s="74" customFormat="1" x14ac:dyDescent="0.2">
      <c r="A62" s="69"/>
      <c r="B62" s="60"/>
      <c r="C62" s="54"/>
      <c r="D62" s="4"/>
      <c r="E62" s="57"/>
      <c r="F62" s="57"/>
      <c r="G62" s="57"/>
      <c r="H62" s="57"/>
      <c r="I62" s="57"/>
      <c r="J62" s="57"/>
      <c r="K62" s="57"/>
      <c r="L62" s="57"/>
      <c r="M62" s="57"/>
      <c r="N62" s="59"/>
      <c r="O62" s="59"/>
      <c r="P62" s="59"/>
      <c r="Q62" s="59"/>
      <c r="R62" s="142"/>
      <c r="S62" s="150"/>
      <c r="T62" s="143"/>
      <c r="U62" s="59"/>
      <c r="V62" s="59"/>
      <c r="W62" s="54"/>
      <c r="X62" s="55"/>
      <c r="Y62" s="71"/>
      <c r="Z62" s="71"/>
      <c r="AA62" s="71"/>
      <c r="AB62" s="71"/>
      <c r="AC62" s="71"/>
      <c r="AD62" s="72"/>
      <c r="AE62" s="73"/>
      <c r="AF62" s="89"/>
      <c r="AG62" s="80"/>
    </row>
    <row r="63" spans="1:33" s="74" customFormat="1" x14ac:dyDescent="0.2">
      <c r="A63" s="69"/>
      <c r="B63" s="60"/>
      <c r="C63" s="54"/>
      <c r="D63" s="4"/>
      <c r="E63" s="57"/>
      <c r="F63" s="57"/>
      <c r="G63" s="57"/>
      <c r="H63" s="57"/>
      <c r="I63" s="57"/>
      <c r="J63" s="57"/>
      <c r="K63" s="57"/>
      <c r="L63" s="57"/>
      <c r="M63" s="57"/>
      <c r="N63" s="59"/>
      <c r="O63" s="59"/>
      <c r="P63" s="59"/>
      <c r="Q63" s="59"/>
      <c r="R63" s="142"/>
      <c r="S63" s="150"/>
      <c r="T63" s="143"/>
      <c r="U63" s="59"/>
      <c r="V63" s="59"/>
      <c r="W63" s="54"/>
      <c r="X63" s="55"/>
      <c r="Y63" s="71"/>
      <c r="Z63" s="71"/>
      <c r="AA63" s="71"/>
      <c r="AB63" s="71"/>
      <c r="AC63" s="71"/>
      <c r="AD63" s="72"/>
      <c r="AE63" s="73"/>
      <c r="AF63" s="89"/>
      <c r="AG63" s="80"/>
    </row>
    <row r="64" spans="1:33" s="74" customFormat="1" x14ac:dyDescent="0.2">
      <c r="A64" s="69"/>
      <c r="B64" s="60"/>
      <c r="C64" s="54"/>
      <c r="D64" s="4"/>
      <c r="E64" s="57"/>
      <c r="F64" s="57"/>
      <c r="G64" s="57"/>
      <c r="H64" s="57"/>
      <c r="I64" s="57"/>
      <c r="J64" s="57"/>
      <c r="K64" s="57"/>
      <c r="L64" s="57"/>
      <c r="M64" s="57"/>
      <c r="N64" s="59"/>
      <c r="O64" s="59"/>
      <c r="P64" s="59"/>
      <c r="Q64" s="59"/>
      <c r="R64" s="142"/>
      <c r="S64" s="150"/>
      <c r="T64" s="143"/>
      <c r="U64" s="59"/>
      <c r="V64" s="59"/>
      <c r="W64" s="54"/>
      <c r="X64" s="55"/>
      <c r="Y64" s="71"/>
      <c r="Z64" s="71"/>
      <c r="AA64" s="71"/>
      <c r="AB64" s="71"/>
      <c r="AC64" s="71"/>
      <c r="AD64" s="72"/>
      <c r="AE64" s="73"/>
      <c r="AF64" s="89"/>
      <c r="AG64" s="80"/>
    </row>
    <row r="65" spans="1:33" s="74" customFormat="1" x14ac:dyDescent="0.2">
      <c r="A65" s="69"/>
      <c r="B65" s="60"/>
      <c r="C65" s="54"/>
      <c r="D65" s="4"/>
      <c r="E65" s="57"/>
      <c r="F65" s="57"/>
      <c r="G65" s="57"/>
      <c r="H65" s="57"/>
      <c r="I65" s="57"/>
      <c r="J65" s="57"/>
      <c r="K65" s="57"/>
      <c r="L65" s="57"/>
      <c r="M65" s="57"/>
      <c r="N65" s="59"/>
      <c r="O65" s="59"/>
      <c r="P65" s="59"/>
      <c r="Q65" s="59"/>
      <c r="R65" s="142"/>
      <c r="S65" s="150"/>
      <c r="T65" s="143"/>
      <c r="U65" s="59"/>
      <c r="V65" s="59"/>
      <c r="W65" s="54"/>
      <c r="X65" s="55"/>
      <c r="Y65" s="71"/>
      <c r="Z65" s="71"/>
      <c r="AA65" s="71"/>
      <c r="AB65" s="71"/>
      <c r="AC65" s="71"/>
      <c r="AD65" s="72"/>
      <c r="AE65" s="73"/>
      <c r="AF65" s="89"/>
      <c r="AG65" s="80"/>
    </row>
  </sheetData>
  <sheetProtection algorithmName="SHA-512" hashValue="MV8n/xGc9ZinjY9W0oURqKoC9NhjQvCvrYzu6xrGgAQYXMsnXfl3sP0VmoCIadpjxLI5eFSEC12d5+XAz8apRQ==" saltValue="/EjtbLM9rlvDX/K8SQmtqg==" spinCount="100000" sheet="1" objects="1" scenarios="1"/>
  <autoFilter ref="A3:AL47" xr:uid="{F561EFB7-18B2-4631-89CA-1ECD5916FBF4}"/>
  <mergeCells count="27">
    <mergeCell ref="U1:X1"/>
    <mergeCell ref="A4:X4"/>
    <mergeCell ref="A7:A9"/>
    <mergeCell ref="B7:B9"/>
    <mergeCell ref="C7:Q7"/>
    <mergeCell ref="R7:S8"/>
    <mergeCell ref="T7:T9"/>
    <mergeCell ref="U7:U9"/>
    <mergeCell ref="V7:V9"/>
    <mergeCell ref="W7:W9"/>
    <mergeCell ref="Z7:Z9"/>
    <mergeCell ref="AA7:AA9"/>
    <mergeCell ref="AB7:AB9"/>
    <mergeCell ref="AC7:AC9"/>
    <mergeCell ref="C8:C9"/>
    <mergeCell ref="D8:D9"/>
    <mergeCell ref="E8:F8"/>
    <mergeCell ref="G8:H8"/>
    <mergeCell ref="N8:Q8"/>
    <mergeCell ref="B10:B24"/>
    <mergeCell ref="B25:B39"/>
    <mergeCell ref="A41:X41"/>
    <mergeCell ref="S42:X42"/>
    <mergeCell ref="K8:K9"/>
    <mergeCell ref="L8:L9"/>
    <mergeCell ref="M8:M9"/>
    <mergeCell ref="X7:X9"/>
  </mergeCells>
  <conditionalFormatting sqref="S42 U44:U1048576 U3 U1 U6:U7 U40">
    <cfRule type="duplicateValues" dxfId="37" priority="4"/>
  </conditionalFormatting>
  <conditionalFormatting sqref="U40:U1048576 U1:U9">
    <cfRule type="duplicateValues" dxfId="36" priority="1"/>
  </conditionalFormatting>
  <conditionalFormatting sqref="U41">
    <cfRule type="duplicateValues" dxfId="35" priority="2"/>
  </conditionalFormatting>
  <conditionalFormatting sqref="AD10:AD47">
    <cfRule type="duplicateValues" dxfId="34" priority="5"/>
  </conditionalFormatting>
  <conditionalFormatting sqref="AD48:AD1048576 AD1:AD9">
    <cfRule type="duplicateValues" dxfId="33" priority="3"/>
  </conditionalFormatting>
  <pageMargins left="0.39370078740157483" right="0.39370078740157483" top="0.11811023622047245" bottom="0.39370078740157483" header="0.11811023622047245" footer="0.11811023622047245"/>
  <pageSetup paperSize="9" scale="61" fitToHeight="0" orientation="landscape" r:id="rId1"/>
  <rowBreaks count="1" manualBreakCount="1">
    <brk id="29" max="1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EFB7-18B2-4631-89CA-1ECD5916FBF4}">
  <sheetPr>
    <pageSetUpPr fitToPage="1"/>
  </sheetPr>
  <dimension ref="A1:T36"/>
  <sheetViews>
    <sheetView showGridLines="0" tabSelected="1" view="pageBreakPreview" zoomScaleNormal="100" zoomScaleSheetLayoutView="100" workbookViewId="0">
      <selection activeCell="A4" sqref="A4:S4"/>
    </sheetView>
  </sheetViews>
  <sheetFormatPr defaultColWidth="11.28515625" defaultRowHeight="12.75" x14ac:dyDescent="0.2"/>
  <cols>
    <col min="1" max="1" width="4.140625" style="69" customWidth="1"/>
    <col min="2" max="2" width="10.140625" style="69" customWidth="1"/>
    <col min="3" max="3" width="12.28515625" style="55" bestFit="1" customWidth="1"/>
    <col min="4" max="4" width="9.42578125" style="186" customWidth="1"/>
    <col min="5" max="5" width="7.85546875" style="220" customWidth="1"/>
    <col min="6" max="6" width="6.28515625" style="220" customWidth="1"/>
    <col min="7" max="7" width="12.42578125" style="220" customWidth="1"/>
    <col min="8" max="8" width="9.42578125" style="220" customWidth="1"/>
    <col min="9" max="9" width="6.85546875" style="110" customWidth="1"/>
    <col min="10" max="10" width="8" style="110" customWidth="1"/>
    <col min="11" max="11" width="8.28515625" style="110" customWidth="1"/>
    <col min="12" max="12" width="9.42578125" style="110" customWidth="1"/>
    <col min="13" max="13" width="10.5703125" style="188" customWidth="1"/>
    <col min="14" max="14" width="8.42578125" style="110" customWidth="1"/>
    <col min="15" max="15" width="45.7109375" style="189" customWidth="1"/>
    <col min="16" max="16" width="11.140625" style="110" customWidth="1"/>
    <col min="17" max="17" width="11" style="110" customWidth="1"/>
    <col min="18" max="18" width="11.140625" style="55" customWidth="1"/>
    <col min="19" max="19" width="25.140625" style="182" customWidth="1"/>
    <col min="20" max="20" width="18.7109375" style="19" customWidth="1"/>
    <col min="21" max="32" width="11.28515625" style="19" customWidth="1"/>
    <col min="33" max="16384" width="11.28515625" style="19"/>
  </cols>
  <sheetData>
    <row r="1" spans="1:20" s="7" customFormat="1" ht="45.6" customHeight="1" x14ac:dyDescent="0.25">
      <c r="A1" s="1"/>
      <c r="B1" s="101"/>
      <c r="C1" s="185"/>
      <c r="D1" s="186"/>
      <c r="E1" s="187"/>
      <c r="F1" s="187"/>
      <c r="G1" s="187"/>
      <c r="H1" s="187"/>
      <c r="I1" s="92"/>
      <c r="J1" s="92"/>
      <c r="K1" s="92"/>
      <c r="L1" s="92"/>
      <c r="M1" s="188"/>
      <c r="N1" s="92"/>
      <c r="O1" s="189"/>
      <c r="P1" s="377" t="s">
        <v>24071</v>
      </c>
      <c r="Q1" s="377"/>
      <c r="R1" s="377"/>
      <c r="S1" s="377"/>
    </row>
    <row r="2" spans="1:20" s="7" customFormat="1" ht="27.75" customHeight="1" x14ac:dyDescent="0.2">
      <c r="A2" s="10"/>
      <c r="B2" s="14"/>
      <c r="C2" s="14"/>
      <c r="D2" s="1"/>
      <c r="E2" s="190"/>
      <c r="F2" s="190"/>
      <c r="G2" s="190"/>
      <c r="H2" s="190"/>
      <c r="I2" s="1"/>
      <c r="J2" s="92"/>
      <c r="K2" s="92"/>
      <c r="L2" s="92"/>
      <c r="M2" s="188"/>
      <c r="N2" s="92"/>
      <c r="O2" s="189"/>
      <c r="P2" s="191"/>
      <c r="Q2" s="191"/>
      <c r="R2" s="14"/>
      <c r="S2" s="14"/>
    </row>
    <row r="3" spans="1:20" s="7" customFormat="1" ht="12.2" customHeight="1" x14ac:dyDescent="0.2">
      <c r="A3" s="10"/>
      <c r="B3" s="192" t="s">
        <v>24370</v>
      </c>
      <c r="C3" s="193"/>
      <c r="D3" s="193"/>
      <c r="E3" s="194"/>
      <c r="F3" s="187"/>
      <c r="G3" s="194"/>
      <c r="H3" s="187"/>
      <c r="I3" s="92"/>
      <c r="J3" s="92"/>
      <c r="K3" s="92"/>
      <c r="L3" s="92"/>
      <c r="M3" s="188"/>
      <c r="N3" s="92"/>
      <c r="O3" s="189"/>
      <c r="P3" s="195"/>
      <c r="Q3" s="195"/>
      <c r="R3" s="18"/>
      <c r="S3" s="18"/>
    </row>
    <row r="4" spans="1:20" ht="21.2" customHeight="1" x14ac:dyDescent="0.2">
      <c r="A4" s="378" t="s">
        <v>1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</row>
    <row r="5" spans="1:20" s="25" customFormat="1" ht="15.75" customHeight="1" x14ac:dyDescent="0.25">
      <c r="A5" s="22" t="s">
        <v>24177</v>
      </c>
      <c r="B5" s="24"/>
      <c r="C5" s="24"/>
      <c r="D5" s="24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7"/>
      <c r="P5" s="196"/>
      <c r="Q5" s="196"/>
      <c r="R5" s="24"/>
      <c r="S5" s="181"/>
    </row>
    <row r="6" spans="1:20" s="25" customFormat="1" ht="16.5" customHeight="1" x14ac:dyDescent="0.25">
      <c r="A6" s="22" t="s">
        <v>24371</v>
      </c>
      <c r="B6" s="24"/>
      <c r="C6" s="24"/>
      <c r="D6" s="24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7"/>
      <c r="P6" s="196"/>
      <c r="Q6" s="196"/>
      <c r="R6" s="24"/>
      <c r="S6" s="181"/>
    </row>
    <row r="7" spans="1:20" s="28" customFormat="1" ht="17.45" customHeight="1" x14ac:dyDescent="0.15">
      <c r="A7" s="394" t="s">
        <v>24075</v>
      </c>
      <c r="B7" s="394" t="s">
        <v>24076</v>
      </c>
      <c r="C7" s="397" t="s">
        <v>24077</v>
      </c>
      <c r="D7" s="398"/>
      <c r="E7" s="398"/>
      <c r="F7" s="398"/>
      <c r="G7" s="398"/>
      <c r="H7" s="398"/>
      <c r="I7" s="398"/>
      <c r="J7" s="398"/>
      <c r="K7" s="398"/>
      <c r="L7" s="399"/>
      <c r="M7" s="400" t="s">
        <v>24078</v>
      </c>
      <c r="N7" s="401"/>
      <c r="O7" s="409" t="s">
        <v>24079</v>
      </c>
      <c r="P7" s="404" t="s">
        <v>24080</v>
      </c>
      <c r="Q7" s="404" t="s">
        <v>24081</v>
      </c>
      <c r="R7" s="404" t="s">
        <v>24082</v>
      </c>
      <c r="S7" s="404" t="s">
        <v>24083</v>
      </c>
      <c r="T7" s="370" t="s">
        <v>24178</v>
      </c>
    </row>
    <row r="8" spans="1:20" s="28" customFormat="1" ht="24.75" customHeight="1" x14ac:dyDescent="0.15">
      <c r="A8" s="395"/>
      <c r="B8" s="395"/>
      <c r="C8" s="394" t="s">
        <v>24088</v>
      </c>
      <c r="D8" s="404" t="s">
        <v>24089</v>
      </c>
      <c r="E8" s="407" t="s">
        <v>24090</v>
      </c>
      <c r="F8" s="408"/>
      <c r="G8" s="407" t="s">
        <v>24091</v>
      </c>
      <c r="H8" s="408"/>
      <c r="I8" s="397" t="s">
        <v>24097</v>
      </c>
      <c r="J8" s="398"/>
      <c r="K8" s="398"/>
      <c r="L8" s="399"/>
      <c r="M8" s="402"/>
      <c r="N8" s="403"/>
      <c r="O8" s="410"/>
      <c r="P8" s="406"/>
      <c r="Q8" s="406"/>
      <c r="R8" s="406"/>
      <c r="S8" s="406"/>
      <c r="T8" s="371"/>
    </row>
    <row r="9" spans="1:20" s="28" customFormat="1" ht="38.1" customHeight="1" x14ac:dyDescent="0.15">
      <c r="A9" s="396"/>
      <c r="B9" s="396"/>
      <c r="C9" s="396"/>
      <c r="D9" s="405"/>
      <c r="E9" s="226" t="s">
        <v>24098</v>
      </c>
      <c r="F9" s="226" t="s">
        <v>24099</v>
      </c>
      <c r="G9" s="226" t="s">
        <v>24100</v>
      </c>
      <c r="H9" s="226" t="s">
        <v>24101</v>
      </c>
      <c r="I9" s="183" t="s">
        <v>24102</v>
      </c>
      <c r="J9" s="183" t="s">
        <v>24103</v>
      </c>
      <c r="K9" s="183" t="s">
        <v>24104</v>
      </c>
      <c r="L9" s="183" t="s">
        <v>24105</v>
      </c>
      <c r="M9" s="184" t="s">
        <v>24106</v>
      </c>
      <c r="N9" s="184" t="s">
        <v>24107</v>
      </c>
      <c r="O9" s="411"/>
      <c r="P9" s="405"/>
      <c r="Q9" s="405"/>
      <c r="R9" s="405"/>
      <c r="S9" s="405"/>
      <c r="T9" s="372"/>
    </row>
    <row r="10" spans="1:20" s="28" customFormat="1" ht="28.15" customHeight="1" x14ac:dyDescent="0.15">
      <c r="A10" s="198">
        <v>1</v>
      </c>
      <c r="B10" s="340"/>
      <c r="C10" s="199"/>
      <c r="D10" s="199"/>
      <c r="E10" s="288"/>
      <c r="F10" s="288"/>
      <c r="G10" s="200"/>
      <c r="H10" s="180"/>
      <c r="I10" s="179"/>
      <c r="J10" s="179"/>
      <c r="K10" s="179"/>
      <c r="L10" s="179"/>
      <c r="M10" s="180"/>
      <c r="N10" s="180"/>
      <c r="O10" s="280"/>
      <c r="P10" s="200"/>
      <c r="Q10" s="200"/>
      <c r="R10" s="202"/>
      <c r="S10" s="202"/>
      <c r="T10" s="34"/>
    </row>
    <row r="11" spans="1:20" s="10" customFormat="1" ht="28.15" customHeight="1" x14ac:dyDescent="0.2">
      <c r="A11" s="198">
        <f t="shared" ref="A11" si="0">ROW()-9</f>
        <v>2</v>
      </c>
      <c r="B11" s="204" t="s">
        <v>19</v>
      </c>
      <c r="C11" s="205"/>
      <c r="D11" s="206"/>
      <c r="E11" s="207">
        <f>SUM(E10:E10)</f>
        <v>0</v>
      </c>
      <c r="F11" s="207">
        <f>SUM(F10:F10)</f>
        <v>0</v>
      </c>
      <c r="G11" s="207">
        <f>SUM(G10:G10)</f>
        <v>0</v>
      </c>
      <c r="H11" s="207"/>
      <c r="I11" s="208"/>
      <c r="J11" s="209"/>
      <c r="K11" s="209"/>
      <c r="L11" s="209"/>
      <c r="M11" s="210"/>
      <c r="N11" s="211"/>
      <c r="O11" s="212"/>
      <c r="P11" s="209"/>
      <c r="Q11" s="209"/>
      <c r="R11" s="213"/>
      <c r="S11" s="159"/>
      <c r="T11" s="42"/>
    </row>
    <row r="12" spans="1:20" s="10" customFormat="1" ht="55.7" customHeight="1" x14ac:dyDescent="0.2">
      <c r="A12" s="363"/>
      <c r="B12" s="363"/>
      <c r="C12" s="363"/>
      <c r="D12" s="363"/>
      <c r="E12" s="363"/>
      <c r="F12" s="363"/>
      <c r="G12" s="363"/>
      <c r="H12" s="363"/>
      <c r="I12" s="363"/>
      <c r="J12" s="363"/>
      <c r="K12" s="363"/>
      <c r="L12" s="363"/>
      <c r="M12" s="363"/>
      <c r="N12" s="363"/>
      <c r="O12" s="363"/>
      <c r="P12" s="363"/>
      <c r="Q12" s="363"/>
      <c r="R12" s="363"/>
      <c r="S12" s="363"/>
    </row>
    <row r="13" spans="1:20" s="10" customFormat="1" ht="17.45" customHeight="1" x14ac:dyDescent="0.2">
      <c r="A13" s="43"/>
      <c r="B13" s="103"/>
      <c r="C13" s="214"/>
      <c r="D13" s="215"/>
      <c r="E13" s="214"/>
      <c r="F13" s="214"/>
      <c r="G13" s="214"/>
      <c r="H13" s="214"/>
      <c r="I13" s="104"/>
      <c r="J13" s="104"/>
      <c r="K13" s="104"/>
      <c r="L13" s="104"/>
      <c r="M13" s="104"/>
      <c r="N13" s="365" t="s">
        <v>24398</v>
      </c>
      <c r="O13" s="365"/>
      <c r="P13" s="365"/>
      <c r="Q13" s="365"/>
      <c r="R13" s="365"/>
      <c r="S13" s="365"/>
    </row>
    <row r="14" spans="1:20" s="10" customFormat="1" ht="16.5" customHeight="1" x14ac:dyDescent="0.25">
      <c r="A14" s="48"/>
      <c r="B14" s="216"/>
      <c r="C14" s="182"/>
      <c r="D14" s="186"/>
      <c r="E14" s="107" t="s">
        <v>21</v>
      </c>
      <c r="F14" s="186"/>
      <c r="G14" s="107"/>
      <c r="H14" s="186"/>
      <c r="I14" s="92"/>
      <c r="J14" s="108"/>
      <c r="K14" s="108"/>
      <c r="L14" s="108"/>
      <c r="M14" s="188"/>
      <c r="N14" s="92"/>
      <c r="O14" s="217" t="s">
        <v>22</v>
      </c>
      <c r="P14" s="218"/>
      <c r="Q14" s="92"/>
      <c r="R14" s="55"/>
      <c r="S14" s="182"/>
    </row>
    <row r="15" spans="1:20" ht="14.25" customHeight="1" x14ac:dyDescent="0.2">
      <c r="A15" s="133" t="s">
        <v>24176</v>
      </c>
      <c r="B15" s="219"/>
      <c r="C15" s="182"/>
      <c r="I15" s="221"/>
      <c r="T15" s="61"/>
    </row>
    <row r="16" spans="1:20" ht="13.7" customHeight="1" x14ac:dyDescent="0.2">
      <c r="A16" s="62" t="s">
        <v>24</v>
      </c>
      <c r="B16" s="222"/>
      <c r="C16" s="222"/>
      <c r="D16" s="222"/>
      <c r="T16" s="61"/>
    </row>
    <row r="17" spans="1:20" ht="14.25" customHeight="1" x14ac:dyDescent="0.2">
      <c r="A17" s="62" t="s">
        <v>25</v>
      </c>
      <c r="B17" s="222"/>
      <c r="C17" s="223"/>
      <c r="D17" s="196"/>
      <c r="T17" s="61"/>
    </row>
    <row r="18" spans="1:20" ht="18" customHeight="1" x14ac:dyDescent="0.2">
      <c r="A18" s="66" t="s">
        <v>26</v>
      </c>
      <c r="B18" s="224"/>
      <c r="C18" s="224"/>
      <c r="D18" s="196"/>
      <c r="T18" s="61"/>
    </row>
    <row r="19" spans="1:20" ht="10.5" customHeight="1" x14ac:dyDescent="0.2">
      <c r="A19" s="68"/>
      <c r="E19" s="218"/>
      <c r="F19" s="218"/>
      <c r="G19" s="218"/>
      <c r="H19" s="218"/>
      <c r="I19" s="218"/>
      <c r="J19" s="218"/>
      <c r="K19" s="218"/>
      <c r="L19" s="55"/>
      <c r="M19" s="225"/>
      <c r="N19" s="218"/>
      <c r="T19" s="61"/>
    </row>
    <row r="20" spans="1:20" ht="12.75" customHeight="1" x14ac:dyDescent="0.2">
      <c r="T20" s="61"/>
    </row>
    <row r="21" spans="1:20" x14ac:dyDescent="0.2">
      <c r="T21" s="61"/>
    </row>
    <row r="22" spans="1:20" x14ac:dyDescent="0.2">
      <c r="T22" s="61"/>
    </row>
    <row r="24" spans="1:20" s="70" customFormat="1" x14ac:dyDescent="0.2">
      <c r="A24" s="69"/>
      <c r="B24" s="69"/>
      <c r="C24" s="55"/>
      <c r="D24" s="186"/>
      <c r="E24" s="220"/>
      <c r="F24" s="220"/>
      <c r="G24" s="220"/>
      <c r="H24" s="220"/>
      <c r="I24" s="110"/>
      <c r="J24" s="110"/>
      <c r="K24" s="110"/>
      <c r="L24" s="110"/>
      <c r="M24" s="188"/>
      <c r="N24" s="110"/>
      <c r="O24" s="189"/>
      <c r="P24" s="110"/>
      <c r="Q24" s="110"/>
      <c r="R24" s="55"/>
      <c r="S24" s="182"/>
    </row>
    <row r="25" spans="1:20" s="74" customFormat="1" x14ac:dyDescent="0.2">
      <c r="A25" s="69"/>
      <c r="B25" s="69"/>
      <c r="C25" s="55"/>
      <c r="D25" s="186"/>
      <c r="E25" s="220"/>
      <c r="F25" s="220"/>
      <c r="G25" s="220"/>
      <c r="H25" s="220"/>
      <c r="I25" s="110"/>
      <c r="J25" s="110"/>
      <c r="K25" s="110"/>
      <c r="L25" s="110"/>
      <c r="M25" s="188"/>
      <c r="N25" s="110"/>
      <c r="O25" s="189"/>
      <c r="P25" s="110"/>
      <c r="Q25" s="110"/>
      <c r="R25" s="55"/>
      <c r="S25" s="182"/>
      <c r="T25" s="71"/>
    </row>
    <row r="26" spans="1:20" s="74" customFormat="1" x14ac:dyDescent="0.2">
      <c r="A26" s="69"/>
      <c r="B26" s="69"/>
      <c r="C26" s="55"/>
      <c r="D26" s="186"/>
      <c r="E26" s="220"/>
      <c r="F26" s="220"/>
      <c r="G26" s="220"/>
      <c r="H26" s="220"/>
      <c r="I26" s="110"/>
      <c r="J26" s="110"/>
      <c r="K26" s="110"/>
      <c r="L26" s="110"/>
      <c r="M26" s="188"/>
      <c r="N26" s="110"/>
      <c r="O26" s="189"/>
      <c r="P26" s="110"/>
      <c r="Q26" s="110"/>
      <c r="R26" s="55"/>
      <c r="S26" s="182"/>
      <c r="T26" s="71"/>
    </row>
    <row r="27" spans="1:20" s="74" customFormat="1" x14ac:dyDescent="0.2">
      <c r="A27" s="69"/>
      <c r="B27" s="69"/>
      <c r="C27" s="55"/>
      <c r="D27" s="186"/>
      <c r="E27" s="220"/>
      <c r="F27" s="220"/>
      <c r="G27" s="220"/>
      <c r="H27" s="220"/>
      <c r="I27" s="110"/>
      <c r="J27" s="110"/>
      <c r="K27" s="110"/>
      <c r="L27" s="110"/>
      <c r="M27" s="188"/>
      <c r="N27" s="110"/>
      <c r="O27" s="189"/>
      <c r="P27" s="110"/>
      <c r="Q27" s="110"/>
      <c r="R27" s="55"/>
      <c r="S27" s="182"/>
      <c r="T27" s="71"/>
    </row>
    <row r="28" spans="1:20" s="74" customFormat="1" x14ac:dyDescent="0.2">
      <c r="A28" s="69"/>
      <c r="B28" s="69"/>
      <c r="C28" s="55"/>
      <c r="D28" s="186"/>
      <c r="E28" s="220"/>
      <c r="F28" s="220"/>
      <c r="G28" s="220"/>
      <c r="H28" s="220"/>
      <c r="I28" s="110"/>
      <c r="J28" s="110"/>
      <c r="K28" s="110"/>
      <c r="L28" s="110"/>
      <c r="M28" s="188"/>
      <c r="N28" s="110"/>
      <c r="O28" s="189"/>
      <c r="P28" s="110"/>
      <c r="Q28" s="110"/>
      <c r="R28" s="55"/>
      <c r="S28" s="182"/>
      <c r="T28" s="71"/>
    </row>
    <row r="29" spans="1:20" s="74" customFormat="1" x14ac:dyDescent="0.2">
      <c r="A29" s="69"/>
      <c r="B29" s="69"/>
      <c r="C29" s="55"/>
      <c r="D29" s="186"/>
      <c r="E29" s="220"/>
      <c r="F29" s="220"/>
      <c r="G29" s="220"/>
      <c r="H29" s="220"/>
      <c r="I29" s="110"/>
      <c r="J29" s="110"/>
      <c r="K29" s="110"/>
      <c r="L29" s="110"/>
      <c r="M29" s="188"/>
      <c r="N29" s="110"/>
      <c r="O29" s="189"/>
      <c r="P29" s="110"/>
      <c r="Q29" s="110"/>
      <c r="R29" s="55"/>
      <c r="S29" s="182"/>
      <c r="T29" s="71"/>
    </row>
    <row r="30" spans="1:20" s="74" customFormat="1" x14ac:dyDescent="0.2">
      <c r="A30" s="69"/>
      <c r="B30" s="69"/>
      <c r="C30" s="55"/>
      <c r="D30" s="186"/>
      <c r="E30" s="220"/>
      <c r="F30" s="220"/>
      <c r="G30" s="220"/>
      <c r="H30" s="220"/>
      <c r="I30" s="110"/>
      <c r="J30" s="110"/>
      <c r="K30" s="110"/>
      <c r="L30" s="110"/>
      <c r="M30" s="188"/>
      <c r="N30" s="110"/>
      <c r="O30" s="189"/>
      <c r="P30" s="110"/>
      <c r="Q30" s="110"/>
      <c r="R30" s="55"/>
      <c r="S30" s="182"/>
      <c r="T30" s="71"/>
    </row>
    <row r="31" spans="1:20" s="74" customFormat="1" x14ac:dyDescent="0.2">
      <c r="A31" s="69"/>
      <c r="B31" s="69"/>
      <c r="C31" s="55"/>
      <c r="D31" s="186"/>
      <c r="E31" s="220"/>
      <c r="F31" s="220"/>
      <c r="G31" s="220"/>
      <c r="H31" s="220"/>
      <c r="I31" s="110"/>
      <c r="J31" s="110"/>
      <c r="K31" s="110"/>
      <c r="L31" s="110"/>
      <c r="M31" s="188"/>
      <c r="N31" s="110"/>
      <c r="O31" s="189"/>
      <c r="P31" s="110"/>
      <c r="Q31" s="110"/>
      <c r="R31" s="55"/>
      <c r="S31" s="182"/>
      <c r="T31" s="71"/>
    </row>
    <row r="32" spans="1:20" s="74" customFormat="1" x14ac:dyDescent="0.2">
      <c r="A32" s="69"/>
      <c r="B32" s="69"/>
      <c r="C32" s="55"/>
      <c r="D32" s="186"/>
      <c r="E32" s="220"/>
      <c r="F32" s="220"/>
      <c r="G32" s="220"/>
      <c r="H32" s="220"/>
      <c r="I32" s="110"/>
      <c r="J32" s="110"/>
      <c r="K32" s="110"/>
      <c r="L32" s="110"/>
      <c r="M32" s="188"/>
      <c r="N32" s="110"/>
      <c r="O32" s="189"/>
      <c r="P32" s="110"/>
      <c r="Q32" s="110"/>
      <c r="R32" s="55"/>
      <c r="S32" s="182"/>
      <c r="T32" s="71"/>
    </row>
    <row r="33" spans="1:20" s="74" customFormat="1" x14ac:dyDescent="0.2">
      <c r="A33" s="69"/>
      <c r="B33" s="69"/>
      <c r="C33" s="55"/>
      <c r="D33" s="186"/>
      <c r="E33" s="220"/>
      <c r="F33" s="220"/>
      <c r="G33" s="220"/>
      <c r="H33" s="220"/>
      <c r="I33" s="110"/>
      <c r="J33" s="110"/>
      <c r="K33" s="110"/>
      <c r="L33" s="110"/>
      <c r="M33" s="188"/>
      <c r="N33" s="110"/>
      <c r="O33" s="189"/>
      <c r="P33" s="110"/>
      <c r="Q33" s="110"/>
      <c r="R33" s="55"/>
      <c r="S33" s="182"/>
      <c r="T33" s="71"/>
    </row>
    <row r="34" spans="1:20" s="74" customFormat="1" x14ac:dyDescent="0.2">
      <c r="A34" s="69"/>
      <c r="B34" s="69"/>
      <c r="C34" s="55"/>
      <c r="D34" s="186"/>
      <c r="E34" s="220"/>
      <c r="F34" s="220"/>
      <c r="G34" s="220"/>
      <c r="H34" s="220"/>
      <c r="I34" s="110"/>
      <c r="J34" s="110"/>
      <c r="K34" s="110"/>
      <c r="L34" s="110"/>
      <c r="M34" s="188"/>
      <c r="N34" s="110"/>
      <c r="O34" s="189"/>
      <c r="P34" s="110"/>
      <c r="Q34" s="110"/>
      <c r="R34" s="55"/>
      <c r="S34" s="182"/>
      <c r="T34" s="71"/>
    </row>
    <row r="35" spans="1:20" s="74" customFormat="1" x14ac:dyDescent="0.2">
      <c r="A35" s="69"/>
      <c r="B35" s="69"/>
      <c r="C35" s="55"/>
      <c r="D35" s="186"/>
      <c r="E35" s="220"/>
      <c r="F35" s="220"/>
      <c r="G35" s="220"/>
      <c r="H35" s="220"/>
      <c r="I35" s="110"/>
      <c r="J35" s="110"/>
      <c r="K35" s="110"/>
      <c r="L35" s="110"/>
      <c r="M35" s="188"/>
      <c r="N35" s="110"/>
      <c r="O35" s="189"/>
      <c r="P35" s="110"/>
      <c r="Q35" s="110"/>
      <c r="R35" s="55"/>
      <c r="S35" s="182"/>
      <c r="T35" s="71"/>
    </row>
    <row r="36" spans="1:20" s="74" customFormat="1" x14ac:dyDescent="0.2">
      <c r="A36" s="69"/>
      <c r="B36" s="69"/>
      <c r="C36" s="55"/>
      <c r="D36" s="186"/>
      <c r="E36" s="220"/>
      <c r="F36" s="220"/>
      <c r="G36" s="220"/>
      <c r="H36" s="220"/>
      <c r="I36" s="110"/>
      <c r="J36" s="110"/>
      <c r="K36" s="110"/>
      <c r="L36" s="110"/>
      <c r="M36" s="188"/>
      <c r="N36" s="110"/>
      <c r="O36" s="189"/>
      <c r="P36" s="110"/>
      <c r="Q36" s="110"/>
      <c r="R36" s="55"/>
      <c r="S36" s="182"/>
      <c r="T36" s="71"/>
    </row>
  </sheetData>
  <mergeCells count="19">
    <mergeCell ref="T7:T9"/>
    <mergeCell ref="S7:S9"/>
    <mergeCell ref="O7:O9"/>
    <mergeCell ref="N13:S13"/>
    <mergeCell ref="P1:S1"/>
    <mergeCell ref="A4:S4"/>
    <mergeCell ref="A7:A9"/>
    <mergeCell ref="C7:L7"/>
    <mergeCell ref="M7:N8"/>
    <mergeCell ref="D8:D9"/>
    <mergeCell ref="A12:S12"/>
    <mergeCell ref="P7:P9"/>
    <mergeCell ref="Q7:Q9"/>
    <mergeCell ref="R7:R9"/>
    <mergeCell ref="E8:F8"/>
    <mergeCell ref="C8:C9"/>
    <mergeCell ref="B7:B9"/>
    <mergeCell ref="G8:H8"/>
    <mergeCell ref="I8:L8"/>
  </mergeCells>
  <conditionalFormatting sqref="N13 P15:P1048576 P3 P1 P6:P7 P11">
    <cfRule type="duplicateValues" dxfId="32" priority="10"/>
  </conditionalFormatting>
  <conditionalFormatting sqref="P11:P1048576 P1:P7">
    <cfRule type="duplicateValues" dxfId="31" priority="5"/>
  </conditionalFormatting>
  <conditionalFormatting sqref="P12">
    <cfRule type="duplicateValues" dxfId="30" priority="7"/>
  </conditionalFormatting>
  <pageMargins left="0.30370078740157502" right="0.196850393700787" top="0.30905511800000002" bottom="0.39370078740157499" header="0.118110236220472" footer="0.118110236220472"/>
  <pageSetup paperSize="9" scale="57" fitToHeight="0" orientation="landscape" r:id="rId1"/>
  <rowBreaks count="1" manualBreakCount="1">
    <brk id="29" max="18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4A53-4314-48D9-93DE-66E4DA23CCC5}">
  <dimension ref="A1:K148"/>
  <sheetViews>
    <sheetView zoomScale="70" zoomScaleNormal="70" workbookViewId="0">
      <pane ySplit="1" topLeftCell="A114" activePane="bottomLeft" state="frozen"/>
      <selection activeCell="C1" sqref="C1"/>
      <selection pane="bottomLeft" activeCell="F154" sqref="F154"/>
    </sheetView>
  </sheetViews>
  <sheetFormatPr defaultRowHeight="15" x14ac:dyDescent="0.25"/>
  <cols>
    <col min="1" max="1" width="10.5703125" customWidth="1"/>
    <col min="3" max="3" width="23.42578125" customWidth="1"/>
    <col min="4" max="4" width="40.85546875" style="282" customWidth="1"/>
    <col min="5" max="5" width="12.28515625" customWidth="1"/>
    <col min="6" max="6" width="77.7109375" customWidth="1"/>
    <col min="7" max="7" width="12.85546875" customWidth="1"/>
    <col min="8" max="8" width="13.42578125" customWidth="1"/>
    <col min="9" max="9" width="23.7109375" customWidth="1"/>
    <col min="10" max="10" width="65.140625" customWidth="1"/>
    <col min="11" max="11" width="39" customWidth="1"/>
    <col min="13" max="13" width="38.85546875" customWidth="1"/>
  </cols>
  <sheetData>
    <row r="1" spans="1:10" x14ac:dyDescent="0.25">
      <c r="E1">
        <f>MAX(H:H)</f>
        <v>2125100135</v>
      </c>
    </row>
    <row r="2" spans="1:10" x14ac:dyDescent="0.25">
      <c r="F2" s="290"/>
      <c r="G2" s="290"/>
      <c r="H2" s="290"/>
    </row>
    <row r="3" spans="1:10" x14ac:dyDescent="0.25">
      <c r="A3">
        <f>B3*1000</f>
        <v>1600000</v>
      </c>
      <c r="B3" s="227">
        <v>1600</v>
      </c>
      <c r="C3" t="s">
        <v>24260</v>
      </c>
      <c r="D3" s="297" t="s">
        <v>24245</v>
      </c>
      <c r="F3" s="305"/>
      <c r="G3" s="290"/>
      <c r="I3" t="s">
        <v>12270</v>
      </c>
      <c r="J3" s="298" t="s">
        <v>12269</v>
      </c>
    </row>
    <row r="4" spans="1:10" x14ac:dyDescent="0.25">
      <c r="A4">
        <f t="shared" ref="A4:A41" si="0">B4*1000</f>
        <v>200000</v>
      </c>
      <c r="B4" s="236">
        <v>200</v>
      </c>
      <c r="C4" t="s">
        <v>24260</v>
      </c>
      <c r="D4" s="234" t="s">
        <v>24245</v>
      </c>
      <c r="F4" s="305"/>
      <c r="G4" s="290"/>
      <c r="I4" t="s">
        <v>12208</v>
      </c>
      <c r="J4" s="300" t="s">
        <v>12207</v>
      </c>
    </row>
    <row r="5" spans="1:10" x14ac:dyDescent="0.25">
      <c r="A5">
        <f t="shared" si="0"/>
        <v>700000</v>
      </c>
      <c r="B5" s="232">
        <v>700</v>
      </c>
      <c r="C5" t="s">
        <v>24261</v>
      </c>
      <c r="D5" s="242" t="s">
        <v>24248</v>
      </c>
      <c r="F5" s="305"/>
      <c r="G5" s="290"/>
      <c r="I5" t="s">
        <v>7024</v>
      </c>
      <c r="J5" s="238" t="s">
        <v>7023</v>
      </c>
    </row>
    <row r="6" spans="1:10" x14ac:dyDescent="0.25">
      <c r="A6">
        <f t="shared" si="0"/>
        <v>700000</v>
      </c>
      <c r="B6" s="236">
        <v>700</v>
      </c>
      <c r="C6" t="s">
        <v>24261</v>
      </c>
      <c r="D6" s="234" t="s">
        <v>24248</v>
      </c>
      <c r="F6" s="305"/>
      <c r="G6" s="290"/>
      <c r="I6" t="s">
        <v>5953</v>
      </c>
      <c r="J6" s="238" t="s">
        <v>5952</v>
      </c>
    </row>
    <row r="7" spans="1:10" x14ac:dyDescent="0.25">
      <c r="A7">
        <f t="shared" si="0"/>
        <v>800000</v>
      </c>
      <c r="B7" s="232">
        <v>800</v>
      </c>
      <c r="C7" t="s">
        <v>24261</v>
      </c>
      <c r="D7" s="242" t="s">
        <v>24248</v>
      </c>
      <c r="F7" s="305"/>
      <c r="G7" s="290"/>
      <c r="I7" t="s">
        <v>3924</v>
      </c>
      <c r="J7" s="238" t="s">
        <v>3923</v>
      </c>
    </row>
    <row r="8" spans="1:10" x14ac:dyDescent="0.25">
      <c r="A8">
        <f t="shared" si="0"/>
        <v>860000</v>
      </c>
      <c r="B8" s="236">
        <v>860</v>
      </c>
      <c r="C8" t="s">
        <v>24261</v>
      </c>
      <c r="D8" s="234" t="s">
        <v>24248</v>
      </c>
      <c r="F8" s="305"/>
      <c r="G8" s="290"/>
      <c r="I8" t="s">
        <v>9640</v>
      </c>
      <c r="J8" s="238" t="s">
        <v>9639</v>
      </c>
    </row>
    <row r="9" spans="1:10" x14ac:dyDescent="0.25">
      <c r="A9">
        <f t="shared" si="0"/>
        <v>800000</v>
      </c>
      <c r="B9" s="232">
        <v>800</v>
      </c>
      <c r="C9" t="s">
        <v>24261</v>
      </c>
      <c r="D9" s="242" t="s">
        <v>24248</v>
      </c>
      <c r="F9" s="305"/>
      <c r="G9" s="290"/>
      <c r="I9" t="s">
        <v>12270</v>
      </c>
      <c r="J9" s="238" t="s">
        <v>12269</v>
      </c>
    </row>
    <row r="10" spans="1:10" x14ac:dyDescent="0.25">
      <c r="A10">
        <f t="shared" si="0"/>
        <v>520000</v>
      </c>
      <c r="B10" s="236">
        <v>520</v>
      </c>
      <c r="C10" t="s">
        <v>24261</v>
      </c>
      <c r="D10" s="234" t="s">
        <v>24248</v>
      </c>
      <c r="F10" s="305"/>
      <c r="G10" s="290"/>
      <c r="I10" t="s">
        <v>4994</v>
      </c>
      <c r="J10" s="238" t="s">
        <v>4993</v>
      </c>
    </row>
    <row r="11" spans="1:10" x14ac:dyDescent="0.25">
      <c r="A11">
        <f t="shared" si="0"/>
        <v>700000</v>
      </c>
      <c r="B11" s="232">
        <v>700</v>
      </c>
      <c r="C11" t="s">
        <v>24261</v>
      </c>
      <c r="D11" s="242" t="s">
        <v>24248</v>
      </c>
      <c r="F11" s="305"/>
      <c r="G11" s="290"/>
      <c r="I11" t="s">
        <v>12208</v>
      </c>
      <c r="J11" s="238" t="s">
        <v>12207</v>
      </c>
    </row>
    <row r="12" spans="1:10" x14ac:dyDescent="0.25">
      <c r="A12">
        <f t="shared" si="0"/>
        <v>350000</v>
      </c>
      <c r="B12" s="236">
        <v>350</v>
      </c>
      <c r="C12" t="s">
        <v>24261</v>
      </c>
      <c r="D12" s="234" t="s">
        <v>24248</v>
      </c>
      <c r="F12" s="305"/>
      <c r="G12" s="290"/>
      <c r="I12" t="s">
        <v>5029</v>
      </c>
      <c r="J12" s="238" t="s">
        <v>5028</v>
      </c>
    </row>
    <row r="13" spans="1:10" x14ac:dyDescent="0.25">
      <c r="A13">
        <f t="shared" si="0"/>
        <v>500000</v>
      </c>
      <c r="B13" s="232">
        <v>500</v>
      </c>
      <c r="C13" t="s">
        <v>24261</v>
      </c>
      <c r="D13" s="242" t="s">
        <v>24248</v>
      </c>
      <c r="F13" s="305"/>
      <c r="G13" s="290"/>
      <c r="I13" t="s">
        <v>5810</v>
      </c>
      <c r="J13" s="238" t="s">
        <v>5809</v>
      </c>
    </row>
    <row r="14" spans="1:10" x14ac:dyDescent="0.25">
      <c r="A14">
        <f t="shared" si="0"/>
        <v>450000</v>
      </c>
      <c r="B14" s="236">
        <v>450</v>
      </c>
      <c r="C14" t="s">
        <v>24261</v>
      </c>
      <c r="D14" s="234" t="s">
        <v>24248</v>
      </c>
      <c r="F14" s="305"/>
      <c r="G14" s="290"/>
      <c r="I14" t="s">
        <v>24237</v>
      </c>
      <c r="J14" s="238" t="s">
        <v>24210</v>
      </c>
    </row>
    <row r="15" spans="1:10" x14ac:dyDescent="0.25">
      <c r="A15">
        <f t="shared" si="0"/>
        <v>200000</v>
      </c>
      <c r="B15" s="232">
        <v>200</v>
      </c>
      <c r="C15" t="s">
        <v>24262</v>
      </c>
      <c r="D15" s="242" t="s">
        <v>24249</v>
      </c>
      <c r="F15" s="305"/>
      <c r="G15" s="290"/>
      <c r="I15" t="s">
        <v>5838</v>
      </c>
      <c r="J15" s="238" t="s">
        <v>5837</v>
      </c>
    </row>
    <row r="16" spans="1:10" x14ac:dyDescent="0.25">
      <c r="A16">
        <f t="shared" si="0"/>
        <v>520000</v>
      </c>
      <c r="B16" s="236">
        <v>520</v>
      </c>
      <c r="C16" t="s">
        <v>24262</v>
      </c>
      <c r="D16" s="234" t="s">
        <v>24249</v>
      </c>
      <c r="F16" s="305"/>
      <c r="G16" s="290"/>
      <c r="I16" t="s">
        <v>5907</v>
      </c>
      <c r="J16" s="238" t="s">
        <v>5906</v>
      </c>
    </row>
    <row r="17" spans="1:10" x14ac:dyDescent="0.25">
      <c r="A17">
        <f t="shared" si="0"/>
        <v>1500000</v>
      </c>
      <c r="B17" s="249">
        <v>1500</v>
      </c>
      <c r="C17" t="s">
        <v>24262</v>
      </c>
      <c r="D17" s="242" t="s">
        <v>24249</v>
      </c>
      <c r="F17" s="305"/>
      <c r="G17" s="290"/>
      <c r="I17" t="s">
        <v>5949</v>
      </c>
      <c r="J17" s="238" t="s">
        <v>5948</v>
      </c>
    </row>
    <row r="18" spans="1:10" x14ac:dyDescent="0.25">
      <c r="A18">
        <f t="shared" si="0"/>
        <v>920000</v>
      </c>
      <c r="B18" s="236">
        <v>920</v>
      </c>
      <c r="C18" t="s">
        <v>24262</v>
      </c>
      <c r="D18" s="234" t="s">
        <v>24249</v>
      </c>
      <c r="F18" s="305"/>
      <c r="G18" s="290"/>
      <c r="I18" t="s">
        <v>7569</v>
      </c>
      <c r="J18" s="238" t="s">
        <v>7568</v>
      </c>
    </row>
    <row r="19" spans="1:10" x14ac:dyDescent="0.25">
      <c r="A19">
        <f t="shared" si="0"/>
        <v>500000</v>
      </c>
      <c r="B19" s="232">
        <v>500</v>
      </c>
      <c r="C19" t="s">
        <v>24262</v>
      </c>
      <c r="D19" s="242" t="s">
        <v>24249</v>
      </c>
      <c r="F19" s="305"/>
      <c r="G19" s="290"/>
      <c r="I19" t="s">
        <v>3670</v>
      </c>
      <c r="J19" s="238" t="s">
        <v>3669</v>
      </c>
    </row>
    <row r="20" spans="1:10" x14ac:dyDescent="0.25">
      <c r="A20">
        <f t="shared" si="0"/>
        <v>2500000</v>
      </c>
      <c r="B20" s="248">
        <v>2500</v>
      </c>
      <c r="C20" t="s">
        <v>24263</v>
      </c>
      <c r="D20" s="234" t="s">
        <v>24251</v>
      </c>
      <c r="F20" s="305"/>
      <c r="G20" s="290"/>
      <c r="I20" t="s">
        <v>7392</v>
      </c>
      <c r="J20" s="300" t="s">
        <v>7391</v>
      </c>
    </row>
    <row r="21" spans="1:10" x14ac:dyDescent="0.25">
      <c r="A21">
        <f t="shared" si="0"/>
        <v>800000</v>
      </c>
      <c r="B21" s="232">
        <v>800</v>
      </c>
      <c r="C21" t="s">
        <v>24264</v>
      </c>
      <c r="D21" s="242" t="s">
        <v>24252</v>
      </c>
      <c r="F21" s="305"/>
      <c r="G21" s="290"/>
      <c r="I21" t="s">
        <v>7557</v>
      </c>
      <c r="J21" s="238" t="s">
        <v>7556</v>
      </c>
    </row>
    <row r="22" spans="1:10" x14ac:dyDescent="0.25">
      <c r="A22">
        <f t="shared" si="0"/>
        <v>1000000</v>
      </c>
      <c r="B22" s="248">
        <v>1000</v>
      </c>
      <c r="C22" t="s">
        <v>24264</v>
      </c>
      <c r="D22" s="234" t="s">
        <v>24252</v>
      </c>
      <c r="F22" s="305"/>
      <c r="G22" s="290"/>
      <c r="I22" t="s">
        <v>11824</v>
      </c>
      <c r="J22" s="238" t="s">
        <v>11823</v>
      </c>
    </row>
    <row r="23" spans="1:10" x14ac:dyDescent="0.25">
      <c r="A23">
        <f t="shared" si="0"/>
        <v>1100000</v>
      </c>
      <c r="B23" s="249">
        <v>1100</v>
      </c>
      <c r="C23" t="s">
        <v>24264</v>
      </c>
      <c r="D23" s="242" t="s">
        <v>24252</v>
      </c>
      <c r="F23" s="305"/>
      <c r="G23" s="290"/>
      <c r="I23" t="s">
        <v>24272</v>
      </c>
      <c r="J23" s="238" t="s">
        <v>24253</v>
      </c>
    </row>
    <row r="24" spans="1:10" x14ac:dyDescent="0.25">
      <c r="A24">
        <f t="shared" si="0"/>
        <v>1000000</v>
      </c>
      <c r="B24" s="248">
        <v>1000</v>
      </c>
      <c r="C24" t="s">
        <v>24264</v>
      </c>
      <c r="D24" s="234" t="s">
        <v>24252</v>
      </c>
      <c r="F24" s="305"/>
      <c r="G24" s="290"/>
      <c r="I24" t="s">
        <v>24273</v>
      </c>
      <c r="J24" s="238" t="s">
        <v>24254</v>
      </c>
    </row>
    <row r="25" spans="1:10" x14ac:dyDescent="0.25">
      <c r="A25">
        <f t="shared" si="0"/>
        <v>1000000</v>
      </c>
      <c r="B25" s="249">
        <v>1000</v>
      </c>
      <c r="C25" t="s">
        <v>24263</v>
      </c>
      <c r="D25" s="242" t="s">
        <v>24251</v>
      </c>
      <c r="F25" s="305"/>
      <c r="G25" s="290"/>
      <c r="I25" t="s">
        <v>7059</v>
      </c>
      <c r="J25" s="300" t="s">
        <v>7058</v>
      </c>
    </row>
    <row r="26" spans="1:10" x14ac:dyDescent="0.25">
      <c r="A26">
        <f t="shared" si="0"/>
        <v>360000</v>
      </c>
      <c r="B26" s="236">
        <v>360</v>
      </c>
      <c r="C26" t="s">
        <v>24263</v>
      </c>
      <c r="D26" s="234" t="s">
        <v>24251</v>
      </c>
      <c r="F26" s="305"/>
      <c r="G26" s="290"/>
      <c r="I26" t="s">
        <v>6958</v>
      </c>
      <c r="J26" s="238" t="s">
        <v>6957</v>
      </c>
    </row>
    <row r="27" spans="1:10" x14ac:dyDescent="0.25">
      <c r="A27">
        <f t="shared" si="0"/>
        <v>500000</v>
      </c>
      <c r="B27" s="232">
        <v>500</v>
      </c>
      <c r="C27" t="s">
        <v>24263</v>
      </c>
      <c r="D27" s="242" t="s">
        <v>24251</v>
      </c>
      <c r="F27" s="305"/>
      <c r="G27" s="290"/>
      <c r="I27" t="s">
        <v>6954</v>
      </c>
      <c r="J27" s="238" t="s">
        <v>6953</v>
      </c>
    </row>
    <row r="28" spans="1:10" x14ac:dyDescent="0.25">
      <c r="A28">
        <f t="shared" si="0"/>
        <v>300000</v>
      </c>
      <c r="B28" s="236">
        <v>300</v>
      </c>
      <c r="C28" t="s">
        <v>24263</v>
      </c>
      <c r="D28" s="234" t="s">
        <v>24251</v>
      </c>
      <c r="F28" s="305"/>
      <c r="G28" s="291"/>
      <c r="I28" t="s">
        <v>5810</v>
      </c>
      <c r="J28" s="238" t="s">
        <v>5809</v>
      </c>
    </row>
    <row r="29" spans="1:10" x14ac:dyDescent="0.25">
      <c r="A29">
        <f t="shared" si="0"/>
        <v>300000</v>
      </c>
      <c r="B29" s="232">
        <v>300</v>
      </c>
      <c r="C29" t="s">
        <v>24263</v>
      </c>
      <c r="D29" s="242" t="s">
        <v>24251</v>
      </c>
      <c r="F29" s="305"/>
      <c r="G29" s="290"/>
      <c r="I29" t="s">
        <v>6940</v>
      </c>
      <c r="J29" s="238" t="s">
        <v>6939</v>
      </c>
    </row>
    <row r="30" spans="1:10" x14ac:dyDescent="0.25">
      <c r="A30">
        <f t="shared" si="0"/>
        <v>5000000</v>
      </c>
      <c r="B30" s="233">
        <v>5000</v>
      </c>
      <c r="C30" t="s">
        <v>24265</v>
      </c>
      <c r="D30" s="301" t="s">
        <v>24255</v>
      </c>
      <c r="F30" s="305"/>
      <c r="G30" s="291"/>
      <c r="I30" t="s">
        <v>6345</v>
      </c>
      <c r="J30" s="300" t="s">
        <v>6344</v>
      </c>
    </row>
    <row r="31" spans="1:10" x14ac:dyDescent="0.25">
      <c r="A31">
        <f t="shared" si="0"/>
        <v>1850000</v>
      </c>
      <c r="B31" s="249">
        <v>1850</v>
      </c>
      <c r="C31" t="s">
        <v>24265</v>
      </c>
      <c r="D31" s="242" t="s">
        <v>24256</v>
      </c>
      <c r="F31" s="309"/>
      <c r="I31" t="s">
        <v>6981</v>
      </c>
      <c r="J31" s="238" t="s">
        <v>6980</v>
      </c>
    </row>
    <row r="32" spans="1:10" x14ac:dyDescent="0.25">
      <c r="A32">
        <f t="shared" si="0"/>
        <v>2000000</v>
      </c>
      <c r="B32" s="248">
        <v>2000</v>
      </c>
      <c r="C32" t="s">
        <v>24265</v>
      </c>
      <c r="D32" s="234" t="s">
        <v>24256</v>
      </c>
      <c r="F32" s="305"/>
      <c r="G32" s="290"/>
      <c r="I32" t="s">
        <v>9640</v>
      </c>
      <c r="J32" s="238" t="s">
        <v>9639</v>
      </c>
    </row>
    <row r="33" spans="1:11" x14ac:dyDescent="0.25">
      <c r="A33">
        <f t="shared" si="0"/>
        <v>600000</v>
      </c>
      <c r="B33" s="232">
        <v>600</v>
      </c>
      <c r="C33" t="s">
        <v>24265</v>
      </c>
      <c r="D33" s="242" t="s">
        <v>24257</v>
      </c>
      <c r="F33" s="309"/>
      <c r="G33" s="290"/>
      <c r="I33" t="s">
        <v>6981</v>
      </c>
      <c r="J33" s="238" t="s">
        <v>6980</v>
      </c>
    </row>
    <row r="34" spans="1:11" x14ac:dyDescent="0.25">
      <c r="A34">
        <f t="shared" si="0"/>
        <v>2400000</v>
      </c>
      <c r="B34" s="248">
        <v>2400</v>
      </c>
      <c r="C34" t="s">
        <v>24265</v>
      </c>
      <c r="D34" s="234" t="s">
        <v>24257</v>
      </c>
      <c r="F34" s="305"/>
      <c r="G34" s="290"/>
      <c r="I34" t="s">
        <v>6977</v>
      </c>
      <c r="J34" s="238" t="s">
        <v>6976</v>
      </c>
    </row>
    <row r="35" spans="1:11" x14ac:dyDescent="0.25">
      <c r="A35">
        <f t="shared" si="0"/>
        <v>200000</v>
      </c>
      <c r="B35" s="232">
        <v>200</v>
      </c>
      <c r="C35" t="s">
        <v>24266</v>
      </c>
      <c r="D35" s="242" t="s">
        <v>24258</v>
      </c>
      <c r="F35" s="305"/>
      <c r="G35" s="290"/>
      <c r="I35" t="s">
        <v>8494</v>
      </c>
      <c r="J35" s="238" t="s">
        <v>8493</v>
      </c>
    </row>
    <row r="36" spans="1:11" x14ac:dyDescent="0.25">
      <c r="A36">
        <f t="shared" si="0"/>
        <v>7000000</v>
      </c>
      <c r="B36" s="248">
        <v>7000</v>
      </c>
      <c r="C36" t="s">
        <v>24267</v>
      </c>
      <c r="D36" s="234" t="s">
        <v>24259</v>
      </c>
      <c r="F36" s="305"/>
      <c r="G36" s="290"/>
      <c r="I36" t="s">
        <v>6949</v>
      </c>
      <c r="J36" s="238" t="s">
        <v>6948</v>
      </c>
    </row>
    <row r="37" spans="1:11" x14ac:dyDescent="0.25">
      <c r="A37">
        <f t="shared" si="0"/>
        <v>1200000</v>
      </c>
      <c r="B37" s="249">
        <v>1200</v>
      </c>
      <c r="C37" t="s">
        <v>24267</v>
      </c>
      <c r="D37" s="242" t="s">
        <v>24259</v>
      </c>
      <c r="F37" s="305"/>
      <c r="G37" s="290"/>
      <c r="I37" t="s">
        <v>7059</v>
      </c>
      <c r="J37" s="238" t="s">
        <v>7058</v>
      </c>
    </row>
    <row r="38" spans="1:11" x14ac:dyDescent="0.25">
      <c r="A38">
        <f t="shared" si="0"/>
        <v>600000</v>
      </c>
      <c r="B38" s="236">
        <v>600</v>
      </c>
      <c r="C38" t="s">
        <v>24267</v>
      </c>
      <c r="D38" s="234" t="s">
        <v>24259</v>
      </c>
      <c r="F38" s="306"/>
      <c r="G38" s="290"/>
      <c r="I38" t="s">
        <v>6958</v>
      </c>
      <c r="J38" s="238" t="s">
        <v>6957</v>
      </c>
    </row>
    <row r="39" spans="1:11" x14ac:dyDescent="0.25">
      <c r="A39">
        <f t="shared" si="0"/>
        <v>1100000</v>
      </c>
      <c r="B39" s="249">
        <v>1100</v>
      </c>
      <c r="C39" t="s">
        <v>24267</v>
      </c>
      <c r="D39" s="242" t="s">
        <v>24259</v>
      </c>
      <c r="F39" s="306"/>
      <c r="I39" t="s">
        <v>6902</v>
      </c>
      <c r="J39" s="238" t="s">
        <v>6901</v>
      </c>
    </row>
    <row r="40" spans="1:11" x14ac:dyDescent="0.25">
      <c r="A40">
        <f t="shared" si="0"/>
        <v>100000</v>
      </c>
      <c r="B40" s="286">
        <v>100</v>
      </c>
      <c r="C40" s="293" t="s">
        <v>24268</v>
      </c>
      <c r="D40" s="293" t="s">
        <v>24268</v>
      </c>
      <c r="I40" t="s">
        <v>24274</v>
      </c>
      <c r="J40" s="307" t="s">
        <v>24269</v>
      </c>
    </row>
    <row r="41" spans="1:11" x14ac:dyDescent="0.25">
      <c r="A41">
        <f t="shared" si="0"/>
        <v>100000</v>
      </c>
      <c r="B41" s="286">
        <v>100</v>
      </c>
      <c r="C41" s="293" t="s">
        <v>24268</v>
      </c>
      <c r="D41" s="293" t="s">
        <v>24268</v>
      </c>
      <c r="I41" t="s">
        <v>4430</v>
      </c>
      <c r="J41" s="307" t="s">
        <v>4429</v>
      </c>
    </row>
    <row r="42" spans="1:11" x14ac:dyDescent="0.25">
      <c r="A42" s="292"/>
      <c r="B42" s="286"/>
      <c r="C42" s="293"/>
      <c r="J42" s="29"/>
    </row>
    <row r="43" spans="1:11" x14ac:dyDescent="0.25">
      <c r="A43" s="292"/>
      <c r="B43" s="293"/>
      <c r="C43" s="293"/>
      <c r="D43" s="282" t="s">
        <v>24275</v>
      </c>
      <c r="J43" s="29"/>
    </row>
    <row r="44" spans="1:11" x14ac:dyDescent="0.25">
      <c r="A44" s="292"/>
      <c r="B44" s="286"/>
      <c r="C44" s="286"/>
      <c r="J44" s="310" t="s">
        <v>24276</v>
      </c>
    </row>
    <row r="45" spans="1:11" x14ac:dyDescent="0.25">
      <c r="A45" s="292"/>
      <c r="B45" s="293"/>
      <c r="C45" s="286" t="s">
        <v>24278</v>
      </c>
      <c r="D45" s="234" t="s">
        <v>24277</v>
      </c>
      <c r="G45">
        <v>1050013796</v>
      </c>
      <c r="H45">
        <v>2125100043</v>
      </c>
      <c r="J45" s="310" t="s">
        <v>24279</v>
      </c>
    </row>
    <row r="46" spans="1:11" x14ac:dyDescent="0.25">
      <c r="A46" s="292"/>
      <c r="B46" s="293"/>
      <c r="C46" s="293"/>
      <c r="J46" s="29"/>
    </row>
    <row r="47" spans="1:11" x14ac:dyDescent="0.25">
      <c r="A47" s="292"/>
      <c r="B47" s="286"/>
      <c r="C47" s="293"/>
      <c r="J47" s="29"/>
    </row>
    <row r="48" spans="1:11" x14ac:dyDescent="0.25">
      <c r="A48">
        <f>B48*1000</f>
        <v>6500000</v>
      </c>
      <c r="B48" s="299">
        <v>6500</v>
      </c>
      <c r="C48" t="s">
        <v>24294</v>
      </c>
      <c r="D48" s="228" t="s">
        <v>24245</v>
      </c>
      <c r="G48">
        <v>1050013768</v>
      </c>
      <c r="H48">
        <v>2125100044</v>
      </c>
      <c r="I48">
        <v>1050013768</v>
      </c>
      <c r="J48" s="313" t="s">
        <v>12153</v>
      </c>
      <c r="K48" t="s">
        <v>12153</v>
      </c>
    </row>
    <row r="49" spans="1:11" x14ac:dyDescent="0.25">
      <c r="A49">
        <f t="shared" ref="A49:A87" si="1">B49*1000</f>
        <v>4700000</v>
      </c>
      <c r="B49" s="248">
        <v>4700</v>
      </c>
      <c r="C49" t="s">
        <v>24294</v>
      </c>
      <c r="D49" s="234" t="s">
        <v>24245</v>
      </c>
      <c r="G49">
        <v>1050013769</v>
      </c>
      <c r="H49">
        <v>2125100045</v>
      </c>
      <c r="I49">
        <v>1050013769</v>
      </c>
      <c r="J49" s="310" t="s">
        <v>5809</v>
      </c>
      <c r="K49" t="s">
        <v>5809</v>
      </c>
    </row>
    <row r="50" spans="1:11" x14ac:dyDescent="0.25">
      <c r="A50">
        <f t="shared" si="1"/>
        <v>100000</v>
      </c>
      <c r="B50" s="232">
        <v>100</v>
      </c>
      <c r="C50" t="s">
        <v>24262</v>
      </c>
      <c r="D50" s="242" t="s">
        <v>24277</v>
      </c>
      <c r="G50">
        <v>1050013770</v>
      </c>
      <c r="H50">
        <v>2125100046</v>
      </c>
      <c r="I50">
        <v>1050013770</v>
      </c>
      <c r="J50" s="310" t="s">
        <v>7568</v>
      </c>
      <c r="K50" t="s">
        <v>7568</v>
      </c>
    </row>
    <row r="51" spans="1:11" x14ac:dyDescent="0.25">
      <c r="A51">
        <f t="shared" si="1"/>
        <v>1620000</v>
      </c>
      <c r="B51" s="248">
        <v>1620</v>
      </c>
      <c r="C51" t="s">
        <v>24262</v>
      </c>
      <c r="D51" s="234" t="s">
        <v>24277</v>
      </c>
      <c r="G51">
        <v>1050013771</v>
      </c>
      <c r="H51">
        <v>2125100047</v>
      </c>
      <c r="I51">
        <v>1050013771</v>
      </c>
      <c r="J51" s="310" t="s">
        <v>5013</v>
      </c>
      <c r="K51" t="s">
        <v>5013</v>
      </c>
    </row>
    <row r="52" spans="1:11" x14ac:dyDescent="0.25">
      <c r="A52">
        <f t="shared" si="1"/>
        <v>350000</v>
      </c>
      <c r="B52" s="232">
        <v>350</v>
      </c>
      <c r="C52" t="s">
        <v>24262</v>
      </c>
      <c r="D52" s="242" t="s">
        <v>24277</v>
      </c>
      <c r="G52" s="265">
        <v>1050013796</v>
      </c>
      <c r="H52">
        <v>2125100043</v>
      </c>
      <c r="J52" s="310" t="s">
        <v>1659</v>
      </c>
    </row>
    <row r="53" spans="1:11" x14ac:dyDescent="0.25">
      <c r="A53">
        <f t="shared" si="1"/>
        <v>1500000</v>
      </c>
      <c r="B53" s="248">
        <v>1500</v>
      </c>
      <c r="C53" t="s">
        <v>24262</v>
      </c>
      <c r="D53" s="234" t="s">
        <v>24277</v>
      </c>
      <c r="G53">
        <v>1050013772</v>
      </c>
      <c r="H53">
        <v>2125100048</v>
      </c>
      <c r="I53">
        <v>1050013772</v>
      </c>
      <c r="J53" s="310" t="s">
        <v>3669</v>
      </c>
      <c r="K53" t="s">
        <v>3669</v>
      </c>
    </row>
    <row r="54" spans="1:11" x14ac:dyDescent="0.25">
      <c r="A54">
        <f t="shared" si="1"/>
        <v>260000</v>
      </c>
      <c r="B54" s="232">
        <v>260</v>
      </c>
      <c r="C54" t="s">
        <v>24262</v>
      </c>
      <c r="D54" s="242" t="s">
        <v>24277</v>
      </c>
      <c r="G54">
        <v>1050013773</v>
      </c>
      <c r="H54">
        <v>2125100049</v>
      </c>
      <c r="I54">
        <v>1050013773</v>
      </c>
      <c r="J54" s="310" t="s">
        <v>7386</v>
      </c>
      <c r="K54" t="s">
        <v>7386</v>
      </c>
    </row>
    <row r="55" spans="1:11" x14ac:dyDescent="0.25">
      <c r="A55">
        <f t="shared" si="1"/>
        <v>160000</v>
      </c>
      <c r="B55" s="236">
        <v>160</v>
      </c>
      <c r="C55" t="s">
        <v>24262</v>
      </c>
      <c r="D55" s="234" t="s">
        <v>24277</v>
      </c>
      <c r="G55">
        <v>1050013774</v>
      </c>
      <c r="H55">
        <v>2125100050</v>
      </c>
      <c r="I55">
        <v>1050013774</v>
      </c>
      <c r="J55" s="310" t="s">
        <v>16890</v>
      </c>
      <c r="K55" t="s">
        <v>16890</v>
      </c>
    </row>
    <row r="56" spans="1:11" x14ac:dyDescent="0.25">
      <c r="A56">
        <f t="shared" si="1"/>
        <v>650000</v>
      </c>
      <c r="B56" s="236">
        <v>650</v>
      </c>
      <c r="C56" t="s">
        <v>24262</v>
      </c>
      <c r="D56" s="234" t="s">
        <v>24277</v>
      </c>
      <c r="E56" s="294"/>
      <c r="F56" s="290"/>
      <c r="G56">
        <v>1050013775</v>
      </c>
      <c r="H56">
        <v>2125100051</v>
      </c>
      <c r="I56">
        <v>1050013775</v>
      </c>
      <c r="J56" s="310" t="s">
        <v>5837</v>
      </c>
      <c r="K56" t="s">
        <v>5837</v>
      </c>
    </row>
    <row r="57" spans="1:11" x14ac:dyDescent="0.25">
      <c r="A57">
        <f t="shared" si="1"/>
        <v>2400000</v>
      </c>
      <c r="B57" s="249">
        <v>2400</v>
      </c>
      <c r="C57" t="s">
        <v>24262</v>
      </c>
      <c r="D57" s="242" t="s">
        <v>24277</v>
      </c>
      <c r="E57" s="294"/>
      <c r="F57" s="290"/>
      <c r="G57">
        <v>1050013776</v>
      </c>
      <c r="H57">
        <v>2125100052</v>
      </c>
      <c r="I57">
        <v>1050013776</v>
      </c>
      <c r="J57" s="310" t="s">
        <v>5906</v>
      </c>
      <c r="K57" t="s">
        <v>5906</v>
      </c>
    </row>
    <row r="58" spans="1:11" x14ac:dyDescent="0.25">
      <c r="A58">
        <f t="shared" si="1"/>
        <v>100000</v>
      </c>
      <c r="B58" s="236">
        <v>100</v>
      </c>
      <c r="C58" t="s">
        <v>24262</v>
      </c>
      <c r="D58" s="234" t="s">
        <v>24277</v>
      </c>
      <c r="G58">
        <v>1050013777</v>
      </c>
      <c r="H58">
        <v>2125100053</v>
      </c>
      <c r="I58">
        <v>1050013777</v>
      </c>
      <c r="J58" s="310" t="s">
        <v>5018</v>
      </c>
      <c r="K58" t="s">
        <v>5018</v>
      </c>
    </row>
    <row r="59" spans="1:11" x14ac:dyDescent="0.25">
      <c r="A59">
        <f t="shared" si="1"/>
        <v>1000000</v>
      </c>
      <c r="B59" s="249">
        <v>1000</v>
      </c>
      <c r="C59" t="s">
        <v>24295</v>
      </c>
      <c r="D59" s="242" t="s">
        <v>24280</v>
      </c>
      <c r="G59">
        <v>1050013778</v>
      </c>
      <c r="H59">
        <v>2125100054</v>
      </c>
      <c r="I59">
        <v>1050013778</v>
      </c>
      <c r="J59" s="310" t="s">
        <v>7556</v>
      </c>
      <c r="K59" t="s">
        <v>7556</v>
      </c>
    </row>
    <row r="60" spans="1:11" x14ac:dyDescent="0.25">
      <c r="A60">
        <f t="shared" si="1"/>
        <v>1000000</v>
      </c>
      <c r="B60" s="248">
        <v>1000</v>
      </c>
      <c r="C60" t="s">
        <v>24295</v>
      </c>
      <c r="D60" s="234" t="s">
        <v>24280</v>
      </c>
      <c r="G60">
        <v>1050013779</v>
      </c>
      <c r="H60">
        <v>2125100055</v>
      </c>
      <c r="I60">
        <v>1050013779</v>
      </c>
      <c r="J60" s="310" t="s">
        <v>11823</v>
      </c>
      <c r="K60" t="s">
        <v>11823</v>
      </c>
    </row>
    <row r="61" spans="1:11" x14ac:dyDescent="0.25">
      <c r="A61">
        <f t="shared" si="1"/>
        <v>950000</v>
      </c>
      <c r="B61" s="232">
        <v>950</v>
      </c>
      <c r="C61" t="s">
        <v>24264</v>
      </c>
      <c r="D61" s="242" t="s">
        <v>24281</v>
      </c>
      <c r="G61">
        <v>1050013840</v>
      </c>
      <c r="H61">
        <v>2125100056</v>
      </c>
      <c r="I61">
        <v>1050013840</v>
      </c>
      <c r="J61" s="310" t="s">
        <v>7493</v>
      </c>
      <c r="K61" t="s">
        <v>7493</v>
      </c>
    </row>
    <row r="62" spans="1:11" x14ac:dyDescent="0.25">
      <c r="A62">
        <f t="shared" si="1"/>
        <v>1000000</v>
      </c>
      <c r="B62" s="248">
        <v>1000</v>
      </c>
      <c r="C62" t="s">
        <v>24264</v>
      </c>
      <c r="D62" s="234" t="s">
        <v>24281</v>
      </c>
      <c r="G62">
        <v>1050013841</v>
      </c>
      <c r="H62">
        <v>2125100057</v>
      </c>
      <c r="I62">
        <v>1050013841</v>
      </c>
      <c r="J62" s="310" t="s">
        <v>24282</v>
      </c>
      <c r="K62" t="s">
        <v>24282</v>
      </c>
    </row>
    <row r="63" spans="1:11" x14ac:dyDescent="0.25">
      <c r="A63">
        <f t="shared" si="1"/>
        <v>1000000</v>
      </c>
      <c r="B63" s="249">
        <v>1000</v>
      </c>
      <c r="C63" t="s">
        <v>24264</v>
      </c>
      <c r="D63" s="242" t="s">
        <v>24281</v>
      </c>
      <c r="G63">
        <v>1050013842</v>
      </c>
      <c r="H63">
        <v>2125100058</v>
      </c>
      <c r="I63">
        <v>1050013842</v>
      </c>
      <c r="J63" s="310" t="s">
        <v>24254</v>
      </c>
      <c r="K63" t="s">
        <v>24254</v>
      </c>
    </row>
    <row r="64" spans="1:11" x14ac:dyDescent="0.25">
      <c r="A64">
        <f t="shared" si="1"/>
        <v>1000000</v>
      </c>
      <c r="B64" s="248">
        <v>1000</v>
      </c>
      <c r="C64" t="s">
        <v>24262</v>
      </c>
      <c r="D64" s="234" t="s">
        <v>24283</v>
      </c>
      <c r="G64">
        <v>1050013773</v>
      </c>
      <c r="H64">
        <v>2125100049</v>
      </c>
      <c r="J64" s="310" t="s">
        <v>7386</v>
      </c>
    </row>
    <row r="65" spans="1:11" x14ac:dyDescent="0.25">
      <c r="A65">
        <f t="shared" si="1"/>
        <v>360000</v>
      </c>
      <c r="B65" s="232">
        <v>360</v>
      </c>
      <c r="C65" t="s">
        <v>24262</v>
      </c>
      <c r="D65" s="242" t="s">
        <v>24249</v>
      </c>
      <c r="G65">
        <v>1050013632</v>
      </c>
      <c r="H65">
        <v>2125100059</v>
      </c>
      <c r="J65" s="310" t="s">
        <v>24284</v>
      </c>
      <c r="K65" t="s">
        <v>24284</v>
      </c>
    </row>
    <row r="66" spans="1:11" x14ac:dyDescent="0.25">
      <c r="A66">
        <f t="shared" si="1"/>
        <v>260000</v>
      </c>
      <c r="B66" s="236">
        <v>260</v>
      </c>
      <c r="C66" t="s">
        <v>24262</v>
      </c>
      <c r="D66" s="234" t="s">
        <v>24249</v>
      </c>
      <c r="G66">
        <v>1050013633</v>
      </c>
      <c r="H66">
        <v>2125100060</v>
      </c>
      <c r="J66" s="310" t="s">
        <v>24285</v>
      </c>
      <c r="K66" t="s">
        <v>24285</v>
      </c>
    </row>
    <row r="67" spans="1:11" x14ac:dyDescent="0.25">
      <c r="A67">
        <f t="shared" si="1"/>
        <v>940000</v>
      </c>
      <c r="B67" s="232">
        <v>940</v>
      </c>
      <c r="C67" t="s">
        <v>24262</v>
      </c>
      <c r="D67" s="242" t="s">
        <v>24249</v>
      </c>
      <c r="G67">
        <v>1050013634</v>
      </c>
      <c r="H67">
        <v>2125100061</v>
      </c>
      <c r="J67" s="310" t="s">
        <v>24286</v>
      </c>
      <c r="K67" t="s">
        <v>24286</v>
      </c>
    </row>
    <row r="68" spans="1:11" x14ac:dyDescent="0.25">
      <c r="A68">
        <f t="shared" si="1"/>
        <v>1000000</v>
      </c>
      <c r="B68" s="248">
        <v>1000</v>
      </c>
      <c r="C68" t="s">
        <v>24296</v>
      </c>
      <c r="D68" s="234" t="s">
        <v>24287</v>
      </c>
      <c r="G68">
        <v>1050013843</v>
      </c>
      <c r="H68">
        <v>2125100062</v>
      </c>
      <c r="I68">
        <v>1050013843</v>
      </c>
      <c r="J68" s="310" t="s">
        <v>7053</v>
      </c>
      <c r="K68" t="s">
        <v>7053</v>
      </c>
    </row>
    <row r="69" spans="1:11" x14ac:dyDescent="0.25">
      <c r="A69">
        <f t="shared" si="1"/>
        <v>1000000</v>
      </c>
      <c r="B69" s="249">
        <v>1000</v>
      </c>
      <c r="C69" t="s">
        <v>24296</v>
      </c>
      <c r="D69" s="242" t="s">
        <v>24287</v>
      </c>
      <c r="G69">
        <v>1050013844</v>
      </c>
      <c r="H69">
        <v>2125100063</v>
      </c>
      <c r="I69">
        <v>1050013844</v>
      </c>
      <c r="J69" s="310" t="s">
        <v>6957</v>
      </c>
      <c r="K69" t="s">
        <v>6957</v>
      </c>
    </row>
    <row r="70" spans="1:11" x14ac:dyDescent="0.25">
      <c r="A70">
        <f t="shared" si="1"/>
        <v>1000000</v>
      </c>
      <c r="B70" s="248">
        <v>1000</v>
      </c>
      <c r="C70" t="s">
        <v>24296</v>
      </c>
      <c r="D70" s="234" t="s">
        <v>24287</v>
      </c>
      <c r="G70">
        <v>1050013845</v>
      </c>
      <c r="H70">
        <v>2125100064</v>
      </c>
      <c r="I70">
        <v>1050013845</v>
      </c>
      <c r="J70" s="310" t="s">
        <v>6953</v>
      </c>
      <c r="K70" t="s">
        <v>6953</v>
      </c>
    </row>
    <row r="71" spans="1:11" x14ac:dyDescent="0.25">
      <c r="A71">
        <f t="shared" si="1"/>
        <v>440000</v>
      </c>
      <c r="B71" s="232">
        <v>440</v>
      </c>
      <c r="C71" t="s">
        <v>24296</v>
      </c>
      <c r="D71" s="242" t="s">
        <v>24287</v>
      </c>
      <c r="G71">
        <v>1050013846</v>
      </c>
      <c r="H71">
        <v>2125100065</v>
      </c>
      <c r="I71">
        <v>1050013846</v>
      </c>
      <c r="J71" s="310" t="s">
        <v>5929</v>
      </c>
      <c r="K71" t="s">
        <v>5929</v>
      </c>
    </row>
    <row r="72" spans="1:11" x14ac:dyDescent="0.25">
      <c r="A72">
        <f t="shared" si="1"/>
        <v>360000</v>
      </c>
      <c r="B72" s="236">
        <v>360</v>
      </c>
      <c r="C72" t="s">
        <v>24296</v>
      </c>
      <c r="D72" s="234" t="s">
        <v>24287</v>
      </c>
      <c r="G72">
        <v>1050013847</v>
      </c>
      <c r="H72">
        <v>2125100066</v>
      </c>
      <c r="I72">
        <v>1050013847</v>
      </c>
      <c r="J72" s="310" t="s">
        <v>5915</v>
      </c>
      <c r="K72" t="s">
        <v>5915</v>
      </c>
    </row>
    <row r="73" spans="1:11" x14ac:dyDescent="0.25">
      <c r="A73">
        <f t="shared" si="1"/>
        <v>800000</v>
      </c>
      <c r="B73" s="232">
        <v>800</v>
      </c>
      <c r="C73" t="s">
        <v>24296</v>
      </c>
      <c r="D73" s="242" t="s">
        <v>24288</v>
      </c>
      <c r="G73">
        <v>1050013848</v>
      </c>
      <c r="H73">
        <v>2125100067</v>
      </c>
      <c r="I73">
        <v>1050013848</v>
      </c>
      <c r="J73" s="310" t="s">
        <v>7572</v>
      </c>
      <c r="K73" t="s">
        <v>7572</v>
      </c>
    </row>
    <row r="74" spans="1:11" x14ac:dyDescent="0.25">
      <c r="A74">
        <f t="shared" si="1"/>
        <v>920000</v>
      </c>
      <c r="B74" s="236">
        <v>920</v>
      </c>
      <c r="C74" t="s">
        <v>24296</v>
      </c>
      <c r="D74" s="234" t="s">
        <v>24288</v>
      </c>
      <c r="G74">
        <v>1050013849</v>
      </c>
      <c r="H74">
        <v>2125100068</v>
      </c>
      <c r="I74">
        <v>1050013849</v>
      </c>
      <c r="J74" s="310" t="s">
        <v>6120</v>
      </c>
      <c r="K74" t="s">
        <v>6120</v>
      </c>
    </row>
    <row r="75" spans="1:11" x14ac:dyDescent="0.25">
      <c r="A75">
        <f t="shared" si="1"/>
        <v>920000</v>
      </c>
      <c r="B75" s="232">
        <v>920</v>
      </c>
      <c r="C75" t="s">
        <v>24296</v>
      </c>
      <c r="D75" s="242" t="s">
        <v>24288</v>
      </c>
      <c r="G75">
        <v>1050013850</v>
      </c>
      <c r="H75">
        <v>2125100069</v>
      </c>
      <c r="I75">
        <v>1050013850</v>
      </c>
      <c r="J75" s="310" t="s">
        <v>7564</v>
      </c>
      <c r="K75" t="s">
        <v>7564</v>
      </c>
    </row>
    <row r="76" spans="1:11" x14ac:dyDescent="0.25">
      <c r="A76">
        <f t="shared" si="1"/>
        <v>1500000</v>
      </c>
      <c r="B76" s="248">
        <v>1500</v>
      </c>
      <c r="C76" t="s">
        <v>24296</v>
      </c>
      <c r="D76" s="234" t="s">
        <v>24288</v>
      </c>
      <c r="G76">
        <v>1050013851</v>
      </c>
      <c r="H76">
        <v>2125100070</v>
      </c>
      <c r="I76">
        <v>1050013851</v>
      </c>
      <c r="J76" s="310" t="s">
        <v>7391</v>
      </c>
      <c r="K76" t="s">
        <v>7391</v>
      </c>
    </row>
    <row r="77" spans="1:11" x14ac:dyDescent="0.25">
      <c r="A77">
        <f t="shared" si="1"/>
        <v>800000</v>
      </c>
      <c r="B77" s="232">
        <v>800</v>
      </c>
      <c r="C77" t="s">
        <v>24296</v>
      </c>
      <c r="D77" s="311" t="s">
        <v>24288</v>
      </c>
      <c r="G77">
        <v>1050013852</v>
      </c>
      <c r="H77">
        <v>2125100071</v>
      </c>
      <c r="I77">
        <v>1050013852</v>
      </c>
      <c r="J77" s="310" t="s">
        <v>7058</v>
      </c>
      <c r="K77" t="s">
        <v>7058</v>
      </c>
    </row>
    <row r="78" spans="1:11" x14ac:dyDescent="0.25">
      <c r="A78">
        <f t="shared" si="1"/>
        <v>4000000</v>
      </c>
      <c r="B78" s="248">
        <v>4000</v>
      </c>
      <c r="C78" t="s">
        <v>24294</v>
      </c>
      <c r="D78" s="234" t="s">
        <v>24245</v>
      </c>
      <c r="G78">
        <v>1050013769</v>
      </c>
      <c r="H78">
        <v>2125100045</v>
      </c>
      <c r="J78" s="310" t="s">
        <v>5809</v>
      </c>
    </row>
    <row r="79" spans="1:11" x14ac:dyDescent="0.25">
      <c r="A79">
        <f t="shared" si="1"/>
        <v>500000</v>
      </c>
      <c r="B79" s="232">
        <v>500</v>
      </c>
      <c r="C79" t="s">
        <v>24294</v>
      </c>
      <c r="D79" s="242" t="s">
        <v>24289</v>
      </c>
      <c r="G79">
        <v>1050013853</v>
      </c>
      <c r="H79">
        <v>2125100072</v>
      </c>
      <c r="I79">
        <v>1050013853</v>
      </c>
      <c r="J79" s="310" t="s">
        <v>10885</v>
      </c>
      <c r="K79" t="s">
        <v>10885</v>
      </c>
    </row>
    <row r="80" spans="1:11" x14ac:dyDescent="0.25">
      <c r="A80">
        <f t="shared" si="1"/>
        <v>500000</v>
      </c>
      <c r="B80" s="236">
        <v>500</v>
      </c>
      <c r="C80" t="s">
        <v>24294</v>
      </c>
      <c r="D80" s="234" t="s">
        <v>24289</v>
      </c>
      <c r="G80">
        <v>1050013854</v>
      </c>
      <c r="H80">
        <v>2125100073</v>
      </c>
      <c r="I80">
        <v>1050013854</v>
      </c>
      <c r="J80" s="310" t="s">
        <v>6723</v>
      </c>
      <c r="K80" t="s">
        <v>6723</v>
      </c>
    </row>
    <row r="81" spans="1:11" x14ac:dyDescent="0.25">
      <c r="A81">
        <f t="shared" si="1"/>
        <v>200000</v>
      </c>
      <c r="B81" s="232">
        <v>200</v>
      </c>
      <c r="C81" t="s">
        <v>24294</v>
      </c>
      <c r="D81" s="242" t="s">
        <v>24289</v>
      </c>
      <c r="G81">
        <v>1050013855</v>
      </c>
      <c r="H81">
        <v>2125100074</v>
      </c>
      <c r="I81">
        <v>1050013855</v>
      </c>
      <c r="J81" s="310" t="s">
        <v>24210</v>
      </c>
      <c r="K81" t="s">
        <v>24210</v>
      </c>
    </row>
    <row r="82" spans="1:11" x14ac:dyDescent="0.25">
      <c r="A82">
        <f t="shared" si="1"/>
        <v>300000</v>
      </c>
      <c r="B82" s="236">
        <v>300</v>
      </c>
      <c r="C82" t="s">
        <v>24294</v>
      </c>
      <c r="D82" s="234" t="s">
        <v>24289</v>
      </c>
      <c r="G82">
        <v>1050013856</v>
      </c>
      <c r="H82">
        <v>2125100075</v>
      </c>
      <c r="I82">
        <v>1050013856</v>
      </c>
      <c r="J82" s="310" t="s">
        <v>24290</v>
      </c>
      <c r="K82" t="s">
        <v>24290</v>
      </c>
    </row>
    <row r="83" spans="1:11" x14ac:dyDescent="0.25">
      <c r="A83">
        <f t="shared" si="1"/>
        <v>200000</v>
      </c>
      <c r="B83" s="232">
        <v>200</v>
      </c>
      <c r="C83" t="s">
        <v>24294</v>
      </c>
      <c r="D83" s="242" t="s">
        <v>24289</v>
      </c>
      <c r="G83">
        <v>1050013635</v>
      </c>
      <c r="H83">
        <v>2125100076</v>
      </c>
      <c r="J83" s="310" t="s">
        <v>24291</v>
      </c>
      <c r="K83" t="s">
        <v>24291</v>
      </c>
    </row>
    <row r="84" spans="1:11" x14ac:dyDescent="0.25">
      <c r="A84">
        <f t="shared" si="1"/>
        <v>400000</v>
      </c>
      <c r="B84" s="236">
        <v>400</v>
      </c>
      <c r="C84" t="s">
        <v>24294</v>
      </c>
      <c r="D84" s="234" t="s">
        <v>24289</v>
      </c>
      <c r="G84">
        <v>1050013636</v>
      </c>
      <c r="H84">
        <v>2125100077</v>
      </c>
      <c r="J84" s="310" t="s">
        <v>24292</v>
      </c>
      <c r="K84" t="s">
        <v>24292</v>
      </c>
    </row>
    <row r="85" spans="1:11" x14ac:dyDescent="0.25">
      <c r="A85">
        <f t="shared" si="1"/>
        <v>300000</v>
      </c>
      <c r="B85" s="232">
        <v>300</v>
      </c>
      <c r="C85" t="s">
        <v>24294</v>
      </c>
      <c r="D85" s="242" t="s">
        <v>24289</v>
      </c>
      <c r="G85">
        <v>1050013637</v>
      </c>
      <c r="H85">
        <v>2125100078</v>
      </c>
      <c r="J85" s="310" t="s">
        <v>24293</v>
      </c>
      <c r="K85" t="s">
        <v>24293</v>
      </c>
    </row>
    <row r="86" spans="1:11" s="314" customFormat="1" x14ac:dyDescent="0.25">
      <c r="A86" s="314">
        <f t="shared" si="1"/>
        <v>100000</v>
      </c>
      <c r="B86" s="315">
        <v>100</v>
      </c>
      <c r="D86" s="316"/>
      <c r="G86" s="314">
        <v>1050013857</v>
      </c>
      <c r="H86" s="314">
        <v>2125100079</v>
      </c>
      <c r="I86" s="314">
        <v>1050013857</v>
      </c>
      <c r="J86" s="317" t="s">
        <v>877</v>
      </c>
      <c r="K86" s="314" t="s">
        <v>877</v>
      </c>
    </row>
    <row r="87" spans="1:11" x14ac:dyDescent="0.25">
      <c r="A87">
        <f t="shared" si="1"/>
        <v>100000</v>
      </c>
      <c r="B87" s="236">
        <v>100</v>
      </c>
      <c r="G87">
        <v>1050013858</v>
      </c>
      <c r="H87">
        <v>2125100080</v>
      </c>
      <c r="I87">
        <v>1050013858</v>
      </c>
      <c r="J87" s="310" t="s">
        <v>4429</v>
      </c>
      <c r="K87" t="s">
        <v>4429</v>
      </c>
    </row>
    <row r="88" spans="1:11" x14ac:dyDescent="0.25">
      <c r="B88" s="236"/>
      <c r="G88" s="265">
        <v>1050013638</v>
      </c>
      <c r="H88" s="265">
        <v>2125100081</v>
      </c>
      <c r="I88" s="295"/>
    </row>
    <row r="89" spans="1:11" x14ac:dyDescent="0.25">
      <c r="A89" s="232"/>
      <c r="B89" s="232"/>
      <c r="I89" s="295"/>
    </row>
    <row r="90" spans="1:11" x14ac:dyDescent="0.25">
      <c r="A90" s="249"/>
      <c r="I90" s="295"/>
    </row>
    <row r="92" spans="1:11" x14ac:dyDescent="0.25">
      <c r="A92">
        <f t="shared" ref="A92:A118" si="2">B92*1000</f>
        <v>6000000</v>
      </c>
      <c r="B92" s="227">
        <v>6000</v>
      </c>
      <c r="C92" t="s">
        <v>24294</v>
      </c>
      <c r="D92" s="297" t="s">
        <v>24245</v>
      </c>
      <c r="E92" s="227" t="s">
        <v>24305</v>
      </c>
      <c r="G92">
        <v>1050013859</v>
      </c>
      <c r="H92">
        <v>2125100083</v>
      </c>
      <c r="I92" s="296" t="s">
        <v>12154</v>
      </c>
      <c r="J92" t="s">
        <v>12153</v>
      </c>
      <c r="K92">
        <v>1050013859</v>
      </c>
    </row>
    <row r="93" spans="1:11" x14ac:dyDescent="0.25">
      <c r="A93">
        <f t="shared" si="2"/>
        <v>2500000</v>
      </c>
      <c r="B93" s="248">
        <v>2500</v>
      </c>
      <c r="C93" t="s">
        <v>24266</v>
      </c>
      <c r="D93" s="234" t="s">
        <v>24306</v>
      </c>
      <c r="E93" s="233" t="s">
        <v>24305</v>
      </c>
      <c r="G93">
        <v>1050013860</v>
      </c>
      <c r="H93">
        <v>2125100084</v>
      </c>
      <c r="I93" t="s">
        <v>9897</v>
      </c>
      <c r="J93" t="s">
        <v>9896</v>
      </c>
      <c r="K93">
        <v>1050013860</v>
      </c>
    </row>
    <row r="94" spans="1:11" x14ac:dyDescent="0.25">
      <c r="A94">
        <f t="shared" si="2"/>
        <v>2500000</v>
      </c>
      <c r="B94" s="249">
        <v>2500</v>
      </c>
      <c r="C94" t="s">
        <v>24266</v>
      </c>
      <c r="D94" s="242" t="s">
        <v>24306</v>
      </c>
      <c r="E94" s="241" t="s">
        <v>24305</v>
      </c>
      <c r="G94">
        <v>1050013861</v>
      </c>
      <c r="H94">
        <v>2125100085</v>
      </c>
      <c r="I94" t="s">
        <v>7024</v>
      </c>
      <c r="J94" t="s">
        <v>7023</v>
      </c>
      <c r="K94">
        <v>1050013861</v>
      </c>
    </row>
    <row r="95" spans="1:11" x14ac:dyDescent="0.25">
      <c r="A95">
        <f t="shared" si="2"/>
        <v>800000</v>
      </c>
      <c r="B95" s="236">
        <v>800</v>
      </c>
      <c r="C95" t="s">
        <v>24266</v>
      </c>
      <c r="D95" s="234" t="s">
        <v>24307</v>
      </c>
      <c r="E95" s="233" t="s">
        <v>24305</v>
      </c>
      <c r="G95">
        <v>1050013862</v>
      </c>
      <c r="H95">
        <v>2125100086</v>
      </c>
      <c r="I95" t="s">
        <v>5925</v>
      </c>
      <c r="J95" t="s">
        <v>5924</v>
      </c>
      <c r="K95">
        <v>1050013862</v>
      </c>
    </row>
    <row r="96" spans="1:11" x14ac:dyDescent="0.25">
      <c r="A96">
        <f t="shared" si="2"/>
        <v>1760000</v>
      </c>
      <c r="B96" s="249">
        <v>1760</v>
      </c>
      <c r="C96" t="s">
        <v>24266</v>
      </c>
      <c r="D96" s="242" t="s">
        <v>24307</v>
      </c>
      <c r="E96" s="241" t="s">
        <v>24305</v>
      </c>
      <c r="G96">
        <v>1050013863</v>
      </c>
      <c r="H96">
        <v>2125100087</v>
      </c>
      <c r="I96" t="s">
        <v>6902</v>
      </c>
      <c r="J96" t="s">
        <v>6901</v>
      </c>
      <c r="K96">
        <v>1050013863</v>
      </c>
    </row>
    <row r="97" spans="1:11" x14ac:dyDescent="0.25">
      <c r="B97" s="236"/>
      <c r="C97" t="s">
        <v>24266</v>
      </c>
      <c r="D97" s="234" t="s">
        <v>24307</v>
      </c>
      <c r="E97" s="233" t="s">
        <v>24305</v>
      </c>
      <c r="G97">
        <v>1050013866</v>
      </c>
      <c r="H97">
        <v>2125100091</v>
      </c>
      <c r="I97" t="s">
        <v>3924</v>
      </c>
      <c r="J97" t="s">
        <v>3923</v>
      </c>
    </row>
    <row r="98" spans="1:11" x14ac:dyDescent="0.25">
      <c r="A98">
        <f t="shared" si="2"/>
        <v>1670000</v>
      </c>
      <c r="B98" s="249">
        <v>1670</v>
      </c>
      <c r="C98" t="s">
        <v>24266</v>
      </c>
      <c r="D98" s="242" t="s">
        <v>24307</v>
      </c>
      <c r="E98" s="241" t="s">
        <v>24305</v>
      </c>
      <c r="G98">
        <v>1050013864</v>
      </c>
      <c r="H98">
        <v>2125100089</v>
      </c>
      <c r="I98" t="s">
        <v>7569</v>
      </c>
      <c r="J98" t="s">
        <v>7568</v>
      </c>
      <c r="K98">
        <v>1050013864</v>
      </c>
    </row>
    <row r="99" spans="1:11" x14ac:dyDescent="0.25">
      <c r="A99">
        <f t="shared" si="2"/>
        <v>1350000</v>
      </c>
      <c r="B99" s="248">
        <v>1350</v>
      </c>
      <c r="C99" t="s">
        <v>24266</v>
      </c>
      <c r="D99" s="234" t="s">
        <v>24308</v>
      </c>
      <c r="E99" s="233" t="s">
        <v>24305</v>
      </c>
      <c r="G99">
        <v>1050013865</v>
      </c>
      <c r="H99">
        <v>2125100090</v>
      </c>
      <c r="I99" t="s">
        <v>878</v>
      </c>
      <c r="J99" t="s">
        <v>877</v>
      </c>
      <c r="K99">
        <v>1050013865</v>
      </c>
    </row>
    <row r="100" spans="1:11" x14ac:dyDescent="0.25">
      <c r="A100">
        <f t="shared" si="2"/>
        <v>2380000</v>
      </c>
      <c r="B100" s="249">
        <v>2380</v>
      </c>
      <c r="C100" t="s">
        <v>24266</v>
      </c>
      <c r="D100" s="242" t="s">
        <v>24308</v>
      </c>
      <c r="E100" s="241" t="s">
        <v>24305</v>
      </c>
      <c r="G100">
        <v>1050013866</v>
      </c>
      <c r="H100">
        <v>2125100091</v>
      </c>
      <c r="I100" t="s">
        <v>3924</v>
      </c>
      <c r="J100" t="s">
        <v>3923</v>
      </c>
      <c r="K100">
        <v>1050013866</v>
      </c>
    </row>
    <row r="101" spans="1:11" x14ac:dyDescent="0.25">
      <c r="A101">
        <f t="shared" si="2"/>
        <v>700000</v>
      </c>
      <c r="B101" s="232">
        <v>700</v>
      </c>
      <c r="C101" t="s">
        <v>24266</v>
      </c>
      <c r="D101" s="242" t="s">
        <v>24308</v>
      </c>
      <c r="E101" s="241" t="s">
        <v>24305</v>
      </c>
      <c r="G101">
        <v>1050013867</v>
      </c>
      <c r="H101">
        <v>2125100092</v>
      </c>
      <c r="I101" t="s">
        <v>6949</v>
      </c>
      <c r="J101" t="s">
        <v>6948</v>
      </c>
      <c r="K101">
        <v>1050013867</v>
      </c>
    </row>
    <row r="102" spans="1:11" x14ac:dyDescent="0.25">
      <c r="A102">
        <f t="shared" si="2"/>
        <v>8700000</v>
      </c>
      <c r="B102" s="248">
        <v>8700</v>
      </c>
      <c r="C102" t="s">
        <v>24300</v>
      </c>
      <c r="D102" s="234" t="s">
        <v>24309</v>
      </c>
      <c r="E102" s="233" t="s">
        <v>24305</v>
      </c>
      <c r="G102" s="314">
        <v>1050013857</v>
      </c>
      <c r="H102" s="314">
        <v>2125100079</v>
      </c>
      <c r="I102" t="s">
        <v>878</v>
      </c>
      <c r="J102" t="s">
        <v>877</v>
      </c>
    </row>
    <row r="103" spans="1:11" x14ac:dyDescent="0.25">
      <c r="A103">
        <f t="shared" si="2"/>
        <v>1000000</v>
      </c>
      <c r="B103" s="249">
        <v>1000</v>
      </c>
      <c r="C103" t="s">
        <v>24324</v>
      </c>
      <c r="D103" s="242" t="s">
        <v>24310</v>
      </c>
      <c r="E103" s="241" t="s">
        <v>24305</v>
      </c>
      <c r="G103">
        <v>1050013868</v>
      </c>
      <c r="H103">
        <v>2125100094</v>
      </c>
      <c r="I103" t="s">
        <v>24344</v>
      </c>
      <c r="J103" t="s">
        <v>24311</v>
      </c>
      <c r="K103">
        <v>1050013868</v>
      </c>
    </row>
    <row r="104" spans="1:11" x14ac:dyDescent="0.25">
      <c r="A104">
        <f t="shared" si="2"/>
        <v>1500000</v>
      </c>
      <c r="B104" s="248">
        <v>1500</v>
      </c>
      <c r="C104" t="s">
        <v>24324</v>
      </c>
      <c r="D104" s="234" t="s">
        <v>24310</v>
      </c>
      <c r="E104" s="233" t="s">
        <v>24305</v>
      </c>
      <c r="G104">
        <v>1050013869</v>
      </c>
      <c r="H104">
        <v>2125100095</v>
      </c>
      <c r="I104" t="s">
        <v>7024</v>
      </c>
      <c r="J104" t="s">
        <v>7023</v>
      </c>
      <c r="K104">
        <v>1050013869</v>
      </c>
    </row>
    <row r="105" spans="1:11" x14ac:dyDescent="0.25">
      <c r="A105">
        <f t="shared" si="2"/>
        <v>2000000</v>
      </c>
      <c r="B105" s="249">
        <v>2000</v>
      </c>
      <c r="C105" t="s">
        <v>24324</v>
      </c>
      <c r="D105" s="242" t="s">
        <v>24310</v>
      </c>
      <c r="E105" s="241" t="s">
        <v>24305</v>
      </c>
      <c r="G105">
        <v>1050013870</v>
      </c>
      <c r="H105">
        <v>2125100096</v>
      </c>
      <c r="I105" t="s">
        <v>3924</v>
      </c>
      <c r="J105" t="s">
        <v>3923</v>
      </c>
      <c r="K105">
        <v>1050013870</v>
      </c>
    </row>
    <row r="106" spans="1:11" x14ac:dyDescent="0.25">
      <c r="A106">
        <f t="shared" si="2"/>
        <v>2600000</v>
      </c>
      <c r="B106" s="248">
        <v>2600</v>
      </c>
      <c r="C106" t="s">
        <v>24324</v>
      </c>
      <c r="D106" s="234" t="s">
        <v>24310</v>
      </c>
      <c r="E106" s="233" t="s">
        <v>24305</v>
      </c>
      <c r="G106">
        <v>1050013871</v>
      </c>
      <c r="H106">
        <v>2125100097</v>
      </c>
      <c r="I106" t="s">
        <v>12270</v>
      </c>
      <c r="J106" t="s">
        <v>12269</v>
      </c>
      <c r="K106">
        <v>1050013871</v>
      </c>
    </row>
    <row r="107" spans="1:11" x14ac:dyDescent="0.25">
      <c r="A107">
        <f t="shared" si="2"/>
        <v>800000</v>
      </c>
      <c r="B107" s="232">
        <v>800</v>
      </c>
      <c r="C107" t="s">
        <v>24324</v>
      </c>
      <c r="D107" s="242" t="s">
        <v>24310</v>
      </c>
      <c r="E107" s="241" t="s">
        <v>24305</v>
      </c>
      <c r="G107">
        <v>1050013872</v>
      </c>
      <c r="H107">
        <v>2125100098</v>
      </c>
      <c r="I107" t="s">
        <v>12154</v>
      </c>
      <c r="J107" t="s">
        <v>12153</v>
      </c>
      <c r="K107">
        <v>1050013872</v>
      </c>
    </row>
    <row r="108" spans="1:11" x14ac:dyDescent="0.25">
      <c r="A108">
        <f t="shared" si="2"/>
        <v>1500000</v>
      </c>
      <c r="B108" s="248">
        <v>1500</v>
      </c>
      <c r="C108" t="s">
        <v>24295</v>
      </c>
      <c r="D108" s="234" t="s">
        <v>24313</v>
      </c>
      <c r="E108" s="233" t="s">
        <v>24305</v>
      </c>
      <c r="G108">
        <v>1050013873</v>
      </c>
      <c r="H108">
        <v>2125100099</v>
      </c>
      <c r="I108" t="s">
        <v>5060</v>
      </c>
      <c r="J108" t="s">
        <v>5059</v>
      </c>
      <c r="K108">
        <v>1050013873</v>
      </c>
    </row>
    <row r="109" spans="1:11" x14ac:dyDescent="0.25">
      <c r="A109">
        <f t="shared" si="2"/>
        <v>1000000</v>
      </c>
      <c r="B109" s="249">
        <v>1000</v>
      </c>
      <c r="C109" t="s">
        <v>24295</v>
      </c>
      <c r="D109" s="242" t="s">
        <v>24313</v>
      </c>
      <c r="E109" s="241" t="s">
        <v>24305</v>
      </c>
      <c r="G109" s="265">
        <v>1050013874</v>
      </c>
      <c r="H109">
        <v>2125100100</v>
      </c>
      <c r="I109" t="s">
        <v>6902</v>
      </c>
      <c r="J109" t="s">
        <v>6901</v>
      </c>
      <c r="K109">
        <v>1050013874</v>
      </c>
    </row>
    <row r="110" spans="1:11" x14ac:dyDescent="0.25">
      <c r="A110">
        <f t="shared" si="2"/>
        <v>500000</v>
      </c>
      <c r="B110" s="236">
        <v>500</v>
      </c>
      <c r="C110" t="s">
        <v>24295</v>
      </c>
      <c r="D110" s="234" t="s">
        <v>24313</v>
      </c>
      <c r="E110" s="233" t="s">
        <v>24305</v>
      </c>
      <c r="G110" s="265">
        <v>1050013875</v>
      </c>
      <c r="H110">
        <v>2125100101</v>
      </c>
      <c r="I110" t="s">
        <v>5019</v>
      </c>
      <c r="J110" t="s">
        <v>5018</v>
      </c>
      <c r="K110">
        <v>1050013875</v>
      </c>
    </row>
    <row r="111" spans="1:11" x14ac:dyDescent="0.25">
      <c r="A111">
        <f t="shared" si="2"/>
        <v>500000</v>
      </c>
      <c r="B111" s="232">
        <v>500</v>
      </c>
      <c r="C111" t="s">
        <v>24295</v>
      </c>
      <c r="D111" s="242" t="s">
        <v>24313</v>
      </c>
      <c r="E111" s="241" t="s">
        <v>24305</v>
      </c>
      <c r="G111">
        <v>1050013876</v>
      </c>
      <c r="H111">
        <v>2125100102</v>
      </c>
      <c r="I111" t="s">
        <v>7569</v>
      </c>
      <c r="J111" t="s">
        <v>7568</v>
      </c>
      <c r="K111">
        <v>1050013876</v>
      </c>
    </row>
    <row r="112" spans="1:11" x14ac:dyDescent="0.25">
      <c r="A112">
        <f t="shared" si="2"/>
        <v>4500000</v>
      </c>
      <c r="B112" s="233">
        <v>4500</v>
      </c>
      <c r="C112" t="s">
        <v>24325</v>
      </c>
      <c r="D112" s="301" t="s">
        <v>24316</v>
      </c>
      <c r="E112" s="233" t="s">
        <v>24305</v>
      </c>
      <c r="G112">
        <v>1050013877</v>
      </c>
      <c r="H112">
        <v>2125100103</v>
      </c>
      <c r="I112" t="s">
        <v>5912</v>
      </c>
      <c r="J112" t="s">
        <v>5911</v>
      </c>
      <c r="K112">
        <v>1050013877</v>
      </c>
    </row>
    <row r="113" spans="1:11" x14ac:dyDescent="0.25">
      <c r="A113">
        <f t="shared" si="2"/>
        <v>500000</v>
      </c>
      <c r="B113" s="232">
        <v>500</v>
      </c>
      <c r="C113" t="s">
        <v>24296</v>
      </c>
      <c r="D113" s="242" t="s">
        <v>24318</v>
      </c>
      <c r="E113" s="241" t="s">
        <v>24317</v>
      </c>
      <c r="F113" t="s">
        <v>24397</v>
      </c>
      <c r="G113">
        <v>1050013878</v>
      </c>
      <c r="H113">
        <v>2125100104</v>
      </c>
      <c r="I113" t="s">
        <v>6940</v>
      </c>
      <c r="J113" t="s">
        <v>6939</v>
      </c>
      <c r="K113">
        <v>1050013878</v>
      </c>
    </row>
    <row r="114" spans="1:11" x14ac:dyDescent="0.25">
      <c r="A114">
        <f t="shared" si="2"/>
        <v>1000000</v>
      </c>
      <c r="B114" s="248">
        <v>1000</v>
      </c>
      <c r="C114" t="s">
        <v>24296</v>
      </c>
      <c r="D114" s="234" t="s">
        <v>24323</v>
      </c>
      <c r="E114" s="233" t="s">
        <v>24322</v>
      </c>
      <c r="F114" t="s">
        <v>24396</v>
      </c>
      <c r="G114">
        <v>1050013879</v>
      </c>
      <c r="H114">
        <v>2125100105</v>
      </c>
      <c r="I114" t="s">
        <v>5944</v>
      </c>
      <c r="J114" t="s">
        <v>5943</v>
      </c>
      <c r="K114">
        <v>1050013879</v>
      </c>
    </row>
    <row r="115" spans="1:11" x14ac:dyDescent="0.25">
      <c r="A115">
        <f t="shared" si="2"/>
        <v>100000</v>
      </c>
      <c r="B115" s="232">
        <v>100</v>
      </c>
      <c r="C115" t="s">
        <v>24296</v>
      </c>
      <c r="D115" s="282" t="s">
        <v>24200</v>
      </c>
      <c r="G115">
        <v>1050013880</v>
      </c>
      <c r="H115">
        <v>2125100106</v>
      </c>
      <c r="I115" t="s">
        <v>16930</v>
      </c>
      <c r="J115" t="s">
        <v>16929</v>
      </c>
      <c r="K115">
        <v>1050013880</v>
      </c>
    </row>
    <row r="116" spans="1:11" x14ac:dyDescent="0.25">
      <c r="A116">
        <f t="shared" si="2"/>
        <v>1800000</v>
      </c>
      <c r="B116" s="232">
        <v>1800</v>
      </c>
      <c r="D116" s="234" t="s">
        <v>24346</v>
      </c>
      <c r="G116">
        <v>1050013639</v>
      </c>
      <c r="H116">
        <v>2125100107</v>
      </c>
      <c r="I116" t="s">
        <v>9910</v>
      </c>
      <c r="J116" t="s">
        <v>9909</v>
      </c>
    </row>
    <row r="117" spans="1:11" x14ac:dyDescent="0.25">
      <c r="A117">
        <f t="shared" si="2"/>
        <v>500000</v>
      </c>
      <c r="B117" s="232">
        <v>500</v>
      </c>
      <c r="D117" s="242" t="s">
        <v>24351</v>
      </c>
      <c r="G117">
        <v>1050013900</v>
      </c>
      <c r="H117">
        <v>2125100108</v>
      </c>
      <c r="I117" t="s">
        <v>7059</v>
      </c>
      <c r="J117" t="s">
        <v>7058</v>
      </c>
    </row>
    <row r="118" spans="1:11" x14ac:dyDescent="0.25">
      <c r="A118">
        <f t="shared" si="2"/>
        <v>3500000</v>
      </c>
      <c r="B118" s="232">
        <v>3500</v>
      </c>
      <c r="D118" s="234" t="s">
        <v>24350</v>
      </c>
      <c r="G118">
        <v>1050013901</v>
      </c>
      <c r="H118">
        <v>2125100109</v>
      </c>
      <c r="I118" t="s">
        <v>7392</v>
      </c>
      <c r="J118" t="s">
        <v>7391</v>
      </c>
    </row>
    <row r="119" spans="1:11" x14ac:dyDescent="0.25">
      <c r="C119" t="s">
        <v>24354</v>
      </c>
      <c r="G119">
        <v>1050013902</v>
      </c>
      <c r="H119">
        <v>2125100110</v>
      </c>
    </row>
    <row r="123" spans="1:11" x14ac:dyDescent="0.25">
      <c r="A123">
        <f>(B123+7000)*1000</f>
        <v>22000000</v>
      </c>
      <c r="B123" s="227">
        <v>15000</v>
      </c>
      <c r="C123" t="s">
        <v>24368</v>
      </c>
      <c r="D123" s="297" t="s">
        <v>24309</v>
      </c>
      <c r="F123" t="s">
        <v>24372</v>
      </c>
      <c r="G123">
        <v>1050013903</v>
      </c>
      <c r="H123">
        <v>2125100111</v>
      </c>
      <c r="J123" t="s">
        <v>877</v>
      </c>
    </row>
    <row r="124" spans="1:11" x14ac:dyDescent="0.25">
      <c r="A124">
        <f t="shared" ref="A124:A147" si="3">B124*1000</f>
        <v>600000</v>
      </c>
      <c r="B124" s="236">
        <v>600</v>
      </c>
      <c r="C124" t="s">
        <v>24369</v>
      </c>
      <c r="D124" s="234" t="s">
        <v>24355</v>
      </c>
      <c r="F124" t="s">
        <v>24373</v>
      </c>
      <c r="G124">
        <v>1050013904</v>
      </c>
      <c r="H124">
        <v>2125100112</v>
      </c>
      <c r="J124" t="s">
        <v>7560</v>
      </c>
    </row>
    <row r="125" spans="1:11" x14ac:dyDescent="0.25">
      <c r="A125">
        <f t="shared" si="3"/>
        <v>1050000</v>
      </c>
      <c r="B125" s="249">
        <v>1050</v>
      </c>
      <c r="C125" t="s">
        <v>24296</v>
      </c>
      <c r="D125" s="242" t="s">
        <v>24323</v>
      </c>
      <c r="F125" t="s">
        <v>24374</v>
      </c>
      <c r="G125">
        <v>1050013905</v>
      </c>
      <c r="H125">
        <v>2125100113</v>
      </c>
      <c r="J125" t="s">
        <v>6120</v>
      </c>
    </row>
    <row r="126" spans="1:11" x14ac:dyDescent="0.25">
      <c r="A126">
        <f t="shared" si="3"/>
        <v>1110000</v>
      </c>
      <c r="B126" s="248">
        <v>1110</v>
      </c>
      <c r="C126" t="s">
        <v>24296</v>
      </c>
      <c r="D126" s="234" t="s">
        <v>24323</v>
      </c>
      <c r="F126" t="s">
        <v>24375</v>
      </c>
      <c r="G126">
        <v>1050013906</v>
      </c>
      <c r="H126">
        <v>2125100114</v>
      </c>
      <c r="J126" t="s">
        <v>6125</v>
      </c>
    </row>
    <row r="127" spans="1:11" x14ac:dyDescent="0.25">
      <c r="A127">
        <f t="shared" si="3"/>
        <v>560000</v>
      </c>
      <c r="B127" s="232">
        <v>560</v>
      </c>
      <c r="C127" t="s">
        <v>24296</v>
      </c>
      <c r="D127" s="242" t="s">
        <v>24323</v>
      </c>
      <c r="F127" t="s">
        <v>24376</v>
      </c>
      <c r="G127">
        <v>1050013907</v>
      </c>
      <c r="H127">
        <v>2125100115</v>
      </c>
      <c r="J127" t="s">
        <v>5794</v>
      </c>
    </row>
    <row r="128" spans="1:11" x14ac:dyDescent="0.25">
      <c r="A128">
        <f t="shared" si="3"/>
        <v>140000</v>
      </c>
      <c r="B128" s="236">
        <v>140</v>
      </c>
      <c r="C128" t="s">
        <v>24296</v>
      </c>
      <c r="D128" s="234" t="s">
        <v>24323</v>
      </c>
      <c r="F128" t="s">
        <v>24377</v>
      </c>
      <c r="G128">
        <v>1050013908</v>
      </c>
      <c r="H128">
        <v>2125100116</v>
      </c>
      <c r="J128" t="s">
        <v>14206</v>
      </c>
    </row>
    <row r="129" spans="1:10" x14ac:dyDescent="0.25">
      <c r="A129">
        <f t="shared" si="3"/>
        <v>310000</v>
      </c>
      <c r="B129" s="232">
        <v>310</v>
      </c>
      <c r="C129" t="s">
        <v>24296</v>
      </c>
      <c r="D129" s="242" t="s">
        <v>24323</v>
      </c>
      <c r="F129" t="s">
        <v>24378</v>
      </c>
      <c r="G129">
        <v>1050013909</v>
      </c>
      <c r="H129">
        <v>2125100117</v>
      </c>
      <c r="J129" t="s">
        <v>14214</v>
      </c>
    </row>
    <row r="130" spans="1:10" x14ac:dyDescent="0.25">
      <c r="A130">
        <f t="shared" si="3"/>
        <v>75000</v>
      </c>
      <c r="B130" s="236">
        <v>75</v>
      </c>
      <c r="C130" t="s">
        <v>24296</v>
      </c>
      <c r="D130" s="234" t="s">
        <v>24323</v>
      </c>
      <c r="F130" t="s">
        <v>24379</v>
      </c>
      <c r="G130">
        <v>1050013910</v>
      </c>
      <c r="H130">
        <v>2125100118</v>
      </c>
      <c r="J130" t="s">
        <v>7006</v>
      </c>
    </row>
    <row r="131" spans="1:10" x14ac:dyDescent="0.25">
      <c r="A131">
        <f t="shared" si="3"/>
        <v>700000</v>
      </c>
      <c r="B131" s="232">
        <v>700</v>
      </c>
      <c r="C131" t="s">
        <v>24261</v>
      </c>
      <c r="D131" s="242" t="s">
        <v>24363</v>
      </c>
      <c r="F131" t="s">
        <v>24380</v>
      </c>
      <c r="G131">
        <v>1050013911</v>
      </c>
      <c r="H131">
        <v>2125100119</v>
      </c>
      <c r="J131" t="s">
        <v>7023</v>
      </c>
    </row>
    <row r="132" spans="1:10" x14ac:dyDescent="0.25">
      <c r="A132">
        <f t="shared" si="3"/>
        <v>800000</v>
      </c>
      <c r="B132" s="236">
        <v>800</v>
      </c>
      <c r="C132" t="s">
        <v>24261</v>
      </c>
      <c r="D132" s="234" t="s">
        <v>24363</v>
      </c>
      <c r="F132" t="s">
        <v>24381</v>
      </c>
      <c r="G132">
        <v>1050013912</v>
      </c>
      <c r="H132">
        <v>2125100120</v>
      </c>
      <c r="J132" t="s">
        <v>6714</v>
      </c>
    </row>
    <row r="133" spans="1:10" x14ac:dyDescent="0.25">
      <c r="A133">
        <f t="shared" si="3"/>
        <v>500000</v>
      </c>
      <c r="B133" s="232">
        <v>500</v>
      </c>
      <c r="C133" t="s">
        <v>24261</v>
      </c>
      <c r="D133" s="242" t="s">
        <v>24363</v>
      </c>
      <c r="F133" t="s">
        <v>24382</v>
      </c>
      <c r="G133">
        <v>1050013913</v>
      </c>
      <c r="H133">
        <v>2125100121</v>
      </c>
      <c r="J133" t="s">
        <v>3923</v>
      </c>
    </row>
    <row r="134" spans="1:10" x14ac:dyDescent="0.25">
      <c r="A134">
        <f t="shared" si="3"/>
        <v>300000</v>
      </c>
      <c r="B134" s="236">
        <v>300</v>
      </c>
      <c r="C134" t="s">
        <v>24261</v>
      </c>
      <c r="D134" s="234" t="s">
        <v>24363</v>
      </c>
      <c r="F134" t="s">
        <v>24383</v>
      </c>
      <c r="G134">
        <v>1050013914</v>
      </c>
      <c r="H134">
        <v>2125100122</v>
      </c>
      <c r="J134" t="s">
        <v>9639</v>
      </c>
    </row>
    <row r="135" spans="1:10" x14ac:dyDescent="0.25">
      <c r="A135">
        <f t="shared" si="3"/>
        <v>700000</v>
      </c>
      <c r="B135" s="232">
        <v>700</v>
      </c>
      <c r="C135" t="s">
        <v>24261</v>
      </c>
      <c r="D135" s="242" t="s">
        <v>24363</v>
      </c>
      <c r="F135" t="s">
        <v>24384</v>
      </c>
      <c r="G135">
        <v>1050013915</v>
      </c>
      <c r="H135">
        <v>2125100123</v>
      </c>
      <c r="J135" t="s">
        <v>12269</v>
      </c>
    </row>
    <row r="136" spans="1:10" x14ac:dyDescent="0.25">
      <c r="A136">
        <f t="shared" si="3"/>
        <v>600000</v>
      </c>
      <c r="B136" s="236">
        <v>600</v>
      </c>
      <c r="C136" t="s">
        <v>24261</v>
      </c>
      <c r="D136" s="234" t="s">
        <v>24363</v>
      </c>
      <c r="F136" t="s">
        <v>24385</v>
      </c>
      <c r="G136">
        <v>1050013916</v>
      </c>
      <c r="H136">
        <v>2125100124</v>
      </c>
      <c r="J136" t="s">
        <v>4993</v>
      </c>
    </row>
    <row r="137" spans="1:10" x14ac:dyDescent="0.25">
      <c r="A137">
        <f t="shared" si="3"/>
        <v>300000</v>
      </c>
      <c r="B137" s="232">
        <v>300</v>
      </c>
      <c r="C137" t="s">
        <v>24261</v>
      </c>
      <c r="D137" s="242" t="s">
        <v>24363</v>
      </c>
      <c r="F137" t="s">
        <v>24386</v>
      </c>
      <c r="G137">
        <v>1050013917</v>
      </c>
      <c r="H137">
        <v>2125100125</v>
      </c>
      <c r="J137" t="s">
        <v>12207</v>
      </c>
    </row>
    <row r="138" spans="1:10" x14ac:dyDescent="0.25">
      <c r="A138">
        <f t="shared" si="3"/>
        <v>300000</v>
      </c>
      <c r="B138" s="236">
        <v>300</v>
      </c>
      <c r="C138" t="s">
        <v>24261</v>
      </c>
      <c r="D138" s="234" t="s">
        <v>24363</v>
      </c>
      <c r="F138" t="s">
        <v>24387</v>
      </c>
      <c r="G138">
        <v>1050013918</v>
      </c>
      <c r="H138">
        <v>2125100126</v>
      </c>
      <c r="J138" t="s">
        <v>12153</v>
      </c>
    </row>
    <row r="139" spans="1:10" x14ac:dyDescent="0.25">
      <c r="A139">
        <f t="shared" si="3"/>
        <v>220000</v>
      </c>
      <c r="B139" s="232">
        <v>220</v>
      </c>
      <c r="C139" t="s">
        <v>24261</v>
      </c>
      <c r="D139" s="242" t="s">
        <v>24363</v>
      </c>
      <c r="F139" t="s">
        <v>24388</v>
      </c>
      <c r="G139">
        <v>1050013919</v>
      </c>
      <c r="H139">
        <v>2125100127</v>
      </c>
      <c r="J139" t="s">
        <v>5028</v>
      </c>
    </row>
    <row r="140" spans="1:10" x14ac:dyDescent="0.25">
      <c r="A140">
        <f t="shared" si="3"/>
        <v>200000</v>
      </c>
      <c r="B140" s="236">
        <v>200</v>
      </c>
      <c r="C140" t="s">
        <v>24261</v>
      </c>
      <c r="D140" s="234" t="s">
        <v>24363</v>
      </c>
      <c r="F140" t="s">
        <v>24389</v>
      </c>
      <c r="G140">
        <v>1050013920</v>
      </c>
      <c r="H140">
        <v>2125100128</v>
      </c>
      <c r="J140" t="s">
        <v>5809</v>
      </c>
    </row>
    <row r="141" spans="1:10" x14ac:dyDescent="0.25">
      <c r="A141">
        <f t="shared" si="3"/>
        <v>160000</v>
      </c>
      <c r="B141" s="232">
        <v>160</v>
      </c>
      <c r="C141" t="s">
        <v>24261</v>
      </c>
      <c r="D141" s="242" t="s">
        <v>24363</v>
      </c>
      <c r="F141" t="s">
        <v>24390</v>
      </c>
      <c r="G141">
        <v>1050013921</v>
      </c>
      <c r="H141">
        <v>2125100129</v>
      </c>
      <c r="J141" t="s">
        <v>24210</v>
      </c>
    </row>
    <row r="142" spans="1:10" s="264" customFormat="1" x14ac:dyDescent="0.25">
      <c r="A142"/>
      <c r="B142" s="338">
        <v>7000</v>
      </c>
      <c r="C142" s="264" t="s">
        <v>24368</v>
      </c>
      <c r="D142" s="339" t="s">
        <v>24364</v>
      </c>
      <c r="F142" s="264" t="s">
        <v>24372</v>
      </c>
      <c r="G142">
        <v>1050013903</v>
      </c>
      <c r="H142">
        <v>2125100111</v>
      </c>
      <c r="J142" s="264" t="s">
        <v>877</v>
      </c>
    </row>
    <row r="143" spans="1:10" x14ac:dyDescent="0.25">
      <c r="A143">
        <f t="shared" si="3"/>
        <v>3000000</v>
      </c>
      <c r="B143" s="249">
        <v>3000</v>
      </c>
      <c r="C143" t="s">
        <v>24368</v>
      </c>
      <c r="D143" s="242" t="s">
        <v>24364</v>
      </c>
      <c r="F143" t="s">
        <v>24391</v>
      </c>
      <c r="G143">
        <v>1050013922</v>
      </c>
      <c r="H143">
        <v>2125100130</v>
      </c>
      <c r="J143" t="s">
        <v>9909</v>
      </c>
    </row>
    <row r="144" spans="1:10" x14ac:dyDescent="0.25">
      <c r="A144">
        <f t="shared" si="3"/>
        <v>5700000</v>
      </c>
      <c r="B144" s="248">
        <v>5700</v>
      </c>
      <c r="C144" t="s">
        <v>24294</v>
      </c>
      <c r="D144" s="234" t="s">
        <v>24365</v>
      </c>
      <c r="F144" t="s">
        <v>24392</v>
      </c>
      <c r="G144">
        <v>1050013923</v>
      </c>
      <c r="H144">
        <v>2125100131</v>
      </c>
      <c r="J144" t="s">
        <v>5915</v>
      </c>
    </row>
    <row r="145" spans="1:10" x14ac:dyDescent="0.25">
      <c r="A145">
        <f t="shared" si="3"/>
        <v>2000000</v>
      </c>
      <c r="B145" s="249">
        <v>2000</v>
      </c>
      <c r="C145" t="s">
        <v>24296</v>
      </c>
      <c r="D145" s="242" t="s">
        <v>24318</v>
      </c>
      <c r="F145" t="s">
        <v>24393</v>
      </c>
      <c r="G145">
        <v>1050013924</v>
      </c>
      <c r="H145">
        <v>2125100132</v>
      </c>
      <c r="J145" t="s">
        <v>7391</v>
      </c>
    </row>
    <row r="146" spans="1:10" x14ac:dyDescent="0.25">
      <c r="A146">
        <f t="shared" si="3"/>
        <v>840000</v>
      </c>
      <c r="B146" s="236">
        <v>840</v>
      </c>
      <c r="C146" t="s">
        <v>24296</v>
      </c>
      <c r="D146" s="234" t="s">
        <v>24318</v>
      </c>
      <c r="F146" t="s">
        <v>24394</v>
      </c>
      <c r="G146">
        <v>1050013925</v>
      </c>
      <c r="H146">
        <v>2125100133</v>
      </c>
      <c r="J146" t="s">
        <v>7058</v>
      </c>
    </row>
    <row r="147" spans="1:10" x14ac:dyDescent="0.25">
      <c r="A147">
        <f t="shared" si="3"/>
        <v>1000000</v>
      </c>
      <c r="B147" s="249">
        <v>1000</v>
      </c>
      <c r="C147" t="s">
        <v>24296</v>
      </c>
      <c r="D147" s="242" t="s">
        <v>24318</v>
      </c>
      <c r="F147" t="s">
        <v>24395</v>
      </c>
      <c r="G147">
        <v>1050013926</v>
      </c>
      <c r="H147">
        <v>2125100134</v>
      </c>
      <c r="J147" t="s">
        <v>9892</v>
      </c>
    </row>
    <row r="148" spans="1:10" x14ac:dyDescent="0.25">
      <c r="H148">
        <v>2125100135</v>
      </c>
    </row>
  </sheetData>
  <conditionalFormatting sqref="F1:F112 F115:F1048576">
    <cfRule type="duplicateValues" dxfId="29" priority="3"/>
    <cfRule type="duplicateValues" dxfId="28" priority="4"/>
    <cfRule type="duplicateValues" dxfId="27" priority="16"/>
    <cfRule type="duplicateValues" dxfId="26" priority="19"/>
  </conditionalFormatting>
  <conditionalFormatting sqref="H1:H1048576">
    <cfRule type="duplicateValues" dxfId="25" priority="9"/>
  </conditionalFormatting>
  <conditionalFormatting sqref="H3:H39">
    <cfRule type="duplicateValues" dxfId="24" priority="14"/>
  </conditionalFormatting>
  <conditionalFormatting sqref="H40:H45">
    <cfRule type="duplicateValues" dxfId="23" priority="13"/>
  </conditionalFormatting>
  <conditionalFormatting sqref="H48:H51">
    <cfRule type="duplicateValues" dxfId="22" priority="11"/>
  </conditionalFormatting>
  <conditionalFormatting sqref="H52">
    <cfRule type="duplicateValues" dxfId="21" priority="12"/>
  </conditionalFormatting>
  <conditionalFormatting sqref="H53:H63">
    <cfRule type="duplicateValues" dxfId="20" priority="8"/>
  </conditionalFormatting>
  <conditionalFormatting sqref="H64">
    <cfRule type="duplicateValues" dxfId="19" priority="7"/>
  </conditionalFormatting>
  <conditionalFormatting sqref="H65:H77">
    <cfRule type="duplicateValues" dxfId="18" priority="6"/>
  </conditionalFormatting>
  <conditionalFormatting sqref="H78">
    <cfRule type="duplicateValues" dxfId="17" priority="10"/>
  </conditionalFormatting>
  <conditionalFormatting sqref="H79:H88">
    <cfRule type="duplicateValues" dxfId="16" priority="5"/>
  </conditionalFormatting>
  <conditionalFormatting sqref="H102">
    <cfRule type="duplicateValues" dxfId="15" priority="1"/>
    <cfRule type="duplicateValues" dxfId="14" priority="2"/>
  </conditionalFormatting>
  <conditionalFormatting sqref="J39 J42:J53">
    <cfRule type="duplicateValues" dxfId="13" priority="30"/>
  </conditionalFormatting>
  <conditionalFormatting sqref="J73">
    <cfRule type="duplicateValues" dxfId="12" priority="25"/>
  </conditionalFormatting>
  <conditionalFormatting sqref="J92 H1:H2 H46:H47 H53:H77 H79:H1048576">
    <cfRule type="duplicateValues" dxfId="11" priority="18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60D5-AB2A-48C7-BDF4-56C314E60E17}">
  <dimension ref="A3:S83"/>
  <sheetViews>
    <sheetView topLeftCell="C45" zoomScale="70" zoomScaleNormal="70" workbookViewId="0">
      <selection activeCell="I59" sqref="I59:I83"/>
    </sheetView>
  </sheetViews>
  <sheetFormatPr defaultRowHeight="15" x14ac:dyDescent="0.25"/>
  <cols>
    <col min="2" max="2" width="22.42578125" customWidth="1"/>
    <col min="3" max="3" width="20.140625" customWidth="1"/>
    <col min="4" max="4" width="35.42578125" bestFit="1" customWidth="1"/>
    <col min="5" max="5" width="20.42578125" bestFit="1" customWidth="1"/>
    <col min="6" max="7" width="4.28515625" bestFit="1" customWidth="1"/>
    <col min="8" max="8" width="44.42578125" bestFit="1" customWidth="1"/>
    <col min="9" max="9" width="39.5703125" bestFit="1" customWidth="1"/>
    <col min="10" max="10" width="10.140625" bestFit="1" customWidth="1"/>
    <col min="11" max="11" width="5.42578125" bestFit="1" customWidth="1"/>
    <col min="12" max="12" width="6" bestFit="1" customWidth="1"/>
    <col min="13" max="16" width="6.42578125" bestFit="1" customWidth="1"/>
    <col min="17" max="17" width="23.7109375" bestFit="1" customWidth="1"/>
    <col min="18" max="18" width="23.7109375" customWidth="1"/>
    <col min="19" max="19" width="71.140625" customWidth="1"/>
  </cols>
  <sheetData>
    <row r="3" spans="1:19" x14ac:dyDescent="0.25">
      <c r="B3">
        <v>1</v>
      </c>
      <c r="C3">
        <v>2</v>
      </c>
      <c r="D3">
        <v>3</v>
      </c>
      <c r="E3">
        <v>4</v>
      </c>
      <c r="F3">
        <v>6</v>
      </c>
      <c r="G3">
        <v>7</v>
      </c>
      <c r="H3">
        <v>8</v>
      </c>
      <c r="I3">
        <v>9</v>
      </c>
      <c r="J3">
        <v>10</v>
      </c>
      <c r="K3">
        <v>11</v>
      </c>
      <c r="L3">
        <v>12</v>
      </c>
      <c r="M3">
        <v>13</v>
      </c>
      <c r="N3">
        <v>14</v>
      </c>
      <c r="O3">
        <v>15</v>
      </c>
      <c r="P3">
        <v>16</v>
      </c>
      <c r="Q3">
        <v>18</v>
      </c>
    </row>
    <row r="4" spans="1:19" s="265" customFormat="1" x14ac:dyDescent="0.25">
      <c r="A4" s="265" t="s">
        <v>24345</v>
      </c>
      <c r="B4" s="265" t="s">
        <v>24294</v>
      </c>
      <c r="C4" s="320" t="s">
        <v>24305</v>
      </c>
      <c r="D4" s="321" t="s">
        <v>24245</v>
      </c>
      <c r="E4" s="320" t="s">
        <v>24246</v>
      </c>
      <c r="F4" s="320" t="s">
        <v>24205</v>
      </c>
      <c r="G4" s="320" t="s">
        <v>24205</v>
      </c>
      <c r="H4" s="320" t="s">
        <v>24247</v>
      </c>
      <c r="I4" s="322" t="s">
        <v>12153</v>
      </c>
      <c r="J4" s="323" t="s">
        <v>24110</v>
      </c>
      <c r="K4" s="320" t="s">
        <v>24212</v>
      </c>
      <c r="L4" s="320">
        <v>1230</v>
      </c>
      <c r="M4" s="320" t="s">
        <v>24207</v>
      </c>
      <c r="N4" s="320"/>
      <c r="O4" s="320">
        <v>6000</v>
      </c>
      <c r="P4" s="320">
        <v>6000</v>
      </c>
      <c r="Q4" s="320" t="s">
        <v>24140</v>
      </c>
      <c r="R4" s="278" t="s">
        <v>24209</v>
      </c>
      <c r="S4" s="265" t="str">
        <f t="shared" ref="S4:S27" si="0">I4&amp;B4&amp;R4</f>
        <v>Thép cuộn cán nóng 3.45x123X SAE1006ỐNG THÉP HƯNG YÊNQua cán nguội</v>
      </c>
    </row>
    <row r="5" spans="1:19" s="265" customFormat="1" x14ac:dyDescent="0.25">
      <c r="A5" s="265" t="s">
        <v>24345</v>
      </c>
      <c r="B5" s="265" t="s">
        <v>24266</v>
      </c>
      <c r="C5" s="276" t="s">
        <v>24305</v>
      </c>
      <c r="D5" s="324" t="s">
        <v>24306</v>
      </c>
      <c r="E5" s="325" t="s">
        <v>24133</v>
      </c>
      <c r="F5" s="327" t="s">
        <v>24214</v>
      </c>
      <c r="G5" s="326" t="s">
        <v>24205</v>
      </c>
      <c r="H5" s="325"/>
      <c r="I5" s="328" t="s">
        <v>9896</v>
      </c>
      <c r="J5" s="329" t="s">
        <v>24110</v>
      </c>
      <c r="K5" s="326" t="s">
        <v>24229</v>
      </c>
      <c r="L5" s="325">
        <v>1219</v>
      </c>
      <c r="M5" s="325" t="s">
        <v>24216</v>
      </c>
      <c r="N5" s="325">
        <v>0</v>
      </c>
      <c r="O5" s="330">
        <v>2500</v>
      </c>
      <c r="P5" s="330">
        <v>2500</v>
      </c>
      <c r="Q5" s="276" t="s">
        <v>24191</v>
      </c>
      <c r="R5" s="278" t="s">
        <v>24209</v>
      </c>
      <c r="S5" s="265" t="str">
        <f t="shared" si="0"/>
        <v>Thép cuộn cán nóng 2.45x121Y SAE1006MINH PHÚQua cán nguội</v>
      </c>
    </row>
    <row r="6" spans="1:19" s="265" customFormat="1" x14ac:dyDescent="0.25">
      <c r="A6" s="265" t="s">
        <v>24345</v>
      </c>
      <c r="B6" s="265" t="s">
        <v>24266</v>
      </c>
      <c r="C6" s="278" t="s">
        <v>24305</v>
      </c>
      <c r="D6" s="266" t="s">
        <v>24306</v>
      </c>
      <c r="E6" s="268" t="s">
        <v>24133</v>
      </c>
      <c r="F6" s="331" t="s">
        <v>24214</v>
      </c>
      <c r="G6" s="267" t="s">
        <v>24205</v>
      </c>
      <c r="H6" s="268"/>
      <c r="I6" s="270" t="s">
        <v>7023</v>
      </c>
      <c r="J6" s="271" t="s">
        <v>24110</v>
      </c>
      <c r="K6" s="267" t="s">
        <v>24229</v>
      </c>
      <c r="L6" s="268">
        <v>1230</v>
      </c>
      <c r="M6" s="268" t="s">
        <v>24207</v>
      </c>
      <c r="N6" s="268">
        <v>0</v>
      </c>
      <c r="O6" s="275">
        <v>2500</v>
      </c>
      <c r="P6" s="275">
        <v>2500</v>
      </c>
      <c r="Q6" s="278" t="s">
        <v>24191</v>
      </c>
      <c r="R6" s="278" t="s">
        <v>24209</v>
      </c>
      <c r="S6" s="265" t="str">
        <f t="shared" si="0"/>
        <v>Thép cuộn cán nóng 2.45x123X SAE1006MINH PHÚQua cán nguội</v>
      </c>
    </row>
    <row r="7" spans="1:19" s="265" customFormat="1" x14ac:dyDescent="0.25">
      <c r="A7" s="265" t="s">
        <v>24345</v>
      </c>
      <c r="B7" s="265" t="s">
        <v>24266</v>
      </c>
      <c r="C7" s="276" t="s">
        <v>24305</v>
      </c>
      <c r="D7" s="324" t="s">
        <v>24307</v>
      </c>
      <c r="E7" s="325" t="s">
        <v>24190</v>
      </c>
      <c r="F7" s="327" t="s">
        <v>24205</v>
      </c>
      <c r="G7" s="326" t="s">
        <v>24205</v>
      </c>
      <c r="H7" s="325"/>
      <c r="I7" s="328" t="s">
        <v>5924</v>
      </c>
      <c r="J7" s="329" t="s">
        <v>24110</v>
      </c>
      <c r="K7" s="326" t="s">
        <v>24232</v>
      </c>
      <c r="L7" s="325">
        <v>1230</v>
      </c>
      <c r="M7" s="325" t="s">
        <v>24207</v>
      </c>
      <c r="N7" s="325"/>
      <c r="O7" s="325">
        <v>800</v>
      </c>
      <c r="P7" s="325">
        <v>800</v>
      </c>
      <c r="Q7" s="276" t="s">
        <v>24191</v>
      </c>
      <c r="R7" s="278" t="s">
        <v>24209</v>
      </c>
      <c r="S7" s="265" t="str">
        <f t="shared" si="0"/>
        <v>Thép cuộn cán nóng 2.40x123X SAE1006MINH PHÚQua cán nguội</v>
      </c>
    </row>
    <row r="8" spans="1:19" s="265" customFormat="1" x14ac:dyDescent="0.25">
      <c r="A8" s="265" t="s">
        <v>24345</v>
      </c>
      <c r="B8" s="265" t="s">
        <v>24266</v>
      </c>
      <c r="C8" s="278" t="s">
        <v>24305</v>
      </c>
      <c r="D8" s="266" t="s">
        <v>24307</v>
      </c>
      <c r="E8" s="268" t="s">
        <v>24190</v>
      </c>
      <c r="F8" s="331" t="s">
        <v>24205</v>
      </c>
      <c r="G8" s="267" t="s">
        <v>24205</v>
      </c>
      <c r="H8" s="268"/>
      <c r="I8" s="270" t="s">
        <v>6901</v>
      </c>
      <c r="J8" s="271" t="s">
        <v>24110</v>
      </c>
      <c r="K8" s="267" t="s">
        <v>24228</v>
      </c>
      <c r="L8" s="268">
        <v>1260</v>
      </c>
      <c r="M8" s="268" t="s">
        <v>24223</v>
      </c>
      <c r="N8" s="268"/>
      <c r="O8" s="275">
        <v>1760</v>
      </c>
      <c r="P8" s="275">
        <v>1760</v>
      </c>
      <c r="Q8" s="278" t="s">
        <v>24191</v>
      </c>
      <c r="R8" s="278" t="s">
        <v>24209</v>
      </c>
      <c r="S8" s="265" t="str">
        <f t="shared" si="0"/>
        <v>Thép cuộn cán nóng 2.50x126X SAE1006MINH PHÚQua cán nguội</v>
      </c>
    </row>
    <row r="9" spans="1:19" s="265" customFormat="1" x14ac:dyDescent="0.25">
      <c r="A9" s="265" t="s">
        <v>24345</v>
      </c>
      <c r="B9" s="265" t="s">
        <v>24266</v>
      </c>
      <c r="C9" s="276" t="s">
        <v>24305</v>
      </c>
      <c r="D9" s="324" t="s">
        <v>24307</v>
      </c>
      <c r="E9" s="325" t="s">
        <v>24190</v>
      </c>
      <c r="F9" s="327" t="s">
        <v>24205</v>
      </c>
      <c r="G9" s="326" t="s">
        <v>24205</v>
      </c>
      <c r="H9" s="325"/>
      <c r="I9" s="328" t="s">
        <v>3923</v>
      </c>
      <c r="J9" s="329" t="s">
        <v>24110</v>
      </c>
      <c r="K9" s="326" t="s">
        <v>24222</v>
      </c>
      <c r="L9" s="325">
        <v>1230</v>
      </c>
      <c r="M9" s="325" t="s">
        <v>24207</v>
      </c>
      <c r="N9" s="325"/>
      <c r="O9" s="325">
        <v>380</v>
      </c>
      <c r="P9" s="325">
        <v>380</v>
      </c>
      <c r="Q9" s="276" t="s">
        <v>24191</v>
      </c>
      <c r="R9" s="278" t="s">
        <v>24209</v>
      </c>
      <c r="S9" s="265" t="str">
        <f t="shared" si="0"/>
        <v>Thép cuộn cán nóng 2.75x123X SAE1006MINH PHÚQua cán nguội</v>
      </c>
    </row>
    <row r="10" spans="1:19" s="265" customFormat="1" x14ac:dyDescent="0.25">
      <c r="A10" s="265" t="s">
        <v>24345</v>
      </c>
      <c r="B10" s="265" t="s">
        <v>24266</v>
      </c>
      <c r="C10" s="278" t="s">
        <v>24305</v>
      </c>
      <c r="D10" s="266" t="s">
        <v>24307</v>
      </c>
      <c r="E10" s="268" t="s">
        <v>24190</v>
      </c>
      <c r="F10" s="331" t="s">
        <v>24205</v>
      </c>
      <c r="G10" s="267" t="s">
        <v>24205</v>
      </c>
      <c r="H10" s="268"/>
      <c r="I10" s="270" t="s">
        <v>7568</v>
      </c>
      <c r="J10" s="271" t="s">
        <v>24110</v>
      </c>
      <c r="K10" s="267" t="s">
        <v>24215</v>
      </c>
      <c r="L10" s="268">
        <v>1260</v>
      </c>
      <c r="M10" s="268" t="s">
        <v>24223</v>
      </c>
      <c r="N10" s="268"/>
      <c r="O10" s="275">
        <v>1670</v>
      </c>
      <c r="P10" s="275">
        <v>1670</v>
      </c>
      <c r="Q10" s="278" t="s">
        <v>24191</v>
      </c>
      <c r="R10" s="278" t="s">
        <v>24209</v>
      </c>
      <c r="S10" s="265" t="str">
        <f t="shared" si="0"/>
        <v>Thép cuộn cán nóng 3.00x126X SAE1006MINH PHÚQua cán nguội</v>
      </c>
    </row>
    <row r="11" spans="1:19" s="265" customFormat="1" x14ac:dyDescent="0.25">
      <c r="A11" s="265" t="s">
        <v>24345</v>
      </c>
      <c r="B11" s="265" t="s">
        <v>24266</v>
      </c>
      <c r="C11" s="276" t="s">
        <v>24305</v>
      </c>
      <c r="D11" s="324" t="s">
        <v>24308</v>
      </c>
      <c r="E11" s="325" t="s">
        <v>24133</v>
      </c>
      <c r="F11" s="327" t="s">
        <v>24214</v>
      </c>
      <c r="G11" s="326" t="s">
        <v>24205</v>
      </c>
      <c r="H11" s="325"/>
      <c r="I11" s="328" t="s">
        <v>877</v>
      </c>
      <c r="J11" s="329" t="s">
        <v>24110</v>
      </c>
      <c r="K11" s="326" t="s">
        <v>24222</v>
      </c>
      <c r="L11" s="325">
        <v>1219</v>
      </c>
      <c r="M11" s="325" t="s">
        <v>24216</v>
      </c>
      <c r="N11" s="325">
        <v>0</v>
      </c>
      <c r="O11" s="330">
        <v>1350</v>
      </c>
      <c r="P11" s="330">
        <v>1350</v>
      </c>
      <c r="Q11" s="276" t="s">
        <v>24191</v>
      </c>
      <c r="R11" s="278" t="s">
        <v>24209</v>
      </c>
      <c r="S11" s="265" t="str">
        <f t="shared" si="0"/>
        <v>Thép cuộn cán nóng 2.75x121Y SAE1006MINH PHÚQua cán nguội</v>
      </c>
    </row>
    <row r="12" spans="1:19" s="265" customFormat="1" x14ac:dyDescent="0.25">
      <c r="A12" s="265" t="s">
        <v>24345</v>
      </c>
      <c r="B12" s="265" t="s">
        <v>24266</v>
      </c>
      <c r="C12" s="278" t="s">
        <v>24305</v>
      </c>
      <c r="D12" s="266" t="s">
        <v>24308</v>
      </c>
      <c r="E12" s="268" t="s">
        <v>24133</v>
      </c>
      <c r="F12" s="331" t="s">
        <v>24214</v>
      </c>
      <c r="G12" s="267" t="s">
        <v>24205</v>
      </c>
      <c r="H12" s="268"/>
      <c r="I12" s="270" t="s">
        <v>3923</v>
      </c>
      <c r="J12" s="271" t="s">
        <v>24110</v>
      </c>
      <c r="K12" s="267" t="s">
        <v>24222</v>
      </c>
      <c r="L12" s="268">
        <v>1230</v>
      </c>
      <c r="M12" s="268" t="s">
        <v>24207</v>
      </c>
      <c r="N12" s="268">
        <v>0</v>
      </c>
      <c r="O12" s="275">
        <v>2000</v>
      </c>
      <c r="P12" s="275">
        <v>2000</v>
      </c>
      <c r="Q12" s="278" t="s">
        <v>24191</v>
      </c>
      <c r="R12" s="278" t="s">
        <v>24209</v>
      </c>
      <c r="S12" s="265" t="str">
        <f t="shared" si="0"/>
        <v>Thép cuộn cán nóng 2.75x123X SAE1006MINH PHÚQua cán nguội</v>
      </c>
    </row>
    <row r="13" spans="1:19" s="265" customFormat="1" x14ac:dyDescent="0.25">
      <c r="A13" s="265" t="s">
        <v>24345</v>
      </c>
      <c r="B13" s="265" t="s">
        <v>24266</v>
      </c>
      <c r="C13" s="278" t="s">
        <v>24305</v>
      </c>
      <c r="D13" s="266" t="s">
        <v>24308</v>
      </c>
      <c r="E13" s="268" t="s">
        <v>24133</v>
      </c>
      <c r="F13" s="331" t="s">
        <v>24214</v>
      </c>
      <c r="G13" s="267" t="s">
        <v>24205</v>
      </c>
      <c r="H13" s="268"/>
      <c r="I13" s="270" t="s">
        <v>6948</v>
      </c>
      <c r="J13" s="271" t="s">
        <v>24110</v>
      </c>
      <c r="K13" s="267" t="s">
        <v>24215</v>
      </c>
      <c r="L13" s="268">
        <v>1230</v>
      </c>
      <c r="M13" s="268" t="s">
        <v>24207</v>
      </c>
      <c r="N13" s="268">
        <v>0</v>
      </c>
      <c r="O13" s="268">
        <v>700</v>
      </c>
      <c r="P13" s="268">
        <v>700</v>
      </c>
      <c r="Q13" s="278" t="s">
        <v>24191</v>
      </c>
      <c r="R13" s="278" t="s">
        <v>24209</v>
      </c>
      <c r="S13" s="265" t="str">
        <f t="shared" si="0"/>
        <v>Thép cuộn cán nóng 3.00x123X SAE1006MINH PHÚQua cán nguội</v>
      </c>
    </row>
    <row r="14" spans="1:19" s="265" customFormat="1" x14ac:dyDescent="0.25">
      <c r="A14" s="265" t="s">
        <v>24345</v>
      </c>
      <c r="B14" s="265" t="s">
        <v>24300</v>
      </c>
      <c r="C14" s="276" t="s">
        <v>24305</v>
      </c>
      <c r="D14" s="324" t="s">
        <v>24309</v>
      </c>
      <c r="E14" s="325" t="s">
        <v>24133</v>
      </c>
      <c r="F14" s="327" t="s">
        <v>24205</v>
      </c>
      <c r="G14" s="327" t="s">
        <v>24205</v>
      </c>
      <c r="H14" s="325"/>
      <c r="I14" s="328" t="s">
        <v>877</v>
      </c>
      <c r="J14" s="329" t="s">
        <v>24110</v>
      </c>
      <c r="K14" s="326" t="s">
        <v>24222</v>
      </c>
      <c r="L14" s="325">
        <v>1219</v>
      </c>
      <c r="M14" s="325" t="s">
        <v>24216</v>
      </c>
      <c r="N14" s="325"/>
      <c r="O14" s="330">
        <v>8700</v>
      </c>
      <c r="P14" s="330">
        <v>8700</v>
      </c>
      <c r="Q14" s="276" t="s">
        <v>24140</v>
      </c>
      <c r="R14" s="278" t="s">
        <v>24209</v>
      </c>
      <c r="S14" s="265" t="str">
        <f t="shared" si="0"/>
        <v>Thép cuộn cán nóng 2.75x121Y SAE1006ỐNG THÉP MIỀN NAMQua cán nguội</v>
      </c>
    </row>
    <row r="15" spans="1:19" s="265" customFormat="1" x14ac:dyDescent="0.25">
      <c r="A15" s="265" t="s">
        <v>24345</v>
      </c>
      <c r="B15" s="265" t="s">
        <v>24324</v>
      </c>
      <c r="C15" s="278" t="s">
        <v>24305</v>
      </c>
      <c r="D15" s="266" t="s">
        <v>24310</v>
      </c>
      <c r="E15" s="268" t="s">
        <v>24246</v>
      </c>
      <c r="F15" s="331" t="s">
        <v>24205</v>
      </c>
      <c r="G15" s="267" t="s">
        <v>24205</v>
      </c>
      <c r="H15" s="268" t="s">
        <v>24247</v>
      </c>
      <c r="I15" s="270" t="s">
        <v>24311</v>
      </c>
      <c r="J15" s="271" t="s">
        <v>24110</v>
      </c>
      <c r="K15" s="267" t="s">
        <v>24312</v>
      </c>
      <c r="L15" s="268">
        <v>1230</v>
      </c>
      <c r="M15" s="268" t="s">
        <v>24207</v>
      </c>
      <c r="N15" s="274"/>
      <c r="O15" s="273">
        <v>1000</v>
      </c>
      <c r="P15" s="275">
        <v>1000</v>
      </c>
      <c r="Q15" s="278" t="s">
        <v>24140</v>
      </c>
      <c r="R15" s="278" t="s">
        <v>24209</v>
      </c>
      <c r="S15" s="265" t="str">
        <f t="shared" si="0"/>
        <v>Thép cuộn cán nóng 2.35x123X SAE1006ỐNG THÉP ĐÀ NẴNGQua cán nguội</v>
      </c>
    </row>
    <row r="16" spans="1:19" s="265" customFormat="1" x14ac:dyDescent="0.25">
      <c r="A16" s="265" t="s">
        <v>24345</v>
      </c>
      <c r="B16" s="265" t="s">
        <v>24324</v>
      </c>
      <c r="C16" s="276" t="s">
        <v>24305</v>
      </c>
      <c r="D16" s="324" t="s">
        <v>24310</v>
      </c>
      <c r="E16" s="325" t="s">
        <v>24246</v>
      </c>
      <c r="F16" s="327" t="s">
        <v>24205</v>
      </c>
      <c r="G16" s="326" t="s">
        <v>24205</v>
      </c>
      <c r="H16" s="325" t="s">
        <v>24247</v>
      </c>
      <c r="I16" s="328" t="s">
        <v>7023</v>
      </c>
      <c r="J16" s="329" t="s">
        <v>24110</v>
      </c>
      <c r="K16" s="326" t="s">
        <v>24229</v>
      </c>
      <c r="L16" s="325">
        <v>1230</v>
      </c>
      <c r="M16" s="325" t="s">
        <v>24207</v>
      </c>
      <c r="N16" s="274"/>
      <c r="O16" s="273">
        <v>1500</v>
      </c>
      <c r="P16" s="330">
        <v>1500</v>
      </c>
      <c r="Q16" s="276" t="s">
        <v>24140</v>
      </c>
      <c r="R16" s="278" t="s">
        <v>24209</v>
      </c>
      <c r="S16" s="265" t="str">
        <f t="shared" si="0"/>
        <v>Thép cuộn cán nóng 2.45x123X SAE1006ỐNG THÉP ĐÀ NẴNGQua cán nguội</v>
      </c>
    </row>
    <row r="17" spans="1:19" s="265" customFormat="1" x14ac:dyDescent="0.25">
      <c r="A17" s="265" t="s">
        <v>24345</v>
      </c>
      <c r="B17" s="265" t="s">
        <v>24324</v>
      </c>
      <c r="C17" s="278" t="s">
        <v>24305</v>
      </c>
      <c r="D17" s="266" t="s">
        <v>24310</v>
      </c>
      <c r="E17" s="268" t="s">
        <v>24246</v>
      </c>
      <c r="F17" s="331" t="s">
        <v>24205</v>
      </c>
      <c r="G17" s="267" t="s">
        <v>24205</v>
      </c>
      <c r="H17" s="268" t="s">
        <v>24247</v>
      </c>
      <c r="I17" s="270" t="s">
        <v>3923</v>
      </c>
      <c r="J17" s="271" t="s">
        <v>24110</v>
      </c>
      <c r="K17" s="267" t="s">
        <v>24222</v>
      </c>
      <c r="L17" s="268">
        <v>1230</v>
      </c>
      <c r="M17" s="268" t="s">
        <v>24207</v>
      </c>
      <c r="N17" s="274"/>
      <c r="O17" s="273">
        <v>2000</v>
      </c>
      <c r="P17" s="275">
        <v>2000</v>
      </c>
      <c r="Q17" s="278" t="s">
        <v>24140</v>
      </c>
      <c r="R17" s="278" t="s">
        <v>24209</v>
      </c>
      <c r="S17" s="265" t="str">
        <f t="shared" si="0"/>
        <v>Thép cuộn cán nóng 2.75x123X SAE1006ỐNG THÉP ĐÀ NẴNGQua cán nguội</v>
      </c>
    </row>
    <row r="18" spans="1:19" s="265" customFormat="1" x14ac:dyDescent="0.25">
      <c r="A18" s="265" t="s">
        <v>24345</v>
      </c>
      <c r="B18" s="265" t="s">
        <v>24324</v>
      </c>
      <c r="C18" s="276" t="s">
        <v>24305</v>
      </c>
      <c r="D18" s="324" t="s">
        <v>24310</v>
      </c>
      <c r="E18" s="325" t="s">
        <v>24246</v>
      </c>
      <c r="F18" s="327" t="s">
        <v>24205</v>
      </c>
      <c r="G18" s="326" t="s">
        <v>24205</v>
      </c>
      <c r="H18" s="325" t="s">
        <v>24247</v>
      </c>
      <c r="I18" s="328" t="s">
        <v>12269</v>
      </c>
      <c r="J18" s="329" t="s">
        <v>24110</v>
      </c>
      <c r="K18" s="326" t="s">
        <v>24219</v>
      </c>
      <c r="L18" s="325">
        <v>1230</v>
      </c>
      <c r="M18" s="325" t="s">
        <v>24207</v>
      </c>
      <c r="N18" s="274"/>
      <c r="O18" s="273">
        <v>2600</v>
      </c>
      <c r="P18" s="330">
        <v>2600</v>
      </c>
      <c r="Q18" s="276" t="s">
        <v>24140</v>
      </c>
      <c r="R18" s="278" t="s">
        <v>24209</v>
      </c>
      <c r="S18" s="265" t="str">
        <f t="shared" si="0"/>
        <v>Thép cuộn cán nóng 2.95x123X SAE1006ỐNG THÉP ĐÀ NẴNGQua cán nguội</v>
      </c>
    </row>
    <row r="19" spans="1:19" s="265" customFormat="1" x14ac:dyDescent="0.25">
      <c r="A19" s="265" t="s">
        <v>24345</v>
      </c>
      <c r="B19" s="265" t="s">
        <v>24324</v>
      </c>
      <c r="C19" s="278" t="s">
        <v>24305</v>
      </c>
      <c r="D19" s="266" t="s">
        <v>24310</v>
      </c>
      <c r="E19" s="268" t="s">
        <v>24246</v>
      </c>
      <c r="F19" s="331" t="s">
        <v>24205</v>
      </c>
      <c r="G19" s="267" t="s">
        <v>24205</v>
      </c>
      <c r="H19" s="268" t="s">
        <v>24247</v>
      </c>
      <c r="I19" s="270" t="s">
        <v>12153</v>
      </c>
      <c r="J19" s="271" t="s">
        <v>24110</v>
      </c>
      <c r="K19" s="267" t="s">
        <v>24212</v>
      </c>
      <c r="L19" s="268">
        <v>1230</v>
      </c>
      <c r="M19" s="268" t="s">
        <v>24207</v>
      </c>
      <c r="N19" s="274"/>
      <c r="O19" s="274">
        <v>800</v>
      </c>
      <c r="P19" s="268">
        <v>800</v>
      </c>
      <c r="Q19" s="278" t="s">
        <v>24140</v>
      </c>
      <c r="R19" s="278" t="s">
        <v>24209</v>
      </c>
      <c r="S19" s="265" t="str">
        <f t="shared" si="0"/>
        <v>Thép cuộn cán nóng 3.45x123X SAE1006ỐNG THÉP ĐÀ NẴNGQua cán nguội</v>
      </c>
    </row>
    <row r="20" spans="1:19" s="265" customFormat="1" x14ac:dyDescent="0.25">
      <c r="A20" s="265" t="s">
        <v>24345</v>
      </c>
      <c r="B20" s="265" t="s">
        <v>24295</v>
      </c>
      <c r="C20" s="276" t="s">
        <v>24305</v>
      </c>
      <c r="D20" s="324" t="s">
        <v>24313</v>
      </c>
      <c r="E20" s="325" t="s">
        <v>24314</v>
      </c>
      <c r="F20" s="327" t="s">
        <v>24205</v>
      </c>
      <c r="G20" s="326" t="s">
        <v>24205</v>
      </c>
      <c r="H20" s="325" t="s">
        <v>24315</v>
      </c>
      <c r="I20" s="328" t="s">
        <v>5059</v>
      </c>
      <c r="J20" s="329" t="s">
        <v>24110</v>
      </c>
      <c r="K20" s="326" t="s">
        <v>24234</v>
      </c>
      <c r="L20" s="325">
        <v>1217</v>
      </c>
      <c r="M20" s="325" t="s">
        <v>24216</v>
      </c>
      <c r="N20" s="273">
        <v>1500</v>
      </c>
      <c r="O20" s="274"/>
      <c r="P20" s="330">
        <v>1500</v>
      </c>
      <c r="Q20" s="276" t="s">
        <v>24118</v>
      </c>
      <c r="R20" s="278" t="s">
        <v>24209</v>
      </c>
      <c r="S20" s="265" t="str">
        <f t="shared" si="0"/>
        <v>Thép cuộn cán nóng 2.30x121Y SAE1006THÉP VIỆT NHẬTQua cán nguội</v>
      </c>
    </row>
    <row r="21" spans="1:19" s="265" customFormat="1" x14ac:dyDescent="0.25">
      <c r="A21" s="265" t="s">
        <v>24345</v>
      </c>
      <c r="B21" s="265" t="s">
        <v>24295</v>
      </c>
      <c r="C21" s="278" t="s">
        <v>24305</v>
      </c>
      <c r="D21" s="266" t="s">
        <v>24313</v>
      </c>
      <c r="E21" s="268" t="s">
        <v>24314</v>
      </c>
      <c r="F21" s="331" t="s">
        <v>24205</v>
      </c>
      <c r="G21" s="267" t="s">
        <v>24205</v>
      </c>
      <c r="H21" s="268"/>
      <c r="I21" s="270" t="s">
        <v>6901</v>
      </c>
      <c r="J21" s="271" t="s">
        <v>24110</v>
      </c>
      <c r="K21" s="267" t="s">
        <v>24228</v>
      </c>
      <c r="L21" s="268">
        <v>1262</v>
      </c>
      <c r="M21" s="268" t="s">
        <v>24223</v>
      </c>
      <c r="N21" s="273">
        <v>1000</v>
      </c>
      <c r="O21" s="274"/>
      <c r="P21" s="275">
        <v>1000</v>
      </c>
      <c r="Q21" s="278" t="s">
        <v>24118</v>
      </c>
      <c r="R21" s="278" t="s">
        <v>24209</v>
      </c>
      <c r="S21" s="265" t="str">
        <f t="shared" si="0"/>
        <v>Thép cuộn cán nóng 2.50x126X SAE1006THÉP VIỆT NHẬTQua cán nguội</v>
      </c>
    </row>
    <row r="22" spans="1:19" s="265" customFormat="1" x14ac:dyDescent="0.25">
      <c r="A22" s="265" t="s">
        <v>24345</v>
      </c>
      <c r="B22" s="265" t="s">
        <v>24295</v>
      </c>
      <c r="C22" s="276" t="s">
        <v>24305</v>
      </c>
      <c r="D22" s="324" t="s">
        <v>24313</v>
      </c>
      <c r="E22" s="325" t="s">
        <v>24314</v>
      </c>
      <c r="F22" s="327" t="s">
        <v>24205</v>
      </c>
      <c r="G22" s="326" t="s">
        <v>24205</v>
      </c>
      <c r="H22" s="325"/>
      <c r="I22" s="328" t="s">
        <v>5018</v>
      </c>
      <c r="J22" s="329" t="s">
        <v>24110</v>
      </c>
      <c r="K22" s="326" t="s">
        <v>24222</v>
      </c>
      <c r="L22" s="325">
        <v>1262</v>
      </c>
      <c r="M22" s="325" t="s">
        <v>24223</v>
      </c>
      <c r="N22" s="274">
        <v>500</v>
      </c>
      <c r="O22" s="274"/>
      <c r="P22" s="325">
        <v>500</v>
      </c>
      <c r="Q22" s="276" t="s">
        <v>24118</v>
      </c>
      <c r="R22" s="278" t="s">
        <v>24209</v>
      </c>
      <c r="S22" s="265" t="str">
        <f t="shared" si="0"/>
        <v>Thép cuộn cán nóng 2.75x126X SAE1006THÉP VIỆT NHẬTQua cán nguội</v>
      </c>
    </row>
    <row r="23" spans="1:19" s="265" customFormat="1" x14ac:dyDescent="0.25">
      <c r="A23" s="265" t="s">
        <v>24345</v>
      </c>
      <c r="B23" s="265" t="s">
        <v>24295</v>
      </c>
      <c r="C23" s="278" t="s">
        <v>24305</v>
      </c>
      <c r="D23" s="266" t="s">
        <v>24313</v>
      </c>
      <c r="E23" s="268" t="s">
        <v>24314</v>
      </c>
      <c r="F23" s="331" t="s">
        <v>24205</v>
      </c>
      <c r="G23" s="267" t="s">
        <v>24205</v>
      </c>
      <c r="H23" s="268"/>
      <c r="I23" s="270" t="s">
        <v>7568</v>
      </c>
      <c r="J23" s="271" t="s">
        <v>24110</v>
      </c>
      <c r="K23" s="267" t="s">
        <v>24215</v>
      </c>
      <c r="L23" s="268">
        <v>1262</v>
      </c>
      <c r="M23" s="268" t="s">
        <v>24223</v>
      </c>
      <c r="N23" s="274">
        <v>500</v>
      </c>
      <c r="O23" s="274"/>
      <c r="P23" s="268">
        <v>500</v>
      </c>
      <c r="Q23" s="278" t="s">
        <v>24118</v>
      </c>
      <c r="R23" s="278" t="s">
        <v>24209</v>
      </c>
      <c r="S23" s="265" t="str">
        <f t="shared" si="0"/>
        <v>Thép cuộn cán nóng 3.00x126X SAE1006THÉP VIỆT NHẬTQua cán nguội</v>
      </c>
    </row>
    <row r="24" spans="1:19" s="265" customFormat="1" x14ac:dyDescent="0.25">
      <c r="A24" s="265" t="s">
        <v>24345</v>
      </c>
      <c r="B24" s="265" t="s">
        <v>24325</v>
      </c>
      <c r="C24" s="276" t="s">
        <v>24305</v>
      </c>
      <c r="D24" s="332" t="s">
        <v>24316</v>
      </c>
      <c r="E24" s="276" t="s">
        <v>24250</v>
      </c>
      <c r="F24" s="276" t="s">
        <v>24214</v>
      </c>
      <c r="G24" s="276" t="s">
        <v>24205</v>
      </c>
      <c r="H24" s="276"/>
      <c r="I24" s="328" t="s">
        <v>5911</v>
      </c>
      <c r="J24" s="329" t="s">
        <v>24110</v>
      </c>
      <c r="K24" s="276" t="s">
        <v>24236</v>
      </c>
      <c r="L24" s="276">
        <v>1260</v>
      </c>
      <c r="M24" s="276" t="s">
        <v>24223</v>
      </c>
      <c r="N24" s="276">
        <v>0</v>
      </c>
      <c r="O24" s="276">
        <v>4500</v>
      </c>
      <c r="P24" s="276">
        <v>4500</v>
      </c>
      <c r="Q24" s="276" t="s">
        <v>24140</v>
      </c>
      <c r="R24" s="278" t="s">
        <v>24209</v>
      </c>
      <c r="S24" s="265" t="str">
        <f t="shared" si="0"/>
        <v>Thép cuộn cán nóng 2.25x126X SAE1006THÉP ASIAQua cán nguội</v>
      </c>
    </row>
    <row r="25" spans="1:19" s="265" customFormat="1" x14ac:dyDescent="0.25">
      <c r="A25" s="265" t="s">
        <v>24345</v>
      </c>
      <c r="B25" s="265" t="s">
        <v>24296</v>
      </c>
      <c r="C25" s="278" t="s">
        <v>24317</v>
      </c>
      <c r="D25" s="266" t="s">
        <v>24318</v>
      </c>
      <c r="E25" s="268" t="s">
        <v>24127</v>
      </c>
      <c r="F25" s="331" t="s">
        <v>24205</v>
      </c>
      <c r="G25" s="267" t="s">
        <v>24205</v>
      </c>
      <c r="H25" s="268" t="s">
        <v>24319</v>
      </c>
      <c r="I25" s="270" t="s">
        <v>6939</v>
      </c>
      <c r="J25" s="271" t="s">
        <v>24110</v>
      </c>
      <c r="K25" s="267" t="s">
        <v>24320</v>
      </c>
      <c r="L25" s="268">
        <v>1230</v>
      </c>
      <c r="M25" s="268" t="s">
        <v>24207</v>
      </c>
      <c r="N25" s="274">
        <v>500</v>
      </c>
      <c r="O25" s="274"/>
      <c r="P25" s="268">
        <v>500</v>
      </c>
      <c r="Q25" s="276" t="s">
        <v>24140</v>
      </c>
      <c r="R25" s="278" t="s">
        <v>24209</v>
      </c>
      <c r="S25" s="265" t="str">
        <f t="shared" si="0"/>
        <v>Thép cuộn cán nóng 4.00x123X SAE1006HOA SENQua cán nguội</v>
      </c>
    </row>
    <row r="26" spans="1:19" s="265" customFormat="1" x14ac:dyDescent="0.25">
      <c r="A26" s="265" t="s">
        <v>24345</v>
      </c>
      <c r="B26" s="265" t="s">
        <v>24296</v>
      </c>
      <c r="C26" s="276" t="s">
        <v>24322</v>
      </c>
      <c r="D26" s="324" t="s">
        <v>24323</v>
      </c>
      <c r="E26" s="325" t="s">
        <v>24127</v>
      </c>
      <c r="F26" s="327" t="s">
        <v>24205</v>
      </c>
      <c r="G26" s="326" t="s">
        <v>24205</v>
      </c>
      <c r="H26" s="325"/>
      <c r="I26" s="328" t="s">
        <v>5943</v>
      </c>
      <c r="J26" s="329" t="s">
        <v>24110</v>
      </c>
      <c r="K26" s="326" t="s">
        <v>24320</v>
      </c>
      <c r="L26" s="325">
        <v>1260</v>
      </c>
      <c r="M26" s="325" t="s">
        <v>24223</v>
      </c>
      <c r="N26" s="273">
        <v>1000</v>
      </c>
      <c r="O26" s="274"/>
      <c r="P26" s="330">
        <v>1000</v>
      </c>
      <c r="Q26" s="276" t="s">
        <v>24140</v>
      </c>
      <c r="R26" s="278" t="s">
        <v>24209</v>
      </c>
      <c r="S26" s="265" t="str">
        <f t="shared" si="0"/>
        <v>Thép cuộn cán nóng 4.00x126X SAE1006HOA SENQua cán nguội</v>
      </c>
    </row>
    <row r="27" spans="1:19" s="265" customFormat="1" x14ac:dyDescent="0.25">
      <c r="A27" s="265" t="s">
        <v>24345</v>
      </c>
      <c r="B27" s="265" t="s">
        <v>24296</v>
      </c>
      <c r="C27" s="278" t="s">
        <v>24201</v>
      </c>
      <c r="I27" s="270" t="s">
        <v>16929</v>
      </c>
      <c r="J27" s="333" t="s">
        <v>24110</v>
      </c>
      <c r="K27" s="267" t="s">
        <v>24215</v>
      </c>
      <c r="L27" s="268">
        <v>1212</v>
      </c>
      <c r="M27" s="268" t="s">
        <v>24227</v>
      </c>
      <c r="N27" s="268">
        <v>100</v>
      </c>
      <c r="O27" s="268">
        <v>0</v>
      </c>
      <c r="P27" s="268">
        <v>100</v>
      </c>
      <c r="Q27" s="276" t="s">
        <v>24140</v>
      </c>
      <c r="R27" s="278" t="s">
        <v>24209</v>
      </c>
      <c r="S27" s="265" t="str">
        <f t="shared" si="0"/>
        <v>Thép cuộn cán nóng 3.00x121X SAE1006HOA SENQua cán nguội</v>
      </c>
    </row>
    <row r="28" spans="1:19" s="319" customFormat="1" x14ac:dyDescent="0.25"/>
    <row r="31" spans="1:19" x14ac:dyDescent="0.25">
      <c r="C31" t="s">
        <v>24294</v>
      </c>
      <c r="D31" s="334" t="s">
        <v>24245</v>
      </c>
      <c r="E31" s="259" t="s">
        <v>24246</v>
      </c>
      <c r="F31" s="259" t="s">
        <v>24205</v>
      </c>
      <c r="G31" s="259" t="s">
        <v>24205</v>
      </c>
      <c r="H31" s="259" t="s">
        <v>24247</v>
      </c>
      <c r="I31" s="335" t="s">
        <v>12153</v>
      </c>
      <c r="J31" s="258" t="s">
        <v>24110</v>
      </c>
      <c r="K31" s="259" t="s">
        <v>24212</v>
      </c>
      <c r="L31" s="259">
        <v>1230</v>
      </c>
      <c r="M31" s="259" t="s">
        <v>24207</v>
      </c>
      <c r="N31" s="232">
        <v>0</v>
      </c>
      <c r="O31" s="259">
        <v>6000</v>
      </c>
      <c r="P31" s="259">
        <v>6000</v>
      </c>
      <c r="Q31" s="259" t="s">
        <v>24140</v>
      </c>
      <c r="R31" s="259" t="s">
        <v>24209</v>
      </c>
      <c r="S31" s="265" t="str">
        <f t="shared" ref="S31:S52" si="1">I31&amp;C31&amp;R31</f>
        <v>Thép cuộn cán nóng 3.45x123X SAE1006ỐNG THÉP HƯNG YÊNQua cán nguội</v>
      </c>
    </row>
    <row r="32" spans="1:19" x14ac:dyDescent="0.25">
      <c r="C32" t="s">
        <v>24266</v>
      </c>
      <c r="D32" s="242" t="s">
        <v>24346</v>
      </c>
      <c r="E32" s="232" t="s">
        <v>24133</v>
      </c>
      <c r="F32" s="244" t="s">
        <v>24214</v>
      </c>
      <c r="G32" s="243" t="s">
        <v>24205</v>
      </c>
      <c r="H32" s="232" t="s">
        <v>24347</v>
      </c>
      <c r="I32" s="310" t="s">
        <v>7023</v>
      </c>
      <c r="J32" s="245" t="s">
        <v>24110</v>
      </c>
      <c r="K32" s="243" t="s">
        <v>24229</v>
      </c>
      <c r="L32" s="232">
        <v>1230</v>
      </c>
      <c r="M32" s="232" t="s">
        <v>24207</v>
      </c>
      <c r="N32" s="232">
        <v>0</v>
      </c>
      <c r="O32" s="249">
        <v>1000</v>
      </c>
      <c r="P32" s="249">
        <v>1000</v>
      </c>
      <c r="Q32" s="241" t="s">
        <v>24191</v>
      </c>
      <c r="R32" s="259" t="s">
        <v>24209</v>
      </c>
      <c r="S32" s="265" t="str">
        <f t="shared" si="1"/>
        <v>Thép cuộn cán nóng 2.45x123X SAE1006MINH PHÚQua cán nguội</v>
      </c>
    </row>
    <row r="33" spans="3:19" x14ac:dyDescent="0.25">
      <c r="C33" t="s">
        <v>24266</v>
      </c>
      <c r="D33" s="234" t="s">
        <v>24346</v>
      </c>
      <c r="E33" s="236" t="s">
        <v>24133</v>
      </c>
      <c r="F33" s="237" t="s">
        <v>24214</v>
      </c>
      <c r="G33" s="235" t="s">
        <v>24205</v>
      </c>
      <c r="H33" s="236" t="s">
        <v>24347</v>
      </c>
      <c r="I33" s="312" t="s">
        <v>9909</v>
      </c>
      <c r="J33" s="239" t="s">
        <v>24110</v>
      </c>
      <c r="K33" s="235" t="s">
        <v>24348</v>
      </c>
      <c r="L33" s="236">
        <v>1219</v>
      </c>
      <c r="M33" s="236" t="s">
        <v>24216</v>
      </c>
      <c r="N33" s="236">
        <v>0</v>
      </c>
      <c r="O33" s="248">
        <v>1800</v>
      </c>
      <c r="P33" s="248">
        <v>1800</v>
      </c>
      <c r="Q33" s="233" t="s">
        <v>24191</v>
      </c>
      <c r="R33" s="259" t="s">
        <v>24209</v>
      </c>
      <c r="S33" s="265" t="str">
        <f t="shared" si="1"/>
        <v>Thép cuộn cán nóng 2.90x121Y SAE1006MINH PHÚQua cán nguội</v>
      </c>
    </row>
    <row r="34" spans="3:19" x14ac:dyDescent="0.25">
      <c r="C34" t="s">
        <v>24266</v>
      </c>
      <c r="D34" s="336" t="s">
        <v>24307</v>
      </c>
      <c r="E34" s="232" t="s">
        <v>24190</v>
      </c>
      <c r="F34" s="244" t="s">
        <v>24205</v>
      </c>
      <c r="G34" s="243" t="s">
        <v>24205</v>
      </c>
      <c r="H34" s="232"/>
      <c r="I34" s="310" t="s">
        <v>5924</v>
      </c>
      <c r="J34" s="245" t="s">
        <v>24110</v>
      </c>
      <c r="K34" s="243" t="s">
        <v>24232</v>
      </c>
      <c r="L34" s="232">
        <v>1230</v>
      </c>
      <c r="M34" s="232" t="s">
        <v>24207</v>
      </c>
      <c r="N34" s="236">
        <v>0</v>
      </c>
      <c r="O34" s="232">
        <v>800</v>
      </c>
      <c r="P34" s="232">
        <v>800</v>
      </c>
      <c r="Q34" s="241" t="s">
        <v>24191</v>
      </c>
      <c r="R34" s="259" t="s">
        <v>24209</v>
      </c>
      <c r="S34" s="265" t="str">
        <f t="shared" si="1"/>
        <v>Thép cuộn cán nóng 2.40x123X SAE1006MINH PHÚQua cán nguội</v>
      </c>
    </row>
    <row r="35" spans="3:19" x14ac:dyDescent="0.25">
      <c r="C35" t="s">
        <v>24266</v>
      </c>
      <c r="D35" s="336" t="s">
        <v>24307</v>
      </c>
      <c r="E35" s="236" t="s">
        <v>24190</v>
      </c>
      <c r="F35" s="237" t="s">
        <v>24205</v>
      </c>
      <c r="G35" s="235" t="s">
        <v>24205</v>
      </c>
      <c r="H35" s="236"/>
      <c r="I35" s="312" t="s">
        <v>6901</v>
      </c>
      <c r="J35" s="239" t="s">
        <v>24110</v>
      </c>
      <c r="K35" s="235" t="s">
        <v>24228</v>
      </c>
      <c r="L35" s="236">
        <v>1260</v>
      </c>
      <c r="M35" s="236" t="s">
        <v>24223</v>
      </c>
      <c r="N35" s="236">
        <v>0</v>
      </c>
      <c r="O35" s="248">
        <v>1760</v>
      </c>
      <c r="P35" s="248">
        <v>1760</v>
      </c>
      <c r="Q35" s="233" t="s">
        <v>24191</v>
      </c>
      <c r="R35" s="259" t="s">
        <v>24209</v>
      </c>
      <c r="S35" s="265" t="str">
        <f t="shared" si="1"/>
        <v>Thép cuộn cán nóng 2.50x126X SAE1006MINH PHÚQua cán nguội</v>
      </c>
    </row>
    <row r="36" spans="3:19" x14ac:dyDescent="0.25">
      <c r="C36" t="s">
        <v>24266</v>
      </c>
      <c r="D36" s="336" t="s">
        <v>24307</v>
      </c>
      <c r="E36" s="232" t="s">
        <v>24190</v>
      </c>
      <c r="F36" s="244" t="s">
        <v>24205</v>
      </c>
      <c r="G36" s="243" t="s">
        <v>24205</v>
      </c>
      <c r="H36" s="232"/>
      <c r="I36" s="310" t="s">
        <v>3923</v>
      </c>
      <c r="J36" s="245" t="s">
        <v>24110</v>
      </c>
      <c r="K36" s="243" t="s">
        <v>24222</v>
      </c>
      <c r="L36" s="232">
        <v>1230</v>
      </c>
      <c r="M36" s="232" t="s">
        <v>24207</v>
      </c>
      <c r="N36" s="236">
        <v>0</v>
      </c>
      <c r="O36" s="232">
        <v>380</v>
      </c>
      <c r="P36" s="232">
        <v>380</v>
      </c>
      <c r="Q36" s="241" t="s">
        <v>24191</v>
      </c>
      <c r="R36" s="259" t="s">
        <v>24209</v>
      </c>
      <c r="S36" s="265" t="str">
        <f t="shared" si="1"/>
        <v>Thép cuộn cán nóng 2.75x123X SAE1006MINH PHÚQua cán nguội</v>
      </c>
    </row>
    <row r="37" spans="3:19" x14ac:dyDescent="0.25">
      <c r="C37" t="s">
        <v>24266</v>
      </c>
      <c r="D37" s="336" t="s">
        <v>24307</v>
      </c>
      <c r="E37" s="236" t="s">
        <v>24190</v>
      </c>
      <c r="F37" s="237" t="s">
        <v>24205</v>
      </c>
      <c r="G37" s="235" t="s">
        <v>24205</v>
      </c>
      <c r="H37" s="236"/>
      <c r="I37" s="312" t="s">
        <v>7568</v>
      </c>
      <c r="J37" s="239" t="s">
        <v>24110</v>
      </c>
      <c r="K37" s="235" t="s">
        <v>24215</v>
      </c>
      <c r="L37" s="236">
        <v>1260</v>
      </c>
      <c r="M37" s="236" t="s">
        <v>24223</v>
      </c>
      <c r="N37" s="236">
        <v>0</v>
      </c>
      <c r="O37" s="248">
        <v>1670</v>
      </c>
      <c r="P37" s="248">
        <v>1670</v>
      </c>
      <c r="Q37" s="233" t="s">
        <v>24191</v>
      </c>
      <c r="R37" s="259" t="s">
        <v>24209</v>
      </c>
      <c r="S37" s="265" t="str">
        <f t="shared" si="1"/>
        <v>Thép cuộn cán nóng 3.00x126X SAE1006MINH PHÚQua cán nguội</v>
      </c>
    </row>
    <row r="38" spans="3:19" x14ac:dyDescent="0.25">
      <c r="C38" t="s">
        <v>24300</v>
      </c>
      <c r="D38" s="242" t="s">
        <v>24309</v>
      </c>
      <c r="E38" s="232" t="s">
        <v>24133</v>
      </c>
      <c r="F38" s="244" t="s">
        <v>24205</v>
      </c>
      <c r="G38" s="244" t="s">
        <v>24205</v>
      </c>
      <c r="H38" s="232"/>
      <c r="I38" s="310" t="s">
        <v>877</v>
      </c>
      <c r="J38" s="245" t="s">
        <v>24110</v>
      </c>
      <c r="K38" s="243" t="s">
        <v>24222</v>
      </c>
      <c r="L38" s="232">
        <v>1219</v>
      </c>
      <c r="M38" s="232" t="s">
        <v>24216</v>
      </c>
      <c r="N38" s="236">
        <v>0</v>
      </c>
      <c r="O38" s="249">
        <v>8700</v>
      </c>
      <c r="P38" s="249">
        <v>8700</v>
      </c>
      <c r="Q38" s="241" t="s">
        <v>24140</v>
      </c>
      <c r="R38" s="259" t="s">
        <v>24209</v>
      </c>
      <c r="S38" s="265" t="str">
        <f t="shared" si="1"/>
        <v>Thép cuộn cán nóng 2.75x121Y SAE1006ỐNG THÉP MIỀN NAMQua cán nguội</v>
      </c>
    </row>
    <row r="39" spans="3:19" x14ac:dyDescent="0.25">
      <c r="C39" t="s">
        <v>24324</v>
      </c>
      <c r="D39" s="234" t="s">
        <v>24310</v>
      </c>
      <c r="E39" s="236" t="s">
        <v>24246</v>
      </c>
      <c r="F39" s="237" t="s">
        <v>24205</v>
      </c>
      <c r="G39" s="235" t="s">
        <v>24205</v>
      </c>
      <c r="H39" s="236" t="s">
        <v>24247</v>
      </c>
      <c r="I39" s="312" t="s">
        <v>24311</v>
      </c>
      <c r="J39" s="239" t="s">
        <v>24110</v>
      </c>
      <c r="K39" s="235" t="s">
        <v>24312</v>
      </c>
      <c r="L39" s="236">
        <v>1230</v>
      </c>
      <c r="M39" s="236" t="s">
        <v>24207</v>
      </c>
      <c r="N39" s="236">
        <v>0</v>
      </c>
      <c r="O39" s="318">
        <v>1000</v>
      </c>
      <c r="P39" s="248">
        <v>1000</v>
      </c>
      <c r="Q39" s="233" t="s">
        <v>24140</v>
      </c>
      <c r="R39" s="259" t="s">
        <v>24209</v>
      </c>
      <c r="S39" s="265" t="str">
        <f t="shared" si="1"/>
        <v>Thép cuộn cán nóng 2.35x123X SAE1006ỐNG THÉP ĐÀ NẴNGQua cán nguội</v>
      </c>
    </row>
    <row r="40" spans="3:19" x14ac:dyDescent="0.25">
      <c r="C40" t="s">
        <v>24324</v>
      </c>
      <c r="D40" s="242" t="s">
        <v>24310</v>
      </c>
      <c r="E40" s="232" t="s">
        <v>24246</v>
      </c>
      <c r="F40" s="244" t="s">
        <v>24205</v>
      </c>
      <c r="G40" s="243" t="s">
        <v>24205</v>
      </c>
      <c r="H40" s="232" t="s">
        <v>24247</v>
      </c>
      <c r="I40" s="310" t="s">
        <v>7023</v>
      </c>
      <c r="J40" s="245" t="s">
        <v>24110</v>
      </c>
      <c r="K40" s="243" t="s">
        <v>24229</v>
      </c>
      <c r="L40" s="232">
        <v>1230</v>
      </c>
      <c r="M40" s="232" t="s">
        <v>24207</v>
      </c>
      <c r="N40" s="236">
        <v>0</v>
      </c>
      <c r="O40" s="318">
        <v>1500</v>
      </c>
      <c r="P40" s="249">
        <v>1500</v>
      </c>
      <c r="Q40" s="241" t="s">
        <v>24140</v>
      </c>
      <c r="R40" s="259" t="s">
        <v>24209</v>
      </c>
      <c r="S40" s="265" t="str">
        <f t="shared" si="1"/>
        <v>Thép cuộn cán nóng 2.45x123X SAE1006ỐNG THÉP ĐÀ NẴNGQua cán nguội</v>
      </c>
    </row>
    <row r="41" spans="3:19" x14ac:dyDescent="0.25">
      <c r="C41" t="s">
        <v>24324</v>
      </c>
      <c r="D41" s="234" t="s">
        <v>24310</v>
      </c>
      <c r="E41" s="236" t="s">
        <v>24246</v>
      </c>
      <c r="F41" s="237" t="s">
        <v>24205</v>
      </c>
      <c r="G41" s="235" t="s">
        <v>24205</v>
      </c>
      <c r="H41" s="236" t="s">
        <v>24247</v>
      </c>
      <c r="I41" s="312" t="s">
        <v>3923</v>
      </c>
      <c r="J41" s="239" t="s">
        <v>24110</v>
      </c>
      <c r="K41" s="235" t="s">
        <v>24222</v>
      </c>
      <c r="L41" s="236">
        <v>1230</v>
      </c>
      <c r="M41" s="236" t="s">
        <v>24207</v>
      </c>
      <c r="N41" s="236">
        <v>0</v>
      </c>
      <c r="O41" s="318">
        <v>2000</v>
      </c>
      <c r="P41" s="248">
        <v>2000</v>
      </c>
      <c r="Q41" s="233" t="s">
        <v>24140</v>
      </c>
      <c r="R41" s="259" t="s">
        <v>24209</v>
      </c>
      <c r="S41" s="265" t="str">
        <f t="shared" si="1"/>
        <v>Thép cuộn cán nóng 2.75x123X SAE1006ỐNG THÉP ĐÀ NẴNGQua cán nguội</v>
      </c>
    </row>
    <row r="42" spans="3:19" x14ac:dyDescent="0.25">
      <c r="C42" t="s">
        <v>24324</v>
      </c>
      <c r="D42" s="242" t="s">
        <v>24310</v>
      </c>
      <c r="E42" s="232" t="s">
        <v>24246</v>
      </c>
      <c r="F42" s="244" t="s">
        <v>24205</v>
      </c>
      <c r="G42" s="243" t="s">
        <v>24205</v>
      </c>
      <c r="H42" s="232" t="s">
        <v>24247</v>
      </c>
      <c r="I42" s="310" t="s">
        <v>12269</v>
      </c>
      <c r="J42" s="245" t="s">
        <v>24110</v>
      </c>
      <c r="K42" s="243" t="s">
        <v>24219</v>
      </c>
      <c r="L42" s="232">
        <v>1230</v>
      </c>
      <c r="M42" s="232" t="s">
        <v>24207</v>
      </c>
      <c r="N42" s="236">
        <v>0</v>
      </c>
      <c r="O42" s="318">
        <v>2600</v>
      </c>
      <c r="P42" s="249">
        <v>2600</v>
      </c>
      <c r="Q42" s="241" t="s">
        <v>24140</v>
      </c>
      <c r="R42" s="259" t="s">
        <v>24209</v>
      </c>
      <c r="S42" s="265" t="str">
        <f t="shared" si="1"/>
        <v>Thép cuộn cán nóng 2.95x123X SAE1006ỐNG THÉP ĐÀ NẴNGQua cán nguội</v>
      </c>
    </row>
    <row r="43" spans="3:19" x14ac:dyDescent="0.25">
      <c r="C43" t="s">
        <v>24324</v>
      </c>
      <c r="D43" s="234" t="s">
        <v>24310</v>
      </c>
      <c r="E43" s="236" t="s">
        <v>24246</v>
      </c>
      <c r="F43" s="237" t="s">
        <v>24205</v>
      </c>
      <c r="G43" s="235" t="s">
        <v>24205</v>
      </c>
      <c r="H43" s="236" t="s">
        <v>24247</v>
      </c>
      <c r="I43" s="312" t="s">
        <v>12153</v>
      </c>
      <c r="J43" s="239" t="s">
        <v>24110</v>
      </c>
      <c r="K43" s="235" t="s">
        <v>24212</v>
      </c>
      <c r="L43" s="236">
        <v>1230</v>
      </c>
      <c r="M43" s="236" t="s">
        <v>24207</v>
      </c>
      <c r="N43" s="236">
        <v>0</v>
      </c>
      <c r="O43" s="303">
        <v>800</v>
      </c>
      <c r="P43" s="236">
        <v>800</v>
      </c>
      <c r="Q43" s="233" t="s">
        <v>24140</v>
      </c>
      <c r="R43" s="259" t="s">
        <v>24209</v>
      </c>
      <c r="S43" s="265" t="str">
        <f t="shared" si="1"/>
        <v>Thép cuộn cán nóng 3.45x123X SAE1006ỐNG THÉP ĐÀ NẴNGQua cán nguội</v>
      </c>
    </row>
    <row r="44" spans="3:19" x14ac:dyDescent="0.25">
      <c r="C44" t="s">
        <v>24325</v>
      </c>
      <c r="D44" s="311" t="s">
        <v>24316</v>
      </c>
      <c r="E44" s="241" t="s">
        <v>24250</v>
      </c>
      <c r="F44" s="241" t="s">
        <v>24214</v>
      </c>
      <c r="G44" s="241" t="s">
        <v>24205</v>
      </c>
      <c r="H44" s="241"/>
      <c r="I44" s="310" t="s">
        <v>5911</v>
      </c>
      <c r="J44" s="245" t="s">
        <v>24110</v>
      </c>
      <c r="K44" s="241" t="s">
        <v>24236</v>
      </c>
      <c r="L44" s="241">
        <v>1260</v>
      </c>
      <c r="M44" s="241" t="s">
        <v>24223</v>
      </c>
      <c r="N44" s="241">
        <v>0</v>
      </c>
      <c r="O44" s="241">
        <v>4500</v>
      </c>
      <c r="P44" s="241">
        <v>4500</v>
      </c>
      <c r="Q44" s="241" t="s">
        <v>24140</v>
      </c>
      <c r="R44" s="259" t="s">
        <v>24209</v>
      </c>
      <c r="S44" s="265" t="str">
        <f t="shared" si="1"/>
        <v>Thép cuộn cán nóng 2.25x126X SAE1006THÉP ASIAQua cán nguội</v>
      </c>
    </row>
    <row r="45" spans="3:19" x14ac:dyDescent="0.25">
      <c r="C45" t="s">
        <v>24296</v>
      </c>
      <c r="D45" s="234" t="s">
        <v>24318</v>
      </c>
      <c r="E45" s="236" t="s">
        <v>24127</v>
      </c>
      <c r="F45" s="237" t="s">
        <v>24205</v>
      </c>
      <c r="G45" s="235" t="s">
        <v>24205</v>
      </c>
      <c r="H45" s="236" t="s">
        <v>24319</v>
      </c>
      <c r="I45" s="312" t="s">
        <v>6939</v>
      </c>
      <c r="J45" s="239" t="s">
        <v>24110</v>
      </c>
      <c r="K45" s="235" t="s">
        <v>24320</v>
      </c>
      <c r="L45" s="236">
        <v>1230</v>
      </c>
      <c r="M45" s="236" t="s">
        <v>24207</v>
      </c>
      <c r="N45" s="304">
        <v>500</v>
      </c>
      <c r="O45" s="236">
        <v>0</v>
      </c>
      <c r="P45" s="236">
        <v>500</v>
      </c>
      <c r="Q45" s="233" t="s">
        <v>24321</v>
      </c>
      <c r="R45" s="259" t="s">
        <v>24209</v>
      </c>
      <c r="S45" s="265" t="str">
        <f t="shared" si="1"/>
        <v>Thép cuộn cán nóng 4.00x123X SAE1006HOA SENQua cán nguội</v>
      </c>
    </row>
    <row r="46" spans="3:19" x14ac:dyDescent="0.25">
      <c r="C46" t="s">
        <v>24296</v>
      </c>
      <c r="D46" s="242" t="s">
        <v>24323</v>
      </c>
      <c r="E46" s="232" t="s">
        <v>24127</v>
      </c>
      <c r="F46" s="244" t="s">
        <v>24205</v>
      </c>
      <c r="G46" s="243" t="s">
        <v>24205</v>
      </c>
      <c r="H46" s="232" t="s">
        <v>24349</v>
      </c>
      <c r="I46" s="310" t="s">
        <v>5943</v>
      </c>
      <c r="J46" s="245" t="s">
        <v>24110</v>
      </c>
      <c r="K46" s="243" t="s">
        <v>24320</v>
      </c>
      <c r="L46" s="232">
        <v>1260</v>
      </c>
      <c r="M46" s="232" t="s">
        <v>24223</v>
      </c>
      <c r="N46" s="302">
        <v>1000</v>
      </c>
      <c r="O46" s="236">
        <v>0</v>
      </c>
      <c r="P46" s="249">
        <v>1000</v>
      </c>
      <c r="Q46" s="241" t="s">
        <v>24321</v>
      </c>
      <c r="R46" s="259" t="s">
        <v>24209</v>
      </c>
      <c r="S46" s="265" t="str">
        <f t="shared" si="1"/>
        <v>Thép cuộn cán nóng 4.00x126X SAE1006HOA SENQua cán nguội</v>
      </c>
    </row>
    <row r="47" spans="3:19" x14ac:dyDescent="0.25">
      <c r="C47" t="s">
        <v>24266</v>
      </c>
      <c r="D47" s="234" t="s">
        <v>24350</v>
      </c>
      <c r="E47" s="236" t="s">
        <v>24133</v>
      </c>
      <c r="F47" s="237"/>
      <c r="G47" s="235"/>
      <c r="H47" s="236"/>
      <c r="I47" s="312" t="s">
        <v>7391</v>
      </c>
      <c r="J47" s="239" t="s">
        <v>24110</v>
      </c>
      <c r="K47" s="235" t="s">
        <v>24234</v>
      </c>
      <c r="L47" s="236">
        <v>1212</v>
      </c>
      <c r="M47" s="236" t="s">
        <v>24227</v>
      </c>
      <c r="N47" s="236">
        <v>0</v>
      </c>
      <c r="O47" s="318">
        <v>3500</v>
      </c>
      <c r="P47" s="248">
        <v>3500</v>
      </c>
      <c r="Q47" s="233" t="s">
        <v>24191</v>
      </c>
      <c r="R47" s="259" t="s">
        <v>24209</v>
      </c>
      <c r="S47" s="265" t="str">
        <f t="shared" si="1"/>
        <v>Thép cuộn cán nóng 2.30x121X SAE1006MINH PHÚQua cán nguội</v>
      </c>
    </row>
    <row r="48" spans="3:19" x14ac:dyDescent="0.25">
      <c r="C48" t="s">
        <v>24266</v>
      </c>
      <c r="D48" s="242" t="s">
        <v>24350</v>
      </c>
      <c r="E48" s="232" t="s">
        <v>24133</v>
      </c>
      <c r="F48" s="244"/>
      <c r="G48" s="243"/>
      <c r="H48" s="232"/>
      <c r="I48" s="310" t="s">
        <v>7568</v>
      </c>
      <c r="J48" s="245" t="s">
        <v>24110</v>
      </c>
      <c r="K48" s="243" t="s">
        <v>24215</v>
      </c>
      <c r="L48" s="232">
        <v>1260</v>
      </c>
      <c r="M48" s="232" t="s">
        <v>24223</v>
      </c>
      <c r="N48" s="236">
        <v>0</v>
      </c>
      <c r="O48" s="318">
        <v>1100</v>
      </c>
      <c r="P48" s="249">
        <v>1100</v>
      </c>
      <c r="Q48" s="241" t="s">
        <v>24191</v>
      </c>
      <c r="R48" s="259" t="s">
        <v>24209</v>
      </c>
      <c r="S48" s="265" t="str">
        <f t="shared" si="1"/>
        <v>Thép cuộn cán nóng 3.00x126X SAE1006MINH PHÚQua cán nguội</v>
      </c>
    </row>
    <row r="49" spans="2:19" x14ac:dyDescent="0.25">
      <c r="C49" t="s">
        <v>24325</v>
      </c>
      <c r="D49" s="234" t="s">
        <v>24316</v>
      </c>
      <c r="E49" s="236" t="s">
        <v>24250</v>
      </c>
      <c r="F49" s="237" t="s">
        <v>24214</v>
      </c>
      <c r="G49" s="235" t="s">
        <v>24205</v>
      </c>
      <c r="H49" s="236"/>
      <c r="I49" s="312" t="s">
        <v>6901</v>
      </c>
      <c r="J49" s="239" t="s">
        <v>24110</v>
      </c>
      <c r="K49" s="235" t="s">
        <v>24228</v>
      </c>
      <c r="L49" s="236">
        <v>1260</v>
      </c>
      <c r="M49" s="236" t="s">
        <v>24223</v>
      </c>
      <c r="N49" s="236">
        <v>0</v>
      </c>
      <c r="O49" s="248">
        <v>3500</v>
      </c>
      <c r="P49" s="248">
        <v>3500</v>
      </c>
      <c r="Q49" s="233" t="s">
        <v>24140</v>
      </c>
      <c r="R49" s="259" t="s">
        <v>24209</v>
      </c>
      <c r="S49" s="265" t="str">
        <f t="shared" si="1"/>
        <v>Thép cuộn cán nóng 2.50x126X SAE1006THÉP ASIAQua cán nguội</v>
      </c>
    </row>
    <row r="50" spans="2:19" x14ac:dyDescent="0.25">
      <c r="C50" t="s">
        <v>24325</v>
      </c>
      <c r="D50" s="242" t="s">
        <v>24316</v>
      </c>
      <c r="E50" s="232" t="s">
        <v>24250</v>
      </c>
      <c r="F50" s="244" t="s">
        <v>24214</v>
      </c>
      <c r="G50" s="243" t="s">
        <v>24205</v>
      </c>
      <c r="H50" s="232"/>
      <c r="I50" s="310" t="s">
        <v>5018</v>
      </c>
      <c r="J50" s="245" t="s">
        <v>24110</v>
      </c>
      <c r="K50" s="243" t="s">
        <v>24222</v>
      </c>
      <c r="L50" s="232">
        <v>1260</v>
      </c>
      <c r="M50" s="232" t="s">
        <v>24223</v>
      </c>
      <c r="N50" s="232">
        <v>0</v>
      </c>
      <c r="O50" s="249">
        <v>1200</v>
      </c>
      <c r="P50" s="249">
        <v>1200</v>
      </c>
      <c r="Q50" s="241" t="s">
        <v>24140</v>
      </c>
      <c r="R50" s="259" t="s">
        <v>24209</v>
      </c>
      <c r="S50" s="265" t="str">
        <f t="shared" si="1"/>
        <v>Thép cuộn cán nóng 2.75x126X SAE1006THÉP ASIAQua cán nguội</v>
      </c>
    </row>
    <row r="51" spans="2:19" x14ac:dyDescent="0.25">
      <c r="S51" s="265" t="str">
        <f t="shared" si="1"/>
        <v/>
      </c>
    </row>
    <row r="52" spans="2:19" x14ac:dyDescent="0.25">
      <c r="B52" t="s">
        <v>24352</v>
      </c>
      <c r="C52" t="s">
        <v>24353</v>
      </c>
      <c r="D52" s="242" t="s">
        <v>24351</v>
      </c>
      <c r="E52" s="232" t="s">
        <v>24127</v>
      </c>
      <c r="I52" s="312" t="s">
        <v>7058</v>
      </c>
      <c r="O52">
        <v>500</v>
      </c>
      <c r="Q52" s="233" t="s">
        <v>24321</v>
      </c>
      <c r="R52" s="259" t="s">
        <v>24209</v>
      </c>
      <c r="S52" s="265" t="str">
        <f t="shared" si="1"/>
        <v>Thép cuộn cán nóng 2.50x121X SAE1006Hoa senQua cán nguội</v>
      </c>
    </row>
    <row r="59" spans="2:19" x14ac:dyDescent="0.25">
      <c r="C59" t="s">
        <v>24368</v>
      </c>
      <c r="D59" s="297" t="s">
        <v>24309</v>
      </c>
      <c r="E59" s="227" t="s">
        <v>24133</v>
      </c>
      <c r="F59" s="227" t="s">
        <v>24205</v>
      </c>
      <c r="G59" s="227" t="s">
        <v>24205</v>
      </c>
      <c r="H59" s="227"/>
      <c r="I59" s="313" t="s">
        <v>877</v>
      </c>
      <c r="J59" s="337" t="s">
        <v>24110</v>
      </c>
      <c r="K59" s="227" t="s">
        <v>24222</v>
      </c>
      <c r="L59" s="227">
        <v>1219</v>
      </c>
      <c r="M59" s="227" t="s">
        <v>24216</v>
      </c>
      <c r="N59" s="227"/>
      <c r="O59" s="227">
        <v>15000</v>
      </c>
      <c r="P59" s="227">
        <v>15000</v>
      </c>
      <c r="Q59" s="227" t="s">
        <v>24140</v>
      </c>
      <c r="R59" s="259" t="s">
        <v>24209</v>
      </c>
      <c r="S59" t="str">
        <f>I59&amp;C59&amp;R59</f>
        <v>Thép cuộn cán nóng 2.75x121Y SAE1006MINH NGỌCQua cán nguội</v>
      </c>
    </row>
    <row r="60" spans="2:19" x14ac:dyDescent="0.25">
      <c r="C60" t="s">
        <v>24369</v>
      </c>
      <c r="D60" s="234" t="s">
        <v>24355</v>
      </c>
      <c r="E60" s="236" t="s">
        <v>24356</v>
      </c>
      <c r="F60" s="237" t="s">
        <v>24205</v>
      </c>
      <c r="G60" s="235" t="s">
        <v>24205</v>
      </c>
      <c r="H60" s="236" t="s">
        <v>24357</v>
      </c>
      <c r="I60" s="312" t="s">
        <v>7560</v>
      </c>
      <c r="J60" s="239" t="s">
        <v>24110</v>
      </c>
      <c r="K60" s="235" t="s">
        <v>24358</v>
      </c>
      <c r="L60" s="236">
        <v>1260</v>
      </c>
      <c r="M60" s="236" t="s">
        <v>24223</v>
      </c>
      <c r="N60" s="304">
        <v>600</v>
      </c>
      <c r="O60" s="303"/>
      <c r="P60" s="236">
        <v>600</v>
      </c>
      <c r="Q60" s="233" t="s">
        <v>24321</v>
      </c>
      <c r="R60" s="259" t="s">
        <v>24209</v>
      </c>
      <c r="S60" t="str">
        <f t="shared" ref="S60:S83" si="2">I60&amp;C60&amp;R60</f>
        <v>Thép cuộn cán nóng 3.95x126X SAE1006TÔN HÒA PHÁTQua cán nguội</v>
      </c>
    </row>
    <row r="61" spans="2:19" x14ac:dyDescent="0.25">
      <c r="C61" t="s">
        <v>24296</v>
      </c>
      <c r="D61" s="242" t="s">
        <v>24323</v>
      </c>
      <c r="E61" s="232" t="s">
        <v>24127</v>
      </c>
      <c r="F61" s="244" t="s">
        <v>24205</v>
      </c>
      <c r="G61" s="243" t="s">
        <v>24205</v>
      </c>
      <c r="H61" s="232" t="s">
        <v>24349</v>
      </c>
      <c r="I61" s="310" t="s">
        <v>6120</v>
      </c>
      <c r="J61" s="245" t="s">
        <v>24110</v>
      </c>
      <c r="K61" s="243" t="s">
        <v>24359</v>
      </c>
      <c r="L61" s="232">
        <v>1260</v>
      </c>
      <c r="M61" s="232" t="s">
        <v>24223</v>
      </c>
      <c r="N61" s="302">
        <v>1050</v>
      </c>
      <c r="O61" s="303"/>
      <c r="P61" s="249">
        <v>1050</v>
      </c>
      <c r="Q61" s="241" t="s">
        <v>24321</v>
      </c>
      <c r="R61" s="259" t="s">
        <v>24209</v>
      </c>
      <c r="S61" t="str">
        <f t="shared" si="2"/>
        <v>Thép cuộn cán nóng 2.80x126X SAE1006HOA SENQua cán nguội</v>
      </c>
    </row>
    <row r="62" spans="2:19" x14ac:dyDescent="0.25">
      <c r="C62" t="s">
        <v>24296</v>
      </c>
      <c r="D62" s="234" t="s">
        <v>24323</v>
      </c>
      <c r="E62" s="236" t="s">
        <v>24127</v>
      </c>
      <c r="F62" s="237" t="s">
        <v>24205</v>
      </c>
      <c r="G62" s="235" t="s">
        <v>24205</v>
      </c>
      <c r="H62" s="236" t="s">
        <v>24349</v>
      </c>
      <c r="I62" s="312" t="s">
        <v>6125</v>
      </c>
      <c r="J62" s="239" t="s">
        <v>24110</v>
      </c>
      <c r="K62" s="235" t="s">
        <v>24360</v>
      </c>
      <c r="L62" s="236">
        <v>1260</v>
      </c>
      <c r="M62" s="236" t="s">
        <v>24223</v>
      </c>
      <c r="N62" s="302">
        <v>1110</v>
      </c>
      <c r="O62" s="303"/>
      <c r="P62" s="248">
        <v>1110</v>
      </c>
      <c r="Q62" s="233" t="s">
        <v>24321</v>
      </c>
      <c r="R62" s="259" t="s">
        <v>24209</v>
      </c>
      <c r="S62" t="str">
        <f t="shared" si="2"/>
        <v>Thép cuộn cán nóng 3.20x126X SAE1006HOA SENQua cán nguội</v>
      </c>
    </row>
    <row r="63" spans="2:19" x14ac:dyDescent="0.25">
      <c r="C63" t="s">
        <v>24296</v>
      </c>
      <c r="D63" s="242" t="s">
        <v>24323</v>
      </c>
      <c r="E63" s="232" t="s">
        <v>24127</v>
      </c>
      <c r="F63" s="244" t="s">
        <v>24205</v>
      </c>
      <c r="G63" s="243" t="s">
        <v>24205</v>
      </c>
      <c r="H63" s="232" t="s">
        <v>24319</v>
      </c>
      <c r="I63" s="310" t="s">
        <v>5794</v>
      </c>
      <c r="J63" s="245" t="s">
        <v>24110</v>
      </c>
      <c r="K63" s="243" t="s">
        <v>24206</v>
      </c>
      <c r="L63" s="232">
        <v>1260</v>
      </c>
      <c r="M63" s="232" t="s">
        <v>24223</v>
      </c>
      <c r="N63" s="304">
        <v>560</v>
      </c>
      <c r="O63" s="303"/>
      <c r="P63" s="232">
        <v>560</v>
      </c>
      <c r="Q63" s="241" t="s">
        <v>24321</v>
      </c>
      <c r="R63" s="259" t="s">
        <v>24209</v>
      </c>
      <c r="S63" t="str">
        <f t="shared" si="2"/>
        <v>Thép cuộn cán nóng 3.80x126X SAE1006HOA SENQua cán nguội</v>
      </c>
    </row>
    <row r="64" spans="2:19" x14ac:dyDescent="0.25">
      <c r="C64" t="s">
        <v>24296</v>
      </c>
      <c r="D64" s="234" t="s">
        <v>24323</v>
      </c>
      <c r="E64" s="236" t="s">
        <v>24127</v>
      </c>
      <c r="F64" s="237" t="s">
        <v>24205</v>
      </c>
      <c r="G64" s="235" t="s">
        <v>24205</v>
      </c>
      <c r="H64" s="236" t="s">
        <v>24319</v>
      </c>
      <c r="I64" s="312" t="s">
        <v>14206</v>
      </c>
      <c r="J64" s="239" t="s">
        <v>24110</v>
      </c>
      <c r="K64" s="235" t="s">
        <v>24359</v>
      </c>
      <c r="L64" s="236">
        <v>1200</v>
      </c>
      <c r="M64" s="236" t="s">
        <v>24218</v>
      </c>
      <c r="N64" s="304">
        <v>140</v>
      </c>
      <c r="O64" s="303"/>
      <c r="P64" s="236">
        <v>140</v>
      </c>
      <c r="Q64" s="233" t="s">
        <v>24321</v>
      </c>
      <c r="R64" s="259" t="s">
        <v>24209</v>
      </c>
      <c r="S64" t="str">
        <f t="shared" si="2"/>
        <v>Thép cuộn cán nóng 2.80x120X SAE1006HOA SENQua cán nguội</v>
      </c>
    </row>
    <row r="65" spans="3:19" x14ac:dyDescent="0.25">
      <c r="C65" t="s">
        <v>24296</v>
      </c>
      <c r="D65" s="242" t="s">
        <v>24323</v>
      </c>
      <c r="E65" s="232" t="s">
        <v>24127</v>
      </c>
      <c r="F65" s="244" t="s">
        <v>24205</v>
      </c>
      <c r="G65" s="243" t="s">
        <v>24205</v>
      </c>
      <c r="H65" s="232" t="s">
        <v>24361</v>
      </c>
      <c r="I65" s="310" t="s">
        <v>14214</v>
      </c>
      <c r="J65" s="245" t="s">
        <v>24110</v>
      </c>
      <c r="K65" s="243" t="s">
        <v>24362</v>
      </c>
      <c r="L65" s="232">
        <v>1200</v>
      </c>
      <c r="M65" s="232" t="s">
        <v>24218</v>
      </c>
      <c r="N65" s="304">
        <v>310</v>
      </c>
      <c r="O65" s="303"/>
      <c r="P65" s="232">
        <v>310</v>
      </c>
      <c r="Q65" s="241" t="s">
        <v>24321</v>
      </c>
      <c r="R65" s="259" t="s">
        <v>24209</v>
      </c>
      <c r="S65" t="str">
        <f t="shared" si="2"/>
        <v>Thép cuộn cán nóng 3.50x120X SAE1006HOA SENQua cán nguội</v>
      </c>
    </row>
    <row r="66" spans="3:19" x14ac:dyDescent="0.25">
      <c r="C66" t="s">
        <v>24296</v>
      </c>
      <c r="D66" s="234" t="s">
        <v>24323</v>
      </c>
      <c r="E66" s="236" t="s">
        <v>24127</v>
      </c>
      <c r="F66" s="237" t="s">
        <v>24205</v>
      </c>
      <c r="G66" s="235" t="s">
        <v>24205</v>
      </c>
      <c r="H66" s="236" t="s">
        <v>24319</v>
      </c>
      <c r="I66" s="312" t="s">
        <v>7006</v>
      </c>
      <c r="J66" s="239" t="s">
        <v>24110</v>
      </c>
      <c r="K66" s="235" t="s">
        <v>24215</v>
      </c>
      <c r="L66" s="236">
        <v>1200</v>
      </c>
      <c r="M66" s="236" t="s">
        <v>24218</v>
      </c>
      <c r="N66" s="304">
        <v>75</v>
      </c>
      <c r="O66" s="303"/>
      <c r="P66" s="236">
        <v>75</v>
      </c>
      <c r="Q66" s="233" t="s">
        <v>24321</v>
      </c>
      <c r="R66" s="259" t="s">
        <v>24209</v>
      </c>
      <c r="S66" t="str">
        <f t="shared" si="2"/>
        <v>Thép cuộn cán nóng 3.00x120X SAE1006HOA SENQua cán nguội</v>
      </c>
    </row>
    <row r="67" spans="3:19" x14ac:dyDescent="0.25">
      <c r="C67" t="s">
        <v>24261</v>
      </c>
      <c r="D67" s="242" t="s">
        <v>24363</v>
      </c>
      <c r="E67" s="232" t="s">
        <v>24246</v>
      </c>
      <c r="F67" s="244" t="s">
        <v>24205</v>
      </c>
      <c r="G67" s="243" t="s">
        <v>24205</v>
      </c>
      <c r="H67" s="232"/>
      <c r="I67" s="310" t="s">
        <v>7023</v>
      </c>
      <c r="J67" s="245" t="s">
        <v>24110</v>
      </c>
      <c r="K67" s="243" t="s">
        <v>24229</v>
      </c>
      <c r="L67" s="232">
        <v>1230</v>
      </c>
      <c r="M67" s="232" t="s">
        <v>24207</v>
      </c>
      <c r="N67" s="232"/>
      <c r="O67" s="232">
        <v>700</v>
      </c>
      <c r="P67" s="232">
        <v>700</v>
      </c>
      <c r="Q67" s="241" t="s">
        <v>24140</v>
      </c>
      <c r="R67" s="259" t="s">
        <v>24209</v>
      </c>
      <c r="S67" t="str">
        <f t="shared" si="2"/>
        <v>Thép cuộn cán nóng 2.45x123X SAE1006ỐNG THÉP BÌNH DƯƠNGQua cán nguội</v>
      </c>
    </row>
    <row r="68" spans="3:19" x14ac:dyDescent="0.25">
      <c r="C68" t="s">
        <v>24261</v>
      </c>
      <c r="D68" s="234" t="s">
        <v>24363</v>
      </c>
      <c r="E68" s="236" t="s">
        <v>24246</v>
      </c>
      <c r="F68" s="237" t="s">
        <v>24205</v>
      </c>
      <c r="G68" s="235" t="s">
        <v>24205</v>
      </c>
      <c r="H68" s="236"/>
      <c r="I68" s="312" t="s">
        <v>6714</v>
      </c>
      <c r="J68" s="239" t="s">
        <v>24110</v>
      </c>
      <c r="K68" s="235" t="s">
        <v>24229</v>
      </c>
      <c r="L68" s="236">
        <v>1250</v>
      </c>
      <c r="M68" s="236" t="s">
        <v>24211</v>
      </c>
      <c r="N68" s="236"/>
      <c r="O68" s="236">
        <v>800</v>
      </c>
      <c r="P68" s="236">
        <v>800</v>
      </c>
      <c r="Q68" s="233" t="s">
        <v>24140</v>
      </c>
      <c r="R68" s="259" t="s">
        <v>24209</v>
      </c>
      <c r="S68" t="str">
        <f t="shared" si="2"/>
        <v>Thép cuộn cán nóng 2.45x125X SAE1006ỐNG THÉP BÌNH DƯƠNGQua cán nguội</v>
      </c>
    </row>
    <row r="69" spans="3:19" x14ac:dyDescent="0.25">
      <c r="C69" t="s">
        <v>24261</v>
      </c>
      <c r="D69" s="242" t="s">
        <v>24363</v>
      </c>
      <c r="E69" s="232" t="s">
        <v>24246</v>
      </c>
      <c r="F69" s="244" t="s">
        <v>24205</v>
      </c>
      <c r="G69" s="243" t="s">
        <v>24205</v>
      </c>
      <c r="H69" s="232"/>
      <c r="I69" s="310" t="s">
        <v>3923</v>
      </c>
      <c r="J69" s="245" t="s">
        <v>24110</v>
      </c>
      <c r="K69" s="243" t="s">
        <v>24222</v>
      </c>
      <c r="L69" s="232">
        <v>1230</v>
      </c>
      <c r="M69" s="232" t="s">
        <v>24207</v>
      </c>
      <c r="N69" s="232"/>
      <c r="O69" s="232">
        <v>500</v>
      </c>
      <c r="P69" s="232">
        <v>500</v>
      </c>
      <c r="Q69" s="241" t="s">
        <v>24140</v>
      </c>
      <c r="R69" s="259" t="s">
        <v>24209</v>
      </c>
      <c r="S69" t="str">
        <f t="shared" si="2"/>
        <v>Thép cuộn cán nóng 2.75x123X SAE1006ỐNG THÉP BÌNH DƯƠNGQua cán nguội</v>
      </c>
    </row>
    <row r="70" spans="3:19" x14ac:dyDescent="0.25">
      <c r="C70" t="s">
        <v>24261</v>
      </c>
      <c r="D70" s="234" t="s">
        <v>24363</v>
      </c>
      <c r="E70" s="236" t="s">
        <v>24246</v>
      </c>
      <c r="F70" s="237" t="s">
        <v>24205</v>
      </c>
      <c r="G70" s="235" t="s">
        <v>24205</v>
      </c>
      <c r="H70" s="236"/>
      <c r="I70" s="312" t="s">
        <v>9639</v>
      </c>
      <c r="J70" s="239" t="s">
        <v>24110</v>
      </c>
      <c r="K70" s="235" t="s">
        <v>24222</v>
      </c>
      <c r="L70" s="236">
        <v>1250</v>
      </c>
      <c r="M70" s="236" t="s">
        <v>24211</v>
      </c>
      <c r="N70" s="236"/>
      <c r="O70" s="236">
        <v>300</v>
      </c>
      <c r="P70" s="236">
        <v>300</v>
      </c>
      <c r="Q70" s="233" t="s">
        <v>24140</v>
      </c>
      <c r="R70" s="259" t="s">
        <v>24209</v>
      </c>
      <c r="S70" t="str">
        <f t="shared" si="2"/>
        <v>Thép cuộn cán nóng 2.75x125X SAE1006ỐNG THÉP BÌNH DƯƠNGQua cán nguội</v>
      </c>
    </row>
    <row r="71" spans="3:19" x14ac:dyDescent="0.25">
      <c r="C71" t="s">
        <v>24261</v>
      </c>
      <c r="D71" s="242" t="s">
        <v>24363</v>
      </c>
      <c r="E71" s="232" t="s">
        <v>24246</v>
      </c>
      <c r="F71" s="244" t="s">
        <v>24205</v>
      </c>
      <c r="G71" s="243" t="s">
        <v>24205</v>
      </c>
      <c r="H71" s="232"/>
      <c r="I71" s="310" t="s">
        <v>12269</v>
      </c>
      <c r="J71" s="245" t="s">
        <v>24110</v>
      </c>
      <c r="K71" s="243" t="s">
        <v>24219</v>
      </c>
      <c r="L71" s="232">
        <v>1230</v>
      </c>
      <c r="M71" s="232" t="s">
        <v>24207</v>
      </c>
      <c r="N71" s="232"/>
      <c r="O71" s="232">
        <v>700</v>
      </c>
      <c r="P71" s="232">
        <v>700</v>
      </c>
      <c r="Q71" s="241" t="s">
        <v>24140</v>
      </c>
      <c r="R71" s="259" t="s">
        <v>24209</v>
      </c>
      <c r="S71" t="str">
        <f t="shared" si="2"/>
        <v>Thép cuộn cán nóng 2.95x123X SAE1006ỐNG THÉP BÌNH DƯƠNGQua cán nguội</v>
      </c>
    </row>
    <row r="72" spans="3:19" x14ac:dyDescent="0.25">
      <c r="C72" t="s">
        <v>24261</v>
      </c>
      <c r="D72" s="234" t="s">
        <v>24363</v>
      </c>
      <c r="E72" s="236" t="s">
        <v>24246</v>
      </c>
      <c r="F72" s="237" t="s">
        <v>24205</v>
      </c>
      <c r="G72" s="235" t="s">
        <v>24205</v>
      </c>
      <c r="H72" s="236"/>
      <c r="I72" s="312" t="s">
        <v>4993</v>
      </c>
      <c r="J72" s="239" t="s">
        <v>24110</v>
      </c>
      <c r="K72" s="235" t="s">
        <v>24215</v>
      </c>
      <c r="L72" s="236">
        <v>1250</v>
      </c>
      <c r="M72" s="236" t="s">
        <v>24211</v>
      </c>
      <c r="N72" s="236"/>
      <c r="O72" s="236">
        <v>600</v>
      </c>
      <c r="P72" s="236">
        <v>600</v>
      </c>
      <c r="Q72" s="233" t="s">
        <v>24140</v>
      </c>
      <c r="R72" s="259" t="s">
        <v>24209</v>
      </c>
      <c r="S72" t="str">
        <f t="shared" si="2"/>
        <v>Thép cuộn cán nóng 3.00x125X SAE1006ỐNG THÉP BÌNH DƯƠNGQua cán nguội</v>
      </c>
    </row>
    <row r="73" spans="3:19" x14ac:dyDescent="0.25">
      <c r="C73" t="s">
        <v>24261</v>
      </c>
      <c r="D73" s="242" t="s">
        <v>24363</v>
      </c>
      <c r="E73" s="232" t="s">
        <v>24246</v>
      </c>
      <c r="F73" s="244" t="s">
        <v>24205</v>
      </c>
      <c r="G73" s="243" t="s">
        <v>24205</v>
      </c>
      <c r="H73" s="232"/>
      <c r="I73" s="310" t="s">
        <v>12207</v>
      </c>
      <c r="J73" s="245" t="s">
        <v>24110</v>
      </c>
      <c r="K73" s="243" t="s">
        <v>24213</v>
      </c>
      <c r="L73" s="232">
        <v>1230</v>
      </c>
      <c r="M73" s="232" t="s">
        <v>24207</v>
      </c>
      <c r="N73" s="232"/>
      <c r="O73" s="232">
        <v>300</v>
      </c>
      <c r="P73" s="232">
        <v>300</v>
      </c>
      <c r="Q73" s="241" t="s">
        <v>24140</v>
      </c>
      <c r="R73" s="259" t="s">
        <v>24209</v>
      </c>
      <c r="S73" t="str">
        <f t="shared" si="2"/>
        <v>Thép cuộn cán nóng 3.15x123X SAE1006ỐNG THÉP BÌNH DƯƠNGQua cán nguội</v>
      </c>
    </row>
    <row r="74" spans="3:19" x14ac:dyDescent="0.25">
      <c r="C74" t="s">
        <v>24261</v>
      </c>
      <c r="D74" s="234" t="s">
        <v>24363</v>
      </c>
      <c r="E74" s="236" t="s">
        <v>24246</v>
      </c>
      <c r="F74" s="237" t="s">
        <v>24205</v>
      </c>
      <c r="G74" s="235" t="s">
        <v>24205</v>
      </c>
      <c r="H74" s="236"/>
      <c r="I74" s="312" t="s">
        <v>12153</v>
      </c>
      <c r="J74" s="239" t="s">
        <v>24110</v>
      </c>
      <c r="K74" s="235" t="s">
        <v>24212</v>
      </c>
      <c r="L74" s="236">
        <v>1230</v>
      </c>
      <c r="M74" s="236" t="s">
        <v>24207</v>
      </c>
      <c r="N74" s="236"/>
      <c r="O74" s="236">
        <v>300</v>
      </c>
      <c r="P74" s="236">
        <v>300</v>
      </c>
      <c r="Q74" s="233" t="s">
        <v>24140</v>
      </c>
      <c r="R74" s="259" t="s">
        <v>24209</v>
      </c>
      <c r="S74" t="str">
        <f t="shared" si="2"/>
        <v>Thép cuộn cán nóng 3.45x123X SAE1006ỐNG THÉP BÌNH DƯƠNGQua cán nguội</v>
      </c>
    </row>
    <row r="75" spans="3:19" x14ac:dyDescent="0.25">
      <c r="C75" t="s">
        <v>24261</v>
      </c>
      <c r="D75" s="242" t="s">
        <v>24363</v>
      </c>
      <c r="E75" s="232" t="s">
        <v>24246</v>
      </c>
      <c r="F75" s="244" t="s">
        <v>24205</v>
      </c>
      <c r="G75" s="243" t="s">
        <v>24205</v>
      </c>
      <c r="H75" s="232"/>
      <c r="I75" s="310" t="s">
        <v>5028</v>
      </c>
      <c r="J75" s="245" t="s">
        <v>24110</v>
      </c>
      <c r="K75" s="243" t="s">
        <v>24212</v>
      </c>
      <c r="L75" s="232">
        <v>1250</v>
      </c>
      <c r="M75" s="232" t="s">
        <v>24211</v>
      </c>
      <c r="N75" s="232"/>
      <c r="O75" s="232">
        <v>220</v>
      </c>
      <c r="P75" s="232">
        <v>220</v>
      </c>
      <c r="Q75" s="241" t="s">
        <v>24140</v>
      </c>
      <c r="R75" s="259" t="s">
        <v>24209</v>
      </c>
      <c r="S75" t="str">
        <f t="shared" si="2"/>
        <v>Thép cuộn cán nóng 3.45x125X SAE1006ỐNG THÉP BÌNH DƯƠNGQua cán nguội</v>
      </c>
    </row>
    <row r="76" spans="3:19" x14ac:dyDescent="0.25">
      <c r="C76" t="s">
        <v>24261</v>
      </c>
      <c r="D76" s="234" t="s">
        <v>24363</v>
      </c>
      <c r="E76" s="236" t="s">
        <v>24246</v>
      </c>
      <c r="F76" s="237" t="s">
        <v>24205</v>
      </c>
      <c r="G76" s="235" t="s">
        <v>24205</v>
      </c>
      <c r="H76" s="236"/>
      <c r="I76" s="312" t="s">
        <v>5809</v>
      </c>
      <c r="J76" s="239" t="s">
        <v>24110</v>
      </c>
      <c r="K76" s="235" t="s">
        <v>24206</v>
      </c>
      <c r="L76" s="236">
        <v>1230</v>
      </c>
      <c r="M76" s="236" t="s">
        <v>24207</v>
      </c>
      <c r="N76" s="236"/>
      <c r="O76" s="236">
        <v>200</v>
      </c>
      <c r="P76" s="236">
        <v>200</v>
      </c>
      <c r="Q76" s="233" t="s">
        <v>24140</v>
      </c>
      <c r="R76" s="259" t="s">
        <v>24209</v>
      </c>
      <c r="S76" t="str">
        <f t="shared" si="2"/>
        <v>Thép cuộn cán nóng 3.80x123X SAE1006ỐNG THÉP BÌNH DƯƠNGQua cán nguội</v>
      </c>
    </row>
    <row r="77" spans="3:19" x14ac:dyDescent="0.25">
      <c r="C77" t="s">
        <v>24261</v>
      </c>
      <c r="D77" s="242" t="s">
        <v>24363</v>
      </c>
      <c r="E77" s="232" t="s">
        <v>24246</v>
      </c>
      <c r="F77" s="244" t="s">
        <v>24205</v>
      </c>
      <c r="G77" s="243" t="s">
        <v>24205</v>
      </c>
      <c r="H77" s="232"/>
      <c r="I77" s="310" t="s">
        <v>24210</v>
      </c>
      <c r="J77" s="245" t="s">
        <v>24110</v>
      </c>
      <c r="K77" s="243" t="s">
        <v>24206</v>
      </c>
      <c r="L77" s="232">
        <v>1250</v>
      </c>
      <c r="M77" s="232" t="s">
        <v>24211</v>
      </c>
      <c r="N77" s="232"/>
      <c r="O77" s="232">
        <v>160</v>
      </c>
      <c r="P77" s="232">
        <v>160</v>
      </c>
      <c r="Q77" s="241" t="s">
        <v>24140</v>
      </c>
      <c r="R77" s="259" t="s">
        <v>24209</v>
      </c>
      <c r="S77" t="str">
        <f t="shared" si="2"/>
        <v>Thép cuộn cán nóng 3.80x125X SAE1006ỐNG THÉP BÌNH DƯƠNGQua cán nguội</v>
      </c>
    </row>
    <row r="78" spans="3:19" x14ac:dyDescent="0.25">
      <c r="C78" t="s">
        <v>24368</v>
      </c>
      <c r="D78" s="234" t="s">
        <v>24364</v>
      </c>
      <c r="E78" s="236" t="s">
        <v>24133</v>
      </c>
      <c r="F78" s="237" t="s">
        <v>24205</v>
      </c>
      <c r="G78" s="235" t="s">
        <v>24205</v>
      </c>
      <c r="H78" s="236"/>
      <c r="I78" s="312" t="s">
        <v>877</v>
      </c>
      <c r="J78" s="239" t="s">
        <v>24110</v>
      </c>
      <c r="K78" s="235" t="s">
        <v>24222</v>
      </c>
      <c r="L78" s="236">
        <v>1219</v>
      </c>
      <c r="M78" s="236" t="s">
        <v>24216</v>
      </c>
      <c r="N78" s="304"/>
      <c r="O78" s="318">
        <v>7000</v>
      </c>
      <c r="P78" s="248">
        <v>7000</v>
      </c>
      <c r="Q78" s="233" t="s">
        <v>24140</v>
      </c>
      <c r="R78" s="259" t="s">
        <v>24209</v>
      </c>
      <c r="S78" t="str">
        <f t="shared" si="2"/>
        <v>Thép cuộn cán nóng 2.75x121Y SAE1006MINH NGỌCQua cán nguội</v>
      </c>
    </row>
    <row r="79" spans="3:19" x14ac:dyDescent="0.25">
      <c r="C79" t="s">
        <v>24368</v>
      </c>
      <c r="D79" s="242" t="s">
        <v>24364</v>
      </c>
      <c r="E79" s="232" t="s">
        <v>24133</v>
      </c>
      <c r="F79" s="244" t="s">
        <v>24205</v>
      </c>
      <c r="G79" s="243" t="s">
        <v>24205</v>
      </c>
      <c r="H79" s="232"/>
      <c r="I79" s="310" t="s">
        <v>9909</v>
      </c>
      <c r="J79" s="245" t="s">
        <v>24110</v>
      </c>
      <c r="K79" s="243" t="s">
        <v>24348</v>
      </c>
      <c r="L79" s="232">
        <v>1219</v>
      </c>
      <c r="M79" s="232" t="s">
        <v>24216</v>
      </c>
      <c r="N79" s="304"/>
      <c r="O79" s="318">
        <v>3000</v>
      </c>
      <c r="P79" s="249">
        <v>3000</v>
      </c>
      <c r="Q79" s="241" t="s">
        <v>24140</v>
      </c>
      <c r="R79" s="259" t="s">
        <v>24209</v>
      </c>
      <c r="S79" t="str">
        <f t="shared" si="2"/>
        <v>Thép cuộn cán nóng 2.90x121Y SAE1006MINH NGỌCQua cán nguội</v>
      </c>
    </row>
    <row r="80" spans="3:19" x14ac:dyDescent="0.25">
      <c r="C80" t="s">
        <v>24294</v>
      </c>
      <c r="D80" s="234" t="s">
        <v>24365</v>
      </c>
      <c r="E80" s="236" t="s">
        <v>24366</v>
      </c>
      <c r="F80" s="237" t="s">
        <v>24205</v>
      </c>
      <c r="G80" s="235" t="s">
        <v>24205</v>
      </c>
      <c r="H80" s="236" t="s">
        <v>24247</v>
      </c>
      <c r="I80" s="312" t="s">
        <v>5915</v>
      </c>
      <c r="J80" s="239" t="s">
        <v>24110</v>
      </c>
      <c r="K80" s="235" t="s">
        <v>24362</v>
      </c>
      <c r="L80" s="236">
        <v>1230</v>
      </c>
      <c r="M80" s="236" t="s">
        <v>24207</v>
      </c>
      <c r="N80" s="236"/>
      <c r="O80" s="248">
        <v>5700</v>
      </c>
      <c r="P80" s="248">
        <v>5700</v>
      </c>
      <c r="Q80" s="233" t="s">
        <v>24140</v>
      </c>
      <c r="R80" s="259" t="s">
        <v>24209</v>
      </c>
      <c r="S80" t="str">
        <f t="shared" si="2"/>
        <v>Thép cuộn cán nóng 3.50x123X SAE1006ỐNG THÉP HƯNG YÊNQua cán nguội</v>
      </c>
    </row>
    <row r="81" spans="3:19" x14ac:dyDescent="0.25">
      <c r="C81" t="s">
        <v>24296</v>
      </c>
      <c r="D81" s="242" t="s">
        <v>24318</v>
      </c>
      <c r="E81" s="232" t="s">
        <v>24190</v>
      </c>
      <c r="F81" s="244" t="s">
        <v>24205</v>
      </c>
      <c r="G81" s="243" t="s">
        <v>24205</v>
      </c>
      <c r="H81" s="232" t="s">
        <v>24367</v>
      </c>
      <c r="I81" s="310" t="s">
        <v>7391</v>
      </c>
      <c r="J81" s="245" t="s">
        <v>24110</v>
      </c>
      <c r="K81" s="243" t="s">
        <v>24234</v>
      </c>
      <c r="L81" s="232">
        <v>1212</v>
      </c>
      <c r="M81" s="232" t="s">
        <v>24227</v>
      </c>
      <c r="N81" s="249">
        <v>2000</v>
      </c>
      <c r="O81" s="232"/>
      <c r="P81" s="249">
        <v>2000</v>
      </c>
      <c r="Q81" s="241" t="s">
        <v>24321</v>
      </c>
      <c r="R81" s="259" t="s">
        <v>24209</v>
      </c>
      <c r="S81" t="str">
        <f t="shared" si="2"/>
        <v>Thép cuộn cán nóng 2.30x121X SAE1006HOA SENQua cán nguội</v>
      </c>
    </row>
    <row r="82" spans="3:19" x14ac:dyDescent="0.25">
      <c r="C82" t="s">
        <v>24296</v>
      </c>
      <c r="D82" s="234" t="s">
        <v>24318</v>
      </c>
      <c r="E82" s="236" t="s">
        <v>24127</v>
      </c>
      <c r="F82" s="237" t="s">
        <v>24205</v>
      </c>
      <c r="G82" s="235" t="s">
        <v>24205</v>
      </c>
      <c r="H82" s="236" t="s">
        <v>24349</v>
      </c>
      <c r="I82" s="312" t="s">
        <v>7058</v>
      </c>
      <c r="J82" s="239" t="s">
        <v>24110</v>
      </c>
      <c r="K82" s="235" t="s">
        <v>24228</v>
      </c>
      <c r="L82" s="236">
        <v>1212</v>
      </c>
      <c r="M82" s="236" t="s">
        <v>24227</v>
      </c>
      <c r="N82" s="236">
        <v>840</v>
      </c>
      <c r="O82" s="236"/>
      <c r="P82" s="236">
        <v>840</v>
      </c>
      <c r="Q82" s="233" t="s">
        <v>24321</v>
      </c>
      <c r="R82" s="259" t="s">
        <v>24209</v>
      </c>
      <c r="S82" t="str">
        <f t="shared" si="2"/>
        <v>Thép cuộn cán nóng 2.50x121X SAE1006HOA SENQua cán nguội</v>
      </c>
    </row>
    <row r="83" spans="3:19" x14ac:dyDescent="0.25">
      <c r="C83" t="s">
        <v>24296</v>
      </c>
      <c r="D83" s="242" t="s">
        <v>24318</v>
      </c>
      <c r="E83" s="232" t="s">
        <v>24127</v>
      </c>
      <c r="F83" s="244" t="s">
        <v>24205</v>
      </c>
      <c r="G83" s="243" t="s">
        <v>24205</v>
      </c>
      <c r="H83" s="232" t="s">
        <v>24349</v>
      </c>
      <c r="I83" s="310" t="s">
        <v>9892</v>
      </c>
      <c r="J83" s="245" t="s">
        <v>24110</v>
      </c>
      <c r="K83" s="243" t="s">
        <v>24359</v>
      </c>
      <c r="L83" s="232">
        <v>1212</v>
      </c>
      <c r="M83" s="232" t="s">
        <v>24227</v>
      </c>
      <c r="N83" s="249">
        <v>1000</v>
      </c>
      <c r="O83" s="232"/>
      <c r="P83" s="249">
        <v>1000</v>
      </c>
      <c r="Q83" s="241" t="s">
        <v>24321</v>
      </c>
      <c r="R83" s="259" t="s">
        <v>24209</v>
      </c>
      <c r="S83" t="str">
        <f t="shared" si="2"/>
        <v>Thép cuộn cán nóng 2.80x121X SAE1006HOA SENQua cán nguội</v>
      </c>
    </row>
  </sheetData>
  <sheetProtection algorithmName="SHA-512" hashValue="ASmLGxXuDWIobv4O7NCFBhQNanDokIJCpMIuwUzinhWCwSEX5NSgzIh5lrAca6KUmikEe7ZdymE+XGmwGtETDg==" saltValue="XkxDbdhykAkkTO9FJweLjg==" spinCount="100000"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8507-960A-4ACE-B116-A03D2889C0F7}">
  <dimension ref="C1:AS38"/>
  <sheetViews>
    <sheetView zoomScale="70" zoomScaleNormal="70" workbookViewId="0">
      <selection activeCell="H41" sqref="H41"/>
    </sheetView>
  </sheetViews>
  <sheetFormatPr defaultRowHeight="15" x14ac:dyDescent="0.25"/>
  <cols>
    <col min="1" max="1" width="35.42578125" bestFit="1" customWidth="1"/>
    <col min="2" max="2" width="11.42578125" bestFit="1" customWidth="1"/>
    <col min="3" max="3" width="9.85546875" customWidth="1"/>
    <col min="4" max="4" width="12.7109375" customWidth="1"/>
    <col min="5" max="5" width="13.85546875" customWidth="1"/>
    <col min="6" max="6" width="21.42578125" customWidth="1"/>
    <col min="7" max="7" width="42.42578125" customWidth="1"/>
    <col min="8" max="8" width="70.140625" customWidth="1"/>
    <col min="9" max="9" width="21.7109375" customWidth="1"/>
    <col min="10" max="10" width="20.140625" customWidth="1"/>
    <col min="11" max="11" width="19.5703125" customWidth="1"/>
    <col min="12" max="12" width="11.42578125" customWidth="1"/>
    <col min="15" max="15" width="23.42578125" bestFit="1" customWidth="1"/>
    <col min="16" max="16" width="7.5703125" bestFit="1" customWidth="1"/>
    <col min="18" max="18" width="35.42578125" bestFit="1" customWidth="1"/>
    <col min="20" max="20" width="7.42578125" bestFit="1" customWidth="1"/>
    <col min="21" max="21" width="7.140625" bestFit="1" customWidth="1"/>
    <col min="22" max="22" width="3.140625" bestFit="1" customWidth="1"/>
    <col min="23" max="23" width="4.28515625" bestFit="1" customWidth="1"/>
    <col min="24" max="24" width="60.5703125" bestFit="1" customWidth="1"/>
    <col min="25" max="25" width="39.5703125" bestFit="1" customWidth="1"/>
    <col min="26" max="26" width="10.140625" bestFit="1" customWidth="1"/>
    <col min="27" max="27" width="5.42578125" bestFit="1" customWidth="1"/>
    <col min="28" max="28" width="6" bestFit="1" customWidth="1"/>
    <col min="29" max="29" width="6.42578125" bestFit="1" customWidth="1"/>
    <col min="30" max="30" width="11.28515625" bestFit="1" customWidth="1"/>
    <col min="31" max="34" width="6.42578125" bestFit="1" customWidth="1"/>
    <col min="35" max="35" width="23.7109375" bestFit="1" customWidth="1"/>
    <col min="36" max="36" width="9.85546875" bestFit="1" customWidth="1"/>
    <col min="37" max="37" width="13.42578125" bestFit="1" customWidth="1"/>
  </cols>
  <sheetData>
    <row r="1" spans="3:37" x14ac:dyDescent="0.25">
      <c r="E1" t="s">
        <v>24201</v>
      </c>
      <c r="F1" t="s">
        <v>24201</v>
      </c>
      <c r="G1" s="263" t="s">
        <v>24201</v>
      </c>
      <c r="H1" s="263" t="s">
        <v>24201</v>
      </c>
      <c r="I1" s="263" t="s">
        <v>24201</v>
      </c>
      <c r="J1" s="263" t="s">
        <v>24201</v>
      </c>
      <c r="K1" s="263" t="s">
        <v>24201</v>
      </c>
      <c r="L1" s="263" t="s">
        <v>24201</v>
      </c>
    </row>
    <row r="2" spans="3:37" x14ac:dyDescent="0.25">
      <c r="C2">
        <f>D2+E2</f>
        <v>200000</v>
      </c>
      <c r="E2">
        <f>AG2*1000</f>
        <v>200000</v>
      </c>
      <c r="F2" t="s">
        <v>5810</v>
      </c>
      <c r="G2" s="231" t="s">
        <v>5809</v>
      </c>
      <c r="H2" t="str">
        <f>Y2&amp;O2&amp;AK2</f>
        <v>Thép cuộn cán nóng 3.80x123X SAE1006THÉP NĂM SAOQua cán nguội</v>
      </c>
      <c r="I2">
        <v>1050013473</v>
      </c>
      <c r="J2">
        <v>2125090100</v>
      </c>
      <c r="O2" s="261" t="s">
        <v>24185</v>
      </c>
      <c r="P2" s="227" t="s">
        <v>24202</v>
      </c>
      <c r="Q2" s="227"/>
      <c r="R2" s="228" t="s">
        <v>24203</v>
      </c>
      <c r="S2" s="229"/>
      <c r="T2" s="255" t="s">
        <v>24190</v>
      </c>
      <c r="U2" s="256" t="s">
        <v>24204</v>
      </c>
      <c r="V2" s="257" t="s">
        <v>24205</v>
      </c>
      <c r="W2" s="256" t="s">
        <v>24205</v>
      </c>
      <c r="X2" s="255"/>
      <c r="Y2" s="231" t="s">
        <v>5809</v>
      </c>
      <c r="Z2" s="258" t="s">
        <v>24110</v>
      </c>
      <c r="AA2" s="256" t="s">
        <v>24206</v>
      </c>
      <c r="AB2" s="255">
        <v>1230</v>
      </c>
      <c r="AC2" s="255" t="s">
        <v>24207</v>
      </c>
      <c r="AD2" s="230" t="str">
        <f>AA2&amp;"x"&amp;AC2</f>
        <v>3.80x123X</v>
      </c>
      <c r="AE2" s="255">
        <v>0</v>
      </c>
      <c r="AF2" s="255">
        <v>200</v>
      </c>
      <c r="AG2" s="255">
        <v>200</v>
      </c>
      <c r="AH2" s="255"/>
      <c r="AI2" s="259" t="s">
        <v>24140</v>
      </c>
      <c r="AJ2" s="260" t="s">
        <v>24208</v>
      </c>
      <c r="AK2" t="s">
        <v>24209</v>
      </c>
    </row>
    <row r="3" spans="3:37" x14ac:dyDescent="0.25">
      <c r="C3">
        <f t="shared" ref="C3:C36" si="0">D3+E3</f>
        <v>200000</v>
      </c>
      <c r="E3">
        <f t="shared" ref="E3:E36" si="1">AG3*1000</f>
        <v>200000</v>
      </c>
      <c r="F3" t="s">
        <v>24237</v>
      </c>
      <c r="G3" s="238" t="s">
        <v>24210</v>
      </c>
      <c r="H3" t="str">
        <f t="shared" ref="H3:H37" si="2">Y3&amp;O3&amp;AK3</f>
        <v>Thép cuộn cán nóng 3.80x125X SAE1006THÉP NĂM SAOQua cán nguội</v>
      </c>
      <c r="I3">
        <v>1050013474</v>
      </c>
      <c r="J3">
        <v>2125090101</v>
      </c>
      <c r="O3" s="261" t="s">
        <v>24185</v>
      </c>
      <c r="P3" s="233" t="s">
        <v>24202</v>
      </c>
      <c r="Q3" s="233"/>
      <c r="R3" s="234" t="s">
        <v>24203</v>
      </c>
      <c r="S3" s="235"/>
      <c r="T3" s="232" t="s">
        <v>24190</v>
      </c>
      <c r="U3" s="243" t="s">
        <v>24204</v>
      </c>
      <c r="V3" s="244" t="s">
        <v>24205</v>
      </c>
      <c r="W3" s="243" t="s">
        <v>24205</v>
      </c>
      <c r="X3" s="232"/>
      <c r="Y3" s="238" t="s">
        <v>24210</v>
      </c>
      <c r="Z3" s="245" t="s">
        <v>24110</v>
      </c>
      <c r="AA3" s="243" t="s">
        <v>24206</v>
      </c>
      <c r="AB3" s="232">
        <v>1250</v>
      </c>
      <c r="AC3" s="232" t="s">
        <v>24211</v>
      </c>
      <c r="AD3" s="230" t="str">
        <f t="shared" ref="AD3:AD37" si="3">AA3&amp;"x"&amp;AC3</f>
        <v>3.80x125X</v>
      </c>
      <c r="AE3" s="232">
        <v>0</v>
      </c>
      <c r="AF3" s="232">
        <v>200</v>
      </c>
      <c r="AG3" s="232">
        <v>200</v>
      </c>
      <c r="AH3" s="232"/>
      <c r="AI3" s="241" t="s">
        <v>24140</v>
      </c>
      <c r="AJ3" s="247" t="s">
        <v>24208</v>
      </c>
      <c r="AK3" t="s">
        <v>24209</v>
      </c>
    </row>
    <row r="4" spans="3:37" x14ac:dyDescent="0.25">
      <c r="C4">
        <f t="shared" si="0"/>
        <v>300000</v>
      </c>
      <c r="E4">
        <f t="shared" si="1"/>
        <v>300000</v>
      </c>
      <c r="F4" t="s">
        <v>12154</v>
      </c>
      <c r="G4" s="238" t="s">
        <v>12153</v>
      </c>
      <c r="H4" t="str">
        <f t="shared" si="2"/>
        <v>Thép cuộn cán nóng 3.45x123X SAE1006THÉP NĂM SAOQua cán nguội</v>
      </c>
      <c r="I4">
        <v>1050013475</v>
      </c>
      <c r="J4">
        <v>2125090102</v>
      </c>
      <c r="O4" s="261" t="s">
        <v>24185</v>
      </c>
      <c r="P4" s="241" t="s">
        <v>24202</v>
      </c>
      <c r="Q4" s="241"/>
      <c r="R4" s="242" t="s">
        <v>24203</v>
      </c>
      <c r="S4" s="243"/>
      <c r="T4" s="236" t="s">
        <v>24190</v>
      </c>
      <c r="U4" s="235" t="s">
        <v>24204</v>
      </c>
      <c r="V4" s="237" t="s">
        <v>24205</v>
      </c>
      <c r="W4" s="235" t="s">
        <v>24205</v>
      </c>
      <c r="X4" s="236"/>
      <c r="Y4" s="238" t="s">
        <v>12153</v>
      </c>
      <c r="Z4" s="239" t="s">
        <v>24110</v>
      </c>
      <c r="AA4" s="235" t="s">
        <v>24212</v>
      </c>
      <c r="AB4" s="236">
        <v>1230</v>
      </c>
      <c r="AC4" s="236" t="s">
        <v>24207</v>
      </c>
      <c r="AD4" s="230" t="str">
        <f t="shared" si="3"/>
        <v>3.45x123X</v>
      </c>
      <c r="AE4" s="236">
        <v>0</v>
      </c>
      <c r="AF4" s="236">
        <v>300</v>
      </c>
      <c r="AG4" s="236">
        <v>300</v>
      </c>
      <c r="AH4" s="236"/>
      <c r="AI4" s="233" t="s">
        <v>24140</v>
      </c>
      <c r="AJ4" s="240" t="s">
        <v>24208</v>
      </c>
      <c r="AK4" t="s">
        <v>24209</v>
      </c>
    </row>
    <row r="5" spans="3:37" x14ac:dyDescent="0.25">
      <c r="C5">
        <f t="shared" si="0"/>
        <v>400000</v>
      </c>
      <c r="E5">
        <f t="shared" si="1"/>
        <v>400000</v>
      </c>
      <c r="F5" t="s">
        <v>5029</v>
      </c>
      <c r="G5" s="238" t="s">
        <v>5028</v>
      </c>
      <c r="H5" t="str">
        <f t="shared" si="2"/>
        <v>Thép cuộn cán nóng 3.45x125X SAE1006THÉP NĂM SAOQua cán nguội</v>
      </c>
      <c r="I5">
        <v>1050013476</v>
      </c>
      <c r="J5">
        <v>2125090103</v>
      </c>
      <c r="O5" s="261" t="s">
        <v>24185</v>
      </c>
      <c r="P5" s="233" t="s">
        <v>24202</v>
      </c>
      <c r="Q5" s="233"/>
      <c r="R5" s="234" t="s">
        <v>24203</v>
      </c>
      <c r="S5" s="235"/>
      <c r="T5" s="232" t="s">
        <v>24190</v>
      </c>
      <c r="U5" s="243" t="s">
        <v>24204</v>
      </c>
      <c r="V5" s="244" t="s">
        <v>24205</v>
      </c>
      <c r="W5" s="243" t="s">
        <v>24205</v>
      </c>
      <c r="X5" s="232"/>
      <c r="Y5" s="238" t="s">
        <v>5028</v>
      </c>
      <c r="Z5" s="245" t="s">
        <v>24110</v>
      </c>
      <c r="AA5" s="243" t="s">
        <v>24212</v>
      </c>
      <c r="AB5" s="232">
        <v>1250</v>
      </c>
      <c r="AC5" s="232" t="s">
        <v>24211</v>
      </c>
      <c r="AD5" s="230" t="str">
        <f t="shared" si="3"/>
        <v>3.45x125X</v>
      </c>
      <c r="AE5" s="232">
        <v>0</v>
      </c>
      <c r="AF5" s="232">
        <v>400</v>
      </c>
      <c r="AG5" s="232">
        <v>400</v>
      </c>
      <c r="AH5" s="232"/>
      <c r="AI5" s="241" t="s">
        <v>24140</v>
      </c>
      <c r="AJ5" s="247" t="s">
        <v>24208</v>
      </c>
      <c r="AK5" t="s">
        <v>24209</v>
      </c>
    </row>
    <row r="6" spans="3:37" x14ac:dyDescent="0.25">
      <c r="C6">
        <f t="shared" si="0"/>
        <v>300000</v>
      </c>
      <c r="E6">
        <f t="shared" si="1"/>
        <v>300000</v>
      </c>
      <c r="F6" t="s">
        <v>12208</v>
      </c>
      <c r="G6" s="238" t="s">
        <v>12207</v>
      </c>
      <c r="H6" t="str">
        <f t="shared" si="2"/>
        <v>Thép cuộn cán nóng 3.15x123X SAE1006THÉP NĂM SAOQua cán nguội</v>
      </c>
      <c r="I6">
        <v>1050013477</v>
      </c>
      <c r="J6">
        <v>2125090104</v>
      </c>
      <c r="O6" s="261" t="s">
        <v>24185</v>
      </c>
      <c r="P6" s="241" t="s">
        <v>24202</v>
      </c>
      <c r="Q6" s="241"/>
      <c r="R6" s="242" t="s">
        <v>24203</v>
      </c>
      <c r="S6" s="243"/>
      <c r="T6" s="232" t="s">
        <v>24190</v>
      </c>
      <c r="U6" s="243" t="s">
        <v>24204</v>
      </c>
      <c r="V6" s="244" t="s">
        <v>24205</v>
      </c>
      <c r="W6" s="243" t="s">
        <v>24205</v>
      </c>
      <c r="X6" s="232"/>
      <c r="Y6" s="238" t="s">
        <v>12207</v>
      </c>
      <c r="Z6" s="245" t="s">
        <v>24110</v>
      </c>
      <c r="AA6" s="243" t="s">
        <v>24213</v>
      </c>
      <c r="AB6" s="232">
        <v>1230</v>
      </c>
      <c r="AC6" s="232" t="s">
        <v>24207</v>
      </c>
      <c r="AD6" s="230" t="str">
        <f t="shared" si="3"/>
        <v>3.15x123X</v>
      </c>
      <c r="AE6" s="232">
        <v>0</v>
      </c>
      <c r="AF6" s="232">
        <v>300</v>
      </c>
      <c r="AG6" s="232">
        <v>300</v>
      </c>
      <c r="AH6" s="232"/>
      <c r="AI6" s="241" t="s">
        <v>24140</v>
      </c>
      <c r="AJ6" s="247" t="s">
        <v>24208</v>
      </c>
      <c r="AK6" t="s">
        <v>24209</v>
      </c>
    </row>
    <row r="7" spans="3:37" x14ac:dyDescent="0.25">
      <c r="C7">
        <f t="shared" si="0"/>
        <v>1000000</v>
      </c>
      <c r="E7">
        <f t="shared" si="1"/>
        <v>1000000</v>
      </c>
      <c r="F7" t="s">
        <v>4430</v>
      </c>
      <c r="G7" s="238" t="s">
        <v>4429</v>
      </c>
      <c r="H7" t="str">
        <f t="shared" si="2"/>
        <v>Thép cuộn cán nóng 3.00x121Y SAE1006THÉP NĂM SAOQua cán nguội</v>
      </c>
      <c r="I7">
        <v>1050013478</v>
      </c>
      <c r="J7">
        <v>2125090105</v>
      </c>
      <c r="O7" s="261" t="s">
        <v>24185</v>
      </c>
      <c r="P7" s="233" t="s">
        <v>24202</v>
      </c>
      <c r="Q7" s="233"/>
      <c r="R7" s="234" t="s">
        <v>24203</v>
      </c>
      <c r="S7" s="235"/>
      <c r="T7" s="232" t="s">
        <v>24190</v>
      </c>
      <c r="U7" s="243" t="s">
        <v>24204</v>
      </c>
      <c r="V7" s="244" t="s">
        <v>24214</v>
      </c>
      <c r="W7" s="243" t="s">
        <v>24205</v>
      </c>
      <c r="X7" s="232"/>
      <c r="Y7" s="238" t="s">
        <v>4429</v>
      </c>
      <c r="Z7" s="245" t="s">
        <v>24110</v>
      </c>
      <c r="AA7" s="243" t="s">
        <v>24215</v>
      </c>
      <c r="AB7" s="232">
        <v>1219</v>
      </c>
      <c r="AC7" s="232" t="s">
        <v>24216</v>
      </c>
      <c r="AD7" s="230" t="str">
        <f t="shared" si="3"/>
        <v>3.00x121Y</v>
      </c>
      <c r="AE7" s="232">
        <v>0</v>
      </c>
      <c r="AF7" s="249">
        <v>1000</v>
      </c>
      <c r="AG7" s="249">
        <v>1000</v>
      </c>
      <c r="AH7" s="232"/>
      <c r="AI7" s="241" t="s">
        <v>24191</v>
      </c>
      <c r="AJ7" s="247" t="s">
        <v>24208</v>
      </c>
      <c r="AK7" t="s">
        <v>24209</v>
      </c>
    </row>
    <row r="8" spans="3:37" x14ac:dyDescent="0.25">
      <c r="C8">
        <f t="shared" si="0"/>
        <v>600000</v>
      </c>
      <c r="E8">
        <f t="shared" si="1"/>
        <v>600000</v>
      </c>
      <c r="F8" t="s">
        <v>4994</v>
      </c>
      <c r="G8" s="238" t="s">
        <v>4993</v>
      </c>
      <c r="H8" t="str">
        <f t="shared" si="2"/>
        <v>Thép cuộn cán nóng 3.00x125X SAE1006NAM SƠNQua cán nguội</v>
      </c>
      <c r="I8">
        <v>1050013479</v>
      </c>
      <c r="J8">
        <v>2125090106</v>
      </c>
      <c r="O8" s="261" t="s">
        <v>24187</v>
      </c>
      <c r="P8" s="241" t="s">
        <v>24202</v>
      </c>
      <c r="Q8" s="241"/>
      <c r="R8" s="242" t="s">
        <v>24217</v>
      </c>
      <c r="S8" s="243"/>
      <c r="T8" s="236" t="s">
        <v>24190</v>
      </c>
      <c r="U8" s="235" t="s">
        <v>24204</v>
      </c>
      <c r="V8" s="237" t="s">
        <v>24205</v>
      </c>
      <c r="W8" s="235" t="s">
        <v>24205</v>
      </c>
      <c r="X8" s="236"/>
      <c r="Y8" s="238" t="s">
        <v>4993</v>
      </c>
      <c r="Z8" s="239" t="s">
        <v>24110</v>
      </c>
      <c r="AA8" s="235" t="s">
        <v>24215</v>
      </c>
      <c r="AB8" s="236">
        <v>1250</v>
      </c>
      <c r="AC8" s="236" t="s">
        <v>24211</v>
      </c>
      <c r="AD8" s="230" t="str">
        <f t="shared" si="3"/>
        <v>3.00x125X</v>
      </c>
      <c r="AE8" s="236">
        <v>0</v>
      </c>
      <c r="AF8" s="236">
        <v>600</v>
      </c>
      <c r="AG8" s="236">
        <v>600</v>
      </c>
      <c r="AH8" s="236"/>
      <c r="AI8" s="233" t="s">
        <v>24140</v>
      </c>
      <c r="AJ8" s="247" t="s">
        <v>24208</v>
      </c>
      <c r="AK8" t="s">
        <v>24209</v>
      </c>
    </row>
    <row r="9" spans="3:37" x14ac:dyDescent="0.25">
      <c r="C9">
        <f t="shared" si="0"/>
        <v>1500000</v>
      </c>
      <c r="E9">
        <f t="shared" si="1"/>
        <v>1500000</v>
      </c>
      <c r="F9" t="s">
        <v>7007</v>
      </c>
      <c r="G9" s="238" t="s">
        <v>7006</v>
      </c>
      <c r="H9" t="str">
        <f t="shared" si="2"/>
        <v>Thép cuộn cán nóng 3.00x120X SAE1006NAM SƠNQua cán nguội</v>
      </c>
      <c r="I9">
        <v>1050013720</v>
      </c>
      <c r="J9">
        <v>2125090107</v>
      </c>
      <c r="O9" s="261" t="s">
        <v>24187</v>
      </c>
      <c r="P9" s="233" t="s">
        <v>24202</v>
      </c>
      <c r="Q9" s="233"/>
      <c r="R9" s="234" t="s">
        <v>24217</v>
      </c>
      <c r="S9" s="235"/>
      <c r="T9" s="251" t="s">
        <v>24139</v>
      </c>
      <c r="U9" s="243" t="s">
        <v>24204</v>
      </c>
      <c r="V9" s="244" t="s">
        <v>24205</v>
      </c>
      <c r="W9" s="243" t="s">
        <v>24214</v>
      </c>
      <c r="X9" s="232" t="s">
        <v>24188</v>
      </c>
      <c r="Y9" s="238" t="s">
        <v>7006</v>
      </c>
      <c r="Z9" s="245" t="s">
        <v>24110</v>
      </c>
      <c r="AA9" s="243" t="s">
        <v>24215</v>
      </c>
      <c r="AB9" s="232">
        <v>1200</v>
      </c>
      <c r="AC9" s="232" t="s">
        <v>24218</v>
      </c>
      <c r="AD9" s="230" t="str">
        <f t="shared" si="3"/>
        <v>3.00x120X</v>
      </c>
      <c r="AE9" s="232">
        <v>0</v>
      </c>
      <c r="AF9" s="249">
        <v>1500</v>
      </c>
      <c r="AG9" s="249">
        <v>1500</v>
      </c>
      <c r="AH9" s="232"/>
      <c r="AI9" s="241" t="s">
        <v>24140</v>
      </c>
      <c r="AJ9" s="247" t="s">
        <v>24208</v>
      </c>
      <c r="AK9" t="s">
        <v>24209</v>
      </c>
    </row>
    <row r="10" spans="3:37" x14ac:dyDescent="0.25">
      <c r="C10">
        <f t="shared" si="0"/>
        <v>700000</v>
      </c>
      <c r="E10">
        <f t="shared" si="1"/>
        <v>700000</v>
      </c>
      <c r="F10" t="s">
        <v>12270</v>
      </c>
      <c r="G10" s="238" t="s">
        <v>12269</v>
      </c>
      <c r="H10" t="str">
        <f t="shared" si="2"/>
        <v>Thép cuộn cán nóng 2.95x123X SAE1006NAM SƠNQua cán nguội</v>
      </c>
      <c r="I10">
        <v>1050013721</v>
      </c>
      <c r="J10">
        <v>2125090108</v>
      </c>
      <c r="O10" s="261" t="s">
        <v>24187</v>
      </c>
      <c r="P10" s="233" t="s">
        <v>24202</v>
      </c>
      <c r="Q10" s="233"/>
      <c r="R10" s="234" t="s">
        <v>24217</v>
      </c>
      <c r="S10" s="235"/>
      <c r="T10" s="232" t="s">
        <v>24190</v>
      </c>
      <c r="U10" s="243" t="s">
        <v>24204</v>
      </c>
      <c r="V10" s="244" t="s">
        <v>24205</v>
      </c>
      <c r="W10" s="243" t="s">
        <v>24205</v>
      </c>
      <c r="X10" s="232"/>
      <c r="Y10" s="238" t="s">
        <v>12269</v>
      </c>
      <c r="Z10" s="245" t="s">
        <v>24110</v>
      </c>
      <c r="AA10" s="243" t="s">
        <v>24219</v>
      </c>
      <c r="AB10" s="232">
        <v>1230</v>
      </c>
      <c r="AC10" s="232" t="s">
        <v>24207</v>
      </c>
      <c r="AD10" s="230" t="str">
        <f t="shared" si="3"/>
        <v>2.95x123X</v>
      </c>
      <c r="AE10" s="232">
        <v>0</v>
      </c>
      <c r="AF10" s="232">
        <v>700</v>
      </c>
      <c r="AG10" s="232">
        <v>700</v>
      </c>
      <c r="AH10" s="232"/>
      <c r="AI10" s="241" t="s">
        <v>24140</v>
      </c>
      <c r="AJ10" s="247" t="s">
        <v>24208</v>
      </c>
      <c r="AK10" t="s">
        <v>24209</v>
      </c>
    </row>
    <row r="11" spans="3:37" x14ac:dyDescent="0.25">
      <c r="C11">
        <f t="shared" si="0"/>
        <v>220000</v>
      </c>
      <c r="E11" s="264">
        <f t="shared" si="1"/>
        <v>220000</v>
      </c>
      <c r="F11" t="s">
        <v>5019</v>
      </c>
      <c r="G11" s="238" t="s">
        <v>5018</v>
      </c>
      <c r="H11" t="str">
        <f t="shared" si="2"/>
        <v>Thép cuộn cán nóng 2.75x126X SAE1006Nội Thất HPLQua cán nguội</v>
      </c>
      <c r="I11">
        <v>1050013722</v>
      </c>
      <c r="J11">
        <v>2125090109</v>
      </c>
      <c r="O11" s="261" t="s">
        <v>24196</v>
      </c>
      <c r="P11" s="241" t="s">
        <v>24202</v>
      </c>
      <c r="Q11" s="241"/>
      <c r="R11" s="242" t="s">
        <v>24220</v>
      </c>
      <c r="S11" s="243"/>
      <c r="T11" s="232" t="s">
        <v>24181</v>
      </c>
      <c r="U11" s="243" t="s">
        <v>24221</v>
      </c>
      <c r="V11" s="244" t="s">
        <v>24205</v>
      </c>
      <c r="W11" s="243" t="s">
        <v>24214</v>
      </c>
      <c r="X11" s="232" t="s">
        <v>24184</v>
      </c>
      <c r="Y11" s="238" t="s">
        <v>5018</v>
      </c>
      <c r="Z11" s="245" t="s">
        <v>24110</v>
      </c>
      <c r="AA11" s="243" t="s">
        <v>24222</v>
      </c>
      <c r="AB11" s="232">
        <v>1260</v>
      </c>
      <c r="AC11" s="232" t="s">
        <v>24223</v>
      </c>
      <c r="AD11" s="230" t="str">
        <f t="shared" si="3"/>
        <v>2.75x126X</v>
      </c>
      <c r="AE11" s="232">
        <v>220</v>
      </c>
      <c r="AF11" s="232">
        <v>0</v>
      </c>
      <c r="AG11" s="232">
        <v>220</v>
      </c>
      <c r="AH11" s="246">
        <v>300</v>
      </c>
      <c r="AI11" s="241" t="s">
        <v>24118</v>
      </c>
      <c r="AJ11" s="247" t="s">
        <v>24208</v>
      </c>
      <c r="AK11" t="s">
        <v>24209</v>
      </c>
    </row>
    <row r="12" spans="3:37" x14ac:dyDescent="0.25">
      <c r="C12">
        <f t="shared" si="0"/>
        <v>0</v>
      </c>
      <c r="F12" t="s">
        <v>878</v>
      </c>
      <c r="G12" s="238" t="s">
        <v>877</v>
      </c>
      <c r="O12" s="261" t="s">
        <v>24192</v>
      </c>
      <c r="P12" s="233" t="s">
        <v>24202</v>
      </c>
      <c r="Q12" s="233"/>
      <c r="R12" s="234" t="s">
        <v>24224</v>
      </c>
      <c r="S12" s="235"/>
      <c r="T12" s="236" t="s">
        <v>24181</v>
      </c>
      <c r="U12" s="235" t="s">
        <v>24221</v>
      </c>
      <c r="V12" s="237" t="s">
        <v>24205</v>
      </c>
      <c r="W12" s="235" t="s">
        <v>24214</v>
      </c>
      <c r="X12" s="236" t="s">
        <v>24197</v>
      </c>
      <c r="Y12" s="238" t="s">
        <v>877</v>
      </c>
      <c r="Z12" s="239" t="s">
        <v>24110</v>
      </c>
      <c r="AA12" s="235" t="s">
        <v>24222</v>
      </c>
      <c r="AB12" s="236">
        <v>1217</v>
      </c>
      <c r="AC12" s="236" t="s">
        <v>24216</v>
      </c>
      <c r="AD12" s="230" t="str">
        <f t="shared" si="3"/>
        <v>2.75x121Y</v>
      </c>
      <c r="AE12" s="236">
        <v>600</v>
      </c>
      <c r="AF12" s="236">
        <v>0</v>
      </c>
      <c r="AG12" s="236">
        <v>600</v>
      </c>
      <c r="AH12" s="236"/>
      <c r="AI12" s="233" t="s">
        <v>24118</v>
      </c>
      <c r="AJ12" s="247" t="s">
        <v>24208</v>
      </c>
      <c r="AK12" t="s">
        <v>24209</v>
      </c>
    </row>
    <row r="13" spans="3:37" x14ac:dyDescent="0.25">
      <c r="C13">
        <f t="shared" si="0"/>
        <v>300000</v>
      </c>
      <c r="E13" s="264">
        <f t="shared" si="1"/>
        <v>300000</v>
      </c>
      <c r="F13" t="s">
        <v>5019</v>
      </c>
      <c r="G13" s="238" t="s">
        <v>5018</v>
      </c>
      <c r="H13" t="str">
        <f t="shared" si="2"/>
        <v>Thép cuộn cán nóng 2.75x126X SAE1006MINH PHÚ - HẢI DƯƠNGQua cán nguội</v>
      </c>
      <c r="I13">
        <v>1050013723</v>
      </c>
      <c r="J13">
        <v>2125090110</v>
      </c>
      <c r="O13" s="261" t="s">
        <v>24192</v>
      </c>
      <c r="P13" s="241" t="s">
        <v>24202</v>
      </c>
      <c r="Q13" s="241"/>
      <c r="R13" s="242" t="s">
        <v>24224</v>
      </c>
      <c r="S13" s="243"/>
      <c r="T13" s="236" t="s">
        <v>24181</v>
      </c>
      <c r="U13" s="235" t="s">
        <v>24221</v>
      </c>
      <c r="V13" s="237" t="s">
        <v>24205</v>
      </c>
      <c r="W13" s="235" t="s">
        <v>24214</v>
      </c>
      <c r="X13" s="236" t="s">
        <v>24186</v>
      </c>
      <c r="Y13" s="238" t="s">
        <v>5018</v>
      </c>
      <c r="Z13" s="239" t="s">
        <v>24110</v>
      </c>
      <c r="AA13" s="235" t="s">
        <v>24222</v>
      </c>
      <c r="AB13" s="236">
        <v>1260</v>
      </c>
      <c r="AC13" s="236" t="s">
        <v>24223</v>
      </c>
      <c r="AD13" s="230" t="str">
        <f t="shared" si="3"/>
        <v>2.75x126X</v>
      </c>
      <c r="AE13" s="236">
        <v>300</v>
      </c>
      <c r="AF13" s="236">
        <v>0</v>
      </c>
      <c r="AG13" s="236">
        <v>300</v>
      </c>
      <c r="AH13" s="236"/>
      <c r="AI13" s="233" t="s">
        <v>24118</v>
      </c>
      <c r="AJ13" s="247" t="s">
        <v>24208</v>
      </c>
      <c r="AK13" t="s">
        <v>24209</v>
      </c>
    </row>
    <row r="14" spans="3:37" x14ac:dyDescent="0.25">
      <c r="C14">
        <f t="shared" si="0"/>
        <v>1400000</v>
      </c>
      <c r="D14">
        <v>600000</v>
      </c>
      <c r="E14">
        <f t="shared" si="1"/>
        <v>800000</v>
      </c>
      <c r="F14" t="s">
        <v>878</v>
      </c>
      <c r="G14" s="238" t="s">
        <v>877</v>
      </c>
      <c r="H14" t="str">
        <f t="shared" si="2"/>
        <v>Thép cuộn cán nóng 2.75x121Y SAE1006MINH PHÚ - HẢI DƯƠNGQua cán nguội</v>
      </c>
      <c r="I14">
        <v>1050013724</v>
      </c>
      <c r="J14">
        <v>2125090111</v>
      </c>
      <c r="O14" s="261" t="s">
        <v>24192</v>
      </c>
      <c r="P14" s="241" t="s">
        <v>24202</v>
      </c>
      <c r="Q14" s="241"/>
      <c r="R14" s="242" t="s">
        <v>24225</v>
      </c>
      <c r="S14" s="243"/>
      <c r="T14" s="236" t="s">
        <v>24190</v>
      </c>
      <c r="U14" s="235" t="s">
        <v>24204</v>
      </c>
      <c r="V14" s="237" t="s">
        <v>24214</v>
      </c>
      <c r="W14" s="235" t="s">
        <v>24205</v>
      </c>
      <c r="X14" s="236"/>
      <c r="Y14" s="238" t="s">
        <v>877</v>
      </c>
      <c r="Z14" s="239" t="s">
        <v>24110</v>
      </c>
      <c r="AA14" s="235" t="s">
        <v>24222</v>
      </c>
      <c r="AB14" s="236">
        <v>1219</v>
      </c>
      <c r="AC14" s="236" t="s">
        <v>24216</v>
      </c>
      <c r="AD14" s="230" t="str">
        <f t="shared" si="3"/>
        <v>2.75x121Y</v>
      </c>
      <c r="AE14" s="236">
        <v>0</v>
      </c>
      <c r="AF14" s="236">
        <v>800</v>
      </c>
      <c r="AG14" s="236">
        <v>800</v>
      </c>
      <c r="AH14" s="250">
        <v>1500</v>
      </c>
      <c r="AI14" s="233" t="s">
        <v>24191</v>
      </c>
      <c r="AJ14" s="247" t="s">
        <v>24208</v>
      </c>
      <c r="AK14" t="s">
        <v>24209</v>
      </c>
    </row>
    <row r="15" spans="3:37" x14ac:dyDescent="0.25">
      <c r="C15">
        <f t="shared" si="0"/>
        <v>500000</v>
      </c>
      <c r="E15">
        <f t="shared" si="1"/>
        <v>500000</v>
      </c>
      <c r="F15" t="s">
        <v>3924</v>
      </c>
      <c r="G15" s="238" t="s">
        <v>3923</v>
      </c>
      <c r="H15" t="str">
        <f t="shared" si="2"/>
        <v>Thép cuộn cán nóng 2.75x123X SAE1006MINH PHÚ - HẢI DƯƠNGQua cán nguội</v>
      </c>
      <c r="I15">
        <v>1050013725</v>
      </c>
      <c r="J15">
        <v>2125090112</v>
      </c>
      <c r="O15" s="261" t="s">
        <v>24192</v>
      </c>
      <c r="P15" s="233" t="s">
        <v>24202</v>
      </c>
      <c r="Q15" s="233"/>
      <c r="R15" s="234" t="s">
        <v>24225</v>
      </c>
      <c r="S15" s="235"/>
      <c r="T15" s="232" t="s">
        <v>24190</v>
      </c>
      <c r="U15" s="243" t="s">
        <v>24204</v>
      </c>
      <c r="V15" s="244" t="s">
        <v>24205</v>
      </c>
      <c r="W15" s="243" t="s">
        <v>24205</v>
      </c>
      <c r="X15" s="232"/>
      <c r="Y15" s="238" t="s">
        <v>3923</v>
      </c>
      <c r="Z15" s="245" t="s">
        <v>24110</v>
      </c>
      <c r="AA15" s="243" t="s">
        <v>24222</v>
      </c>
      <c r="AB15" s="232">
        <v>1230</v>
      </c>
      <c r="AC15" s="232" t="s">
        <v>24207</v>
      </c>
      <c r="AD15" s="230" t="str">
        <f t="shared" si="3"/>
        <v>2.75x123X</v>
      </c>
      <c r="AE15" s="232">
        <v>0</v>
      </c>
      <c r="AF15" s="232">
        <v>500</v>
      </c>
      <c r="AG15" s="232">
        <v>500</v>
      </c>
      <c r="AH15" s="232"/>
      <c r="AI15" s="241" t="s">
        <v>24140</v>
      </c>
      <c r="AJ15" s="247" t="s">
        <v>24208</v>
      </c>
      <c r="AK15" t="s">
        <v>24209</v>
      </c>
    </row>
    <row r="16" spans="3:37" x14ac:dyDescent="0.25">
      <c r="C16">
        <f t="shared" si="0"/>
        <v>300000</v>
      </c>
      <c r="E16">
        <f t="shared" si="1"/>
        <v>300000</v>
      </c>
      <c r="F16" t="s">
        <v>9640</v>
      </c>
      <c r="G16" s="238" t="s">
        <v>9639</v>
      </c>
      <c r="H16" t="str">
        <f t="shared" si="2"/>
        <v>Thép cuộn cán nóng 2.75x125X SAE1006MINH PHÚ - HẢI DƯƠNGQua cán nguội</v>
      </c>
      <c r="I16">
        <v>1050013726</v>
      </c>
      <c r="J16">
        <v>2125090113</v>
      </c>
      <c r="O16" s="261" t="s">
        <v>24192</v>
      </c>
      <c r="P16" s="241" t="s">
        <v>24202</v>
      </c>
      <c r="Q16" s="241"/>
      <c r="R16" s="242" t="s">
        <v>24225</v>
      </c>
      <c r="S16" s="243"/>
      <c r="T16" s="236" t="s">
        <v>24190</v>
      </c>
      <c r="U16" s="235" t="s">
        <v>24204</v>
      </c>
      <c r="V16" s="237" t="s">
        <v>24205</v>
      </c>
      <c r="W16" s="235" t="s">
        <v>24205</v>
      </c>
      <c r="X16" s="236"/>
      <c r="Y16" s="238" t="s">
        <v>9639</v>
      </c>
      <c r="Z16" s="239" t="s">
        <v>24110</v>
      </c>
      <c r="AA16" s="235" t="s">
        <v>24222</v>
      </c>
      <c r="AB16" s="236">
        <v>1250</v>
      </c>
      <c r="AC16" s="236" t="s">
        <v>24211</v>
      </c>
      <c r="AD16" s="230" t="str">
        <f t="shared" si="3"/>
        <v>2.75x125X</v>
      </c>
      <c r="AE16" s="236">
        <v>0</v>
      </c>
      <c r="AF16" s="236">
        <v>300</v>
      </c>
      <c r="AG16" s="236">
        <v>300</v>
      </c>
      <c r="AH16" s="236"/>
      <c r="AI16" s="233" t="s">
        <v>24140</v>
      </c>
      <c r="AJ16" s="247" t="s">
        <v>24208</v>
      </c>
      <c r="AK16" t="s">
        <v>24209</v>
      </c>
    </row>
    <row r="17" spans="3:37" x14ac:dyDescent="0.25">
      <c r="C17">
        <f t="shared" si="0"/>
        <v>1000000</v>
      </c>
      <c r="E17">
        <f t="shared" si="1"/>
        <v>1000000</v>
      </c>
      <c r="F17" t="s">
        <v>9640</v>
      </c>
      <c r="G17" s="238" t="s">
        <v>9639</v>
      </c>
      <c r="H17" t="str">
        <f t="shared" si="2"/>
        <v>Thép cuộn cán nóng 2.75x125X SAE1006Ống Thép Hưng YênQua cán nguội</v>
      </c>
      <c r="I17">
        <v>1050013727</v>
      </c>
      <c r="J17">
        <v>2125090114</v>
      </c>
      <c r="O17" s="262" t="s">
        <v>24193</v>
      </c>
      <c r="P17" s="233" t="s">
        <v>24202</v>
      </c>
      <c r="Q17" s="233"/>
      <c r="R17" s="234" t="s">
        <v>24226</v>
      </c>
      <c r="S17" s="235"/>
      <c r="T17" s="236" t="s">
        <v>24190</v>
      </c>
      <c r="U17" s="235" t="s">
        <v>24204</v>
      </c>
      <c r="V17" s="237" t="s">
        <v>24205</v>
      </c>
      <c r="W17" s="235" t="s">
        <v>24214</v>
      </c>
      <c r="X17" s="236" t="s">
        <v>24194</v>
      </c>
      <c r="Y17" s="238" t="s">
        <v>9639</v>
      </c>
      <c r="Z17" s="239" t="s">
        <v>24110</v>
      </c>
      <c r="AA17" s="235" t="s">
        <v>24222</v>
      </c>
      <c r="AB17" s="236">
        <v>1250</v>
      </c>
      <c r="AC17" s="236" t="s">
        <v>24211</v>
      </c>
      <c r="AD17" s="230" t="str">
        <f t="shared" si="3"/>
        <v>2.75x125X</v>
      </c>
      <c r="AE17" s="236"/>
      <c r="AF17" s="248">
        <v>1000</v>
      </c>
      <c r="AG17" s="248">
        <v>1000</v>
      </c>
      <c r="AH17" s="236"/>
      <c r="AI17" s="233" t="s">
        <v>24140</v>
      </c>
      <c r="AJ17" s="247" t="s">
        <v>24208</v>
      </c>
      <c r="AK17" t="s">
        <v>24209</v>
      </c>
    </row>
    <row r="18" spans="3:37" x14ac:dyDescent="0.25">
      <c r="C18">
        <f t="shared" si="0"/>
        <v>600000</v>
      </c>
      <c r="E18">
        <f t="shared" si="1"/>
        <v>600000</v>
      </c>
      <c r="F18" t="s">
        <v>6345</v>
      </c>
      <c r="G18" s="238" t="s">
        <v>6344</v>
      </c>
      <c r="H18" t="str">
        <f t="shared" si="2"/>
        <v>Thép cuộn cán nóng 2.75x121X SAE1006Ống Thép Hưng YênQua cán nguội</v>
      </c>
      <c r="I18">
        <v>1050013728</v>
      </c>
      <c r="J18">
        <v>2125090115</v>
      </c>
      <c r="O18" s="262" t="s">
        <v>24193</v>
      </c>
      <c r="P18" s="241" t="s">
        <v>24202</v>
      </c>
      <c r="Q18" s="241"/>
      <c r="R18" s="242" t="s">
        <v>24226</v>
      </c>
      <c r="S18" s="243"/>
      <c r="T18" s="232" t="s">
        <v>24198</v>
      </c>
      <c r="U18" s="243" t="s">
        <v>24221</v>
      </c>
      <c r="V18" s="244" t="s">
        <v>24205</v>
      </c>
      <c r="W18" s="243" t="s">
        <v>24205</v>
      </c>
      <c r="X18" s="232"/>
      <c r="Y18" s="238" t="s">
        <v>6344</v>
      </c>
      <c r="Z18" s="245" t="s">
        <v>24110</v>
      </c>
      <c r="AA18" s="243" t="s">
        <v>24222</v>
      </c>
      <c r="AB18" s="232">
        <v>1212</v>
      </c>
      <c r="AC18" s="232" t="s">
        <v>24227</v>
      </c>
      <c r="AD18" s="230" t="str">
        <f t="shared" si="3"/>
        <v>2.75x121X</v>
      </c>
      <c r="AE18" s="232">
        <v>600</v>
      </c>
      <c r="AF18" s="232">
        <v>0</v>
      </c>
      <c r="AG18" s="232">
        <v>600</v>
      </c>
      <c r="AH18" s="232"/>
      <c r="AI18" s="241" t="s">
        <v>24118</v>
      </c>
      <c r="AJ18" s="247" t="s">
        <v>24208</v>
      </c>
      <c r="AK18" t="s">
        <v>24209</v>
      </c>
    </row>
    <row r="19" spans="3:37" x14ac:dyDescent="0.25">
      <c r="C19">
        <f t="shared" si="0"/>
        <v>0</v>
      </c>
      <c r="F19" t="s">
        <v>6902</v>
      </c>
      <c r="G19" s="238" t="s">
        <v>6901</v>
      </c>
      <c r="O19" s="262" t="s">
        <v>24193</v>
      </c>
      <c r="P19" s="233" t="s">
        <v>24202</v>
      </c>
      <c r="Q19" s="233"/>
      <c r="R19" s="234" t="s">
        <v>24226</v>
      </c>
      <c r="S19" s="235"/>
      <c r="T19" s="236" t="s">
        <v>24181</v>
      </c>
      <c r="U19" s="235" t="s">
        <v>24221</v>
      </c>
      <c r="V19" s="237" t="s">
        <v>24205</v>
      </c>
      <c r="W19" s="235" t="s">
        <v>24214</v>
      </c>
      <c r="X19" s="236" t="s">
        <v>24184</v>
      </c>
      <c r="Y19" s="238" t="s">
        <v>6901</v>
      </c>
      <c r="Z19" s="239" t="s">
        <v>24110</v>
      </c>
      <c r="AA19" s="235" t="s">
        <v>24228</v>
      </c>
      <c r="AB19" s="236">
        <v>1260</v>
      </c>
      <c r="AC19" s="236" t="s">
        <v>24223</v>
      </c>
      <c r="AD19" s="230" t="str">
        <f t="shared" si="3"/>
        <v>2.50x126X</v>
      </c>
      <c r="AE19" s="236">
        <v>600</v>
      </c>
      <c r="AF19" s="236">
        <v>0</v>
      </c>
      <c r="AG19" s="236">
        <v>600</v>
      </c>
      <c r="AH19" s="236"/>
      <c r="AI19" s="233" t="s">
        <v>24118</v>
      </c>
      <c r="AJ19" s="247" t="s">
        <v>24208</v>
      </c>
      <c r="AK19" t="s">
        <v>24209</v>
      </c>
    </row>
    <row r="20" spans="3:37" x14ac:dyDescent="0.25">
      <c r="C20">
        <f t="shared" si="0"/>
        <v>0</v>
      </c>
      <c r="F20" t="s">
        <v>5056</v>
      </c>
      <c r="G20" s="238" t="s">
        <v>5055</v>
      </c>
      <c r="O20" s="262" t="s">
        <v>24193</v>
      </c>
      <c r="P20" s="241" t="s">
        <v>24202</v>
      </c>
      <c r="Q20" s="241"/>
      <c r="R20" s="242" t="s">
        <v>24226</v>
      </c>
      <c r="S20" s="243"/>
      <c r="T20" s="232" t="s">
        <v>24181</v>
      </c>
      <c r="U20" s="243" t="s">
        <v>24221</v>
      </c>
      <c r="V20" s="244" t="s">
        <v>24205</v>
      </c>
      <c r="W20" s="243" t="s">
        <v>24214</v>
      </c>
      <c r="X20" s="232" t="s">
        <v>24197</v>
      </c>
      <c r="Y20" s="238" t="s">
        <v>5055</v>
      </c>
      <c r="Z20" s="245" t="s">
        <v>24110</v>
      </c>
      <c r="AA20" s="243" t="s">
        <v>24228</v>
      </c>
      <c r="AB20" s="232">
        <v>1217</v>
      </c>
      <c r="AC20" s="232" t="s">
        <v>24216</v>
      </c>
      <c r="AD20" s="230" t="str">
        <f t="shared" si="3"/>
        <v>2.50x121Y</v>
      </c>
      <c r="AE20" s="232">
        <v>700</v>
      </c>
      <c r="AF20" s="232">
        <v>0</v>
      </c>
      <c r="AG20" s="232">
        <v>700</v>
      </c>
      <c r="AH20" s="232"/>
      <c r="AI20" s="241" t="s">
        <v>24118</v>
      </c>
      <c r="AJ20" s="247" t="s">
        <v>24208</v>
      </c>
      <c r="AK20" t="s">
        <v>24209</v>
      </c>
    </row>
    <row r="21" spans="3:37" x14ac:dyDescent="0.25">
      <c r="C21">
        <f t="shared" si="0"/>
        <v>1200000</v>
      </c>
      <c r="D21">
        <v>700000</v>
      </c>
      <c r="E21">
        <f t="shared" si="1"/>
        <v>500000</v>
      </c>
      <c r="F21" t="s">
        <v>5056</v>
      </c>
      <c r="G21" s="238" t="s">
        <v>5055</v>
      </c>
      <c r="H21" t="str">
        <f t="shared" si="2"/>
        <v>Thép cuộn cán nóng 2.50x121Y SAE1006Ống Thép Hưng YênQua cán nguội</v>
      </c>
      <c r="I21">
        <v>1050013729</v>
      </c>
      <c r="J21">
        <v>2125090116</v>
      </c>
      <c r="O21" s="262" t="s">
        <v>24193</v>
      </c>
      <c r="P21" s="233" t="s">
        <v>24202</v>
      </c>
      <c r="Q21" s="233"/>
      <c r="R21" s="234" t="s">
        <v>24226</v>
      </c>
      <c r="S21" s="235"/>
      <c r="T21" s="232" t="s">
        <v>24181</v>
      </c>
      <c r="U21" s="243" t="s">
        <v>24221</v>
      </c>
      <c r="V21" s="244" t="s">
        <v>24205</v>
      </c>
      <c r="W21" s="243" t="s">
        <v>24214</v>
      </c>
      <c r="X21" s="232" t="s">
        <v>24186</v>
      </c>
      <c r="Y21" s="238" t="s">
        <v>5055</v>
      </c>
      <c r="Z21" s="245" t="s">
        <v>24110</v>
      </c>
      <c r="AA21" s="243" t="s">
        <v>24228</v>
      </c>
      <c r="AB21" s="232">
        <v>1217</v>
      </c>
      <c r="AC21" s="232" t="s">
        <v>24216</v>
      </c>
      <c r="AD21" s="230" t="str">
        <f t="shared" si="3"/>
        <v>2.50x121Y</v>
      </c>
      <c r="AE21" s="232">
        <v>500</v>
      </c>
      <c r="AF21" s="232">
        <v>0</v>
      </c>
      <c r="AG21" s="232">
        <v>500</v>
      </c>
      <c r="AH21" s="232"/>
      <c r="AI21" s="241" t="s">
        <v>24118</v>
      </c>
      <c r="AJ21" s="247" t="s">
        <v>24208</v>
      </c>
      <c r="AK21" t="s">
        <v>24209</v>
      </c>
    </row>
    <row r="22" spans="3:37" x14ac:dyDescent="0.25">
      <c r="C22">
        <f t="shared" si="0"/>
        <v>0</v>
      </c>
      <c r="F22" t="s">
        <v>6902</v>
      </c>
      <c r="G22" s="238" t="s">
        <v>6901</v>
      </c>
      <c r="O22" s="262" t="s">
        <v>24193</v>
      </c>
      <c r="P22" s="241" t="s">
        <v>24202</v>
      </c>
      <c r="Q22" s="241"/>
      <c r="R22" s="242" t="s">
        <v>24226</v>
      </c>
      <c r="S22" s="243"/>
      <c r="T22" s="232" t="s">
        <v>24181</v>
      </c>
      <c r="U22" s="243" t="s">
        <v>24221</v>
      </c>
      <c r="V22" s="244" t="s">
        <v>24205</v>
      </c>
      <c r="W22" s="243" t="s">
        <v>24214</v>
      </c>
      <c r="X22" s="232" t="s">
        <v>24186</v>
      </c>
      <c r="Y22" s="238" t="s">
        <v>6901</v>
      </c>
      <c r="Z22" s="245" t="s">
        <v>24110</v>
      </c>
      <c r="AA22" s="243" t="s">
        <v>24228</v>
      </c>
      <c r="AB22" s="232">
        <v>1260</v>
      </c>
      <c r="AC22" s="232" t="s">
        <v>24223</v>
      </c>
      <c r="AD22" s="230" t="str">
        <f t="shared" si="3"/>
        <v>2.50x126X</v>
      </c>
      <c r="AE22" s="232">
        <v>600</v>
      </c>
      <c r="AF22" s="232">
        <v>0</v>
      </c>
      <c r="AG22" s="232">
        <v>600</v>
      </c>
      <c r="AH22" s="232"/>
      <c r="AI22" s="241" t="s">
        <v>24118</v>
      </c>
      <c r="AJ22" s="247" t="s">
        <v>24208</v>
      </c>
      <c r="AK22" t="s">
        <v>24209</v>
      </c>
    </row>
    <row r="23" spans="3:37" x14ac:dyDescent="0.25">
      <c r="C23">
        <f t="shared" si="0"/>
        <v>0</v>
      </c>
      <c r="F23" t="s">
        <v>6902</v>
      </c>
      <c r="G23" s="238" t="s">
        <v>6901</v>
      </c>
      <c r="O23" s="262" t="s">
        <v>24193</v>
      </c>
      <c r="P23" s="233" t="s">
        <v>24202</v>
      </c>
      <c r="Q23" s="233"/>
      <c r="R23" s="234" t="s">
        <v>24226</v>
      </c>
      <c r="S23" s="235"/>
      <c r="T23" s="251" t="s">
        <v>24139</v>
      </c>
      <c r="U23" s="235" t="s">
        <v>24204</v>
      </c>
      <c r="V23" s="237" t="s">
        <v>24205</v>
      </c>
      <c r="W23" s="235" t="s">
        <v>24214</v>
      </c>
      <c r="X23" s="236" t="s">
        <v>24188</v>
      </c>
      <c r="Y23" s="238" t="s">
        <v>6901</v>
      </c>
      <c r="Z23" s="239" t="s">
        <v>24110</v>
      </c>
      <c r="AA23" s="235" t="s">
        <v>24228</v>
      </c>
      <c r="AB23" s="236">
        <v>1260</v>
      </c>
      <c r="AC23" s="236" t="s">
        <v>24223</v>
      </c>
      <c r="AD23" s="230" t="str">
        <f t="shared" si="3"/>
        <v>2.50x126X</v>
      </c>
      <c r="AE23" s="236">
        <v>0</v>
      </c>
      <c r="AF23" s="236">
        <v>500</v>
      </c>
      <c r="AG23" s="236">
        <v>500</v>
      </c>
      <c r="AH23" s="236"/>
      <c r="AI23" s="233" t="s">
        <v>24140</v>
      </c>
      <c r="AJ23" s="247" t="s">
        <v>24208</v>
      </c>
      <c r="AK23" t="s">
        <v>24209</v>
      </c>
    </row>
    <row r="24" spans="3:37" x14ac:dyDescent="0.25">
      <c r="C24">
        <f t="shared" si="0"/>
        <v>2700000</v>
      </c>
      <c r="D24">
        <v>1700000</v>
      </c>
      <c r="E24">
        <f t="shared" si="1"/>
        <v>1000000</v>
      </c>
      <c r="F24" t="s">
        <v>6902</v>
      </c>
      <c r="G24" s="238" t="s">
        <v>6901</v>
      </c>
      <c r="H24" t="str">
        <f t="shared" si="2"/>
        <v>Thép cuộn cán nóng 2.50x126X SAE1006Ống Thép Hưng YênQua cán nguội</v>
      </c>
      <c r="I24">
        <v>1050013730</v>
      </c>
      <c r="J24">
        <v>2125090117</v>
      </c>
      <c r="O24" s="262" t="s">
        <v>24193</v>
      </c>
      <c r="P24" s="241" t="s">
        <v>24202</v>
      </c>
      <c r="Q24" s="241"/>
      <c r="R24" s="242" t="s">
        <v>24226</v>
      </c>
      <c r="S24" s="243"/>
      <c r="T24" s="251" t="s">
        <v>24139</v>
      </c>
      <c r="U24" s="235" t="s">
        <v>24204</v>
      </c>
      <c r="V24" s="237" t="s">
        <v>24205</v>
      </c>
      <c r="W24" s="235" t="s">
        <v>24214</v>
      </c>
      <c r="X24" s="236" t="s">
        <v>24188</v>
      </c>
      <c r="Y24" s="238" t="s">
        <v>6901</v>
      </c>
      <c r="Z24" s="239" t="s">
        <v>24110</v>
      </c>
      <c r="AA24" s="235" t="s">
        <v>24228</v>
      </c>
      <c r="AB24" s="236">
        <v>1260</v>
      </c>
      <c r="AC24" s="236" t="s">
        <v>24223</v>
      </c>
      <c r="AD24" s="230" t="str">
        <f t="shared" si="3"/>
        <v>2.50x126X</v>
      </c>
      <c r="AE24" s="236">
        <v>0</v>
      </c>
      <c r="AF24" s="248">
        <v>1000</v>
      </c>
      <c r="AG24" s="248">
        <v>1000</v>
      </c>
      <c r="AH24" s="236"/>
      <c r="AI24" s="233" t="s">
        <v>24140</v>
      </c>
      <c r="AJ24" s="247" t="s">
        <v>24208</v>
      </c>
      <c r="AK24" t="s">
        <v>24209</v>
      </c>
    </row>
    <row r="25" spans="3:37" x14ac:dyDescent="0.25">
      <c r="C25">
        <f t="shared" si="0"/>
        <v>800000</v>
      </c>
      <c r="E25">
        <f t="shared" si="1"/>
        <v>800000</v>
      </c>
      <c r="F25" t="s">
        <v>5953</v>
      </c>
      <c r="G25" s="238" t="s">
        <v>5952</v>
      </c>
      <c r="H25" t="str">
        <f t="shared" si="2"/>
        <v>Thép cuộn cán nóng 2.45x126X SAE1006Ống Thép Hưng YênQua cán nguội</v>
      </c>
      <c r="I25">
        <v>1050013731</v>
      </c>
      <c r="J25">
        <v>2125090118</v>
      </c>
      <c r="O25" s="262" t="s">
        <v>24193</v>
      </c>
      <c r="P25" s="233" t="s">
        <v>24202</v>
      </c>
      <c r="Q25" s="233"/>
      <c r="R25" s="234" t="s">
        <v>24226</v>
      </c>
      <c r="S25" s="235"/>
      <c r="T25" s="236" t="s">
        <v>24190</v>
      </c>
      <c r="U25" s="235" t="s">
        <v>24204</v>
      </c>
      <c r="V25" s="237" t="s">
        <v>24214</v>
      </c>
      <c r="W25" s="235" t="s">
        <v>24205</v>
      </c>
      <c r="X25" s="236"/>
      <c r="Y25" s="238" t="s">
        <v>5952</v>
      </c>
      <c r="Z25" s="239" t="s">
        <v>24110</v>
      </c>
      <c r="AA25" s="235" t="s">
        <v>24229</v>
      </c>
      <c r="AB25" s="236">
        <v>1262</v>
      </c>
      <c r="AC25" s="236" t="s">
        <v>24223</v>
      </c>
      <c r="AD25" s="230" t="str">
        <f t="shared" si="3"/>
        <v>2.45x126X</v>
      </c>
      <c r="AE25" s="236">
        <v>0</v>
      </c>
      <c r="AF25" s="236">
        <v>800</v>
      </c>
      <c r="AG25" s="236">
        <v>800</v>
      </c>
      <c r="AH25" s="236"/>
      <c r="AI25" s="233" t="s">
        <v>24191</v>
      </c>
      <c r="AJ25" s="247" t="s">
        <v>24208</v>
      </c>
      <c r="AK25" t="s">
        <v>24209</v>
      </c>
    </row>
    <row r="26" spans="3:37" x14ac:dyDescent="0.25">
      <c r="C26">
        <f t="shared" si="0"/>
        <v>2500000</v>
      </c>
      <c r="E26">
        <f t="shared" si="1"/>
        <v>2500000</v>
      </c>
      <c r="F26" t="s">
        <v>9897</v>
      </c>
      <c r="G26" s="238" t="s">
        <v>9896</v>
      </c>
      <c r="H26" t="str">
        <f t="shared" si="2"/>
        <v>Thép cuộn cán nóng 2.45x121Y SAE1006Ống Thép Hưng YênQua cán nguội</v>
      </c>
      <c r="I26">
        <v>1050013732</v>
      </c>
      <c r="J26">
        <v>2125090119</v>
      </c>
      <c r="O26" s="262" t="s">
        <v>24193</v>
      </c>
      <c r="P26" s="241" t="s">
        <v>24202</v>
      </c>
      <c r="Q26" s="241"/>
      <c r="R26" s="242" t="s">
        <v>24226</v>
      </c>
      <c r="S26" s="243"/>
      <c r="T26" s="232" t="s">
        <v>24190</v>
      </c>
      <c r="U26" s="243" t="s">
        <v>24204</v>
      </c>
      <c r="V26" s="244" t="s">
        <v>24214</v>
      </c>
      <c r="W26" s="243" t="s">
        <v>24205</v>
      </c>
      <c r="X26" s="232"/>
      <c r="Y26" s="238" t="s">
        <v>9896</v>
      </c>
      <c r="Z26" s="245" t="s">
        <v>24110</v>
      </c>
      <c r="AA26" s="243" t="s">
        <v>24229</v>
      </c>
      <c r="AB26" s="232">
        <v>1219</v>
      </c>
      <c r="AC26" s="232" t="s">
        <v>24216</v>
      </c>
      <c r="AD26" s="230" t="str">
        <f t="shared" si="3"/>
        <v>2.45x121Y</v>
      </c>
      <c r="AE26" s="232">
        <v>0</v>
      </c>
      <c r="AF26" s="249">
        <v>2500</v>
      </c>
      <c r="AG26" s="249">
        <v>2500</v>
      </c>
      <c r="AH26" s="232"/>
      <c r="AI26" s="241" t="s">
        <v>24191</v>
      </c>
      <c r="AJ26" s="247" t="s">
        <v>24208</v>
      </c>
      <c r="AK26" t="s">
        <v>24209</v>
      </c>
    </row>
    <row r="27" spans="3:37" x14ac:dyDescent="0.25">
      <c r="C27">
        <f t="shared" si="0"/>
        <v>0</v>
      </c>
      <c r="F27" t="s">
        <v>6715</v>
      </c>
      <c r="G27" s="238" t="s">
        <v>6714</v>
      </c>
      <c r="O27" s="262" t="s">
        <v>24189</v>
      </c>
      <c r="P27" s="233" t="s">
        <v>24202</v>
      </c>
      <c r="Q27" s="233"/>
      <c r="R27" s="234" t="s">
        <v>24230</v>
      </c>
      <c r="S27" s="235"/>
      <c r="T27" s="236" t="s">
        <v>24190</v>
      </c>
      <c r="U27" s="235" t="s">
        <v>24204</v>
      </c>
      <c r="V27" s="237" t="s">
        <v>24205</v>
      </c>
      <c r="W27" s="235" t="s">
        <v>24205</v>
      </c>
      <c r="X27" s="236"/>
      <c r="Y27" s="238" t="s">
        <v>6714</v>
      </c>
      <c r="Z27" s="239" t="s">
        <v>24110</v>
      </c>
      <c r="AA27" s="235" t="s">
        <v>24229</v>
      </c>
      <c r="AB27" s="236">
        <v>1250</v>
      </c>
      <c r="AC27" s="236" t="s">
        <v>24211</v>
      </c>
      <c r="AD27" s="230" t="str">
        <f t="shared" si="3"/>
        <v>2.45x125X</v>
      </c>
      <c r="AE27" s="236">
        <v>0</v>
      </c>
      <c r="AF27" s="236">
        <v>800</v>
      </c>
      <c r="AG27" s="236">
        <v>800</v>
      </c>
      <c r="AH27" s="236"/>
      <c r="AI27" s="233" t="s">
        <v>24140</v>
      </c>
      <c r="AJ27" s="247" t="s">
        <v>24208</v>
      </c>
      <c r="AK27" t="s">
        <v>24209</v>
      </c>
    </row>
    <row r="28" spans="3:37" x14ac:dyDescent="0.25">
      <c r="C28">
        <f t="shared" si="0"/>
        <v>1800000</v>
      </c>
      <c r="D28">
        <v>800000</v>
      </c>
      <c r="E28">
        <f t="shared" si="1"/>
        <v>1000000</v>
      </c>
      <c r="F28" t="s">
        <v>6715</v>
      </c>
      <c r="G28" s="238" t="s">
        <v>6714</v>
      </c>
      <c r="H28" t="str">
        <f t="shared" si="2"/>
        <v>Thép cuộn cán nóng 2.45x125X SAE1006Ống Thép Sài GònQua cán nguội</v>
      </c>
      <c r="I28">
        <v>1050013733</v>
      </c>
      <c r="J28">
        <v>2125090120</v>
      </c>
      <c r="O28" s="262" t="s">
        <v>24189</v>
      </c>
      <c r="P28" s="241" t="s">
        <v>24202</v>
      </c>
      <c r="Q28" s="241"/>
      <c r="R28" s="242" t="s">
        <v>24230</v>
      </c>
      <c r="S28" s="243"/>
      <c r="T28" s="232" t="s">
        <v>24190</v>
      </c>
      <c r="U28" s="243" t="s">
        <v>24204</v>
      </c>
      <c r="V28" s="244" t="s">
        <v>24205</v>
      </c>
      <c r="W28" s="243" t="s">
        <v>24214</v>
      </c>
      <c r="X28" s="232" t="s">
        <v>24194</v>
      </c>
      <c r="Y28" s="238" t="s">
        <v>6714</v>
      </c>
      <c r="Z28" s="245" t="s">
        <v>24110</v>
      </c>
      <c r="AA28" s="243" t="s">
        <v>24229</v>
      </c>
      <c r="AB28" s="232">
        <v>1250</v>
      </c>
      <c r="AC28" s="232" t="s">
        <v>24211</v>
      </c>
      <c r="AD28" s="230" t="str">
        <f t="shared" si="3"/>
        <v>2.45x125X</v>
      </c>
      <c r="AE28" s="232"/>
      <c r="AF28" s="249">
        <v>1000</v>
      </c>
      <c r="AG28" s="249">
        <v>1000</v>
      </c>
      <c r="AH28" s="232"/>
      <c r="AI28" s="241" t="s">
        <v>24140</v>
      </c>
      <c r="AJ28" s="247" t="s">
        <v>24208</v>
      </c>
      <c r="AK28" t="s">
        <v>24209</v>
      </c>
    </row>
    <row r="29" spans="3:37" x14ac:dyDescent="0.25">
      <c r="C29">
        <f t="shared" si="0"/>
        <v>3200000</v>
      </c>
      <c r="E29">
        <f t="shared" si="1"/>
        <v>3200000</v>
      </c>
      <c r="F29" t="s">
        <v>7037</v>
      </c>
      <c r="G29" s="238" t="s">
        <v>7036</v>
      </c>
      <c r="H29" t="str">
        <f t="shared" si="2"/>
        <v>Thép cuộn cán nóng 2.45x121X SAE1006Ống Thép Sài GònQua cán nguội</v>
      </c>
      <c r="I29">
        <v>1050013734</v>
      </c>
      <c r="J29">
        <v>2125090121</v>
      </c>
      <c r="O29" s="262" t="s">
        <v>24189</v>
      </c>
      <c r="P29" s="233" t="s">
        <v>24202</v>
      </c>
      <c r="Q29" s="233"/>
      <c r="R29" s="234" t="s">
        <v>24231</v>
      </c>
      <c r="S29" s="235"/>
      <c r="T29" s="232" t="s">
        <v>24198</v>
      </c>
      <c r="U29" s="243" t="s">
        <v>24221</v>
      </c>
      <c r="V29" s="244" t="s">
        <v>24205</v>
      </c>
      <c r="W29" s="243" t="s">
        <v>24205</v>
      </c>
      <c r="X29" s="232"/>
      <c r="Y29" s="238" t="s">
        <v>7036</v>
      </c>
      <c r="Z29" s="245" t="s">
        <v>24110</v>
      </c>
      <c r="AA29" s="243" t="s">
        <v>24229</v>
      </c>
      <c r="AB29" s="232">
        <v>1212</v>
      </c>
      <c r="AC29" s="232" t="s">
        <v>24227</v>
      </c>
      <c r="AD29" s="230" t="str">
        <f t="shared" si="3"/>
        <v>2.45x121X</v>
      </c>
      <c r="AE29" s="249">
        <v>3200</v>
      </c>
      <c r="AF29" s="232">
        <v>0</v>
      </c>
      <c r="AG29" s="249">
        <v>3200</v>
      </c>
      <c r="AH29" s="232"/>
      <c r="AI29" s="241" t="s">
        <v>24118</v>
      </c>
      <c r="AJ29" s="247" t="s">
        <v>24208</v>
      </c>
      <c r="AK29" t="s">
        <v>24209</v>
      </c>
    </row>
    <row r="30" spans="3:37" x14ac:dyDescent="0.25">
      <c r="C30">
        <f t="shared" si="0"/>
        <v>800000</v>
      </c>
      <c r="E30">
        <f t="shared" si="1"/>
        <v>800000</v>
      </c>
      <c r="F30" t="s">
        <v>7444</v>
      </c>
      <c r="G30" s="238" t="s">
        <v>7443</v>
      </c>
      <c r="H30" t="str">
        <f t="shared" si="2"/>
        <v>Thép cuộn cán nóng 2.40x121X SAE1006Ống Thép Sài GònQua cán nguội</v>
      </c>
      <c r="I30">
        <v>1050013735</v>
      </c>
      <c r="J30">
        <v>2125090122</v>
      </c>
      <c r="O30" s="262" t="s">
        <v>24189</v>
      </c>
      <c r="P30" s="241" t="s">
        <v>24202</v>
      </c>
      <c r="Q30" s="241"/>
      <c r="R30" s="242" t="s">
        <v>24231</v>
      </c>
      <c r="S30" s="243"/>
      <c r="T30" s="232" t="s">
        <v>24190</v>
      </c>
      <c r="U30" s="243" t="s">
        <v>24204</v>
      </c>
      <c r="V30" s="244" t="s">
        <v>24214</v>
      </c>
      <c r="W30" s="243" t="s">
        <v>24205</v>
      </c>
      <c r="X30" s="232"/>
      <c r="Y30" s="238" t="s">
        <v>7443</v>
      </c>
      <c r="Z30" s="245" t="s">
        <v>24110</v>
      </c>
      <c r="AA30" s="243" t="s">
        <v>24232</v>
      </c>
      <c r="AB30" s="232">
        <v>1212</v>
      </c>
      <c r="AC30" s="232" t="s">
        <v>24227</v>
      </c>
      <c r="AD30" s="230" t="str">
        <f t="shared" si="3"/>
        <v>2.40x121X</v>
      </c>
      <c r="AE30" s="232">
        <v>0</v>
      </c>
      <c r="AF30" s="232">
        <v>800</v>
      </c>
      <c r="AG30" s="232">
        <v>800</v>
      </c>
      <c r="AH30" s="232"/>
      <c r="AI30" s="241" t="s">
        <v>24191</v>
      </c>
      <c r="AJ30" s="247" t="s">
        <v>24208</v>
      </c>
      <c r="AK30" t="s">
        <v>24209</v>
      </c>
    </row>
    <row r="31" spans="3:37" x14ac:dyDescent="0.25">
      <c r="C31">
        <f t="shared" si="0"/>
        <v>1200000</v>
      </c>
      <c r="D31">
        <v>600000</v>
      </c>
      <c r="E31">
        <f t="shared" si="1"/>
        <v>600000</v>
      </c>
      <c r="F31" t="s">
        <v>7573</v>
      </c>
      <c r="G31" s="238" t="s">
        <v>7572</v>
      </c>
      <c r="H31" t="str">
        <f t="shared" si="2"/>
        <v>Thép cuộn cán nóng 2.30x126X SAE1006Thép Việt ĐứcQua cán nguội</v>
      </c>
      <c r="I31">
        <v>1050013736</v>
      </c>
      <c r="J31">
        <v>2125090123</v>
      </c>
      <c r="O31" s="261" t="s">
        <v>24195</v>
      </c>
      <c r="P31" s="233" t="s">
        <v>24202</v>
      </c>
      <c r="Q31" s="233"/>
      <c r="R31" s="234" t="s">
        <v>24233</v>
      </c>
      <c r="S31" s="235"/>
      <c r="T31" s="232" t="s">
        <v>24181</v>
      </c>
      <c r="U31" s="243" t="s">
        <v>24221</v>
      </c>
      <c r="V31" s="244" t="s">
        <v>24205</v>
      </c>
      <c r="W31" s="243" t="s">
        <v>24214</v>
      </c>
      <c r="X31" s="232" t="s">
        <v>24184</v>
      </c>
      <c r="Y31" s="238" t="s">
        <v>7572</v>
      </c>
      <c r="Z31" s="245" t="s">
        <v>24110</v>
      </c>
      <c r="AA31" s="243" t="s">
        <v>24234</v>
      </c>
      <c r="AB31" s="232">
        <v>1260</v>
      </c>
      <c r="AC31" s="232" t="s">
        <v>24223</v>
      </c>
      <c r="AD31" s="230" t="str">
        <f t="shared" si="3"/>
        <v>2.30x126X</v>
      </c>
      <c r="AE31" s="232">
        <v>600</v>
      </c>
      <c r="AF31" s="232">
        <v>0</v>
      </c>
      <c r="AG31" s="232">
        <v>600</v>
      </c>
      <c r="AH31" s="232"/>
      <c r="AI31" s="241" t="s">
        <v>24118</v>
      </c>
      <c r="AJ31" s="247" t="s">
        <v>24208</v>
      </c>
      <c r="AK31" t="s">
        <v>24209</v>
      </c>
    </row>
    <row r="32" spans="3:37" x14ac:dyDescent="0.25">
      <c r="C32">
        <f t="shared" si="0"/>
        <v>1200000</v>
      </c>
      <c r="E32">
        <f t="shared" si="1"/>
        <v>1200000</v>
      </c>
      <c r="F32" t="s">
        <v>5060</v>
      </c>
      <c r="G32" s="238" t="s">
        <v>5059</v>
      </c>
      <c r="H32" t="str">
        <f t="shared" si="2"/>
        <v>Thép cuộn cán nóng 2.30x121Y SAE1006Thép Việt ĐứcQua cán nguội</v>
      </c>
      <c r="I32">
        <v>1050013737</v>
      </c>
      <c r="J32">
        <v>2125090124</v>
      </c>
      <c r="O32" s="261" t="s">
        <v>24195</v>
      </c>
      <c r="P32" s="241" t="s">
        <v>24202</v>
      </c>
      <c r="Q32" s="241"/>
      <c r="R32" s="242" t="s">
        <v>24233</v>
      </c>
      <c r="S32" s="243"/>
      <c r="T32" s="236" t="s">
        <v>24181</v>
      </c>
      <c r="U32" s="235" t="s">
        <v>24221</v>
      </c>
      <c r="V32" s="237" t="s">
        <v>24205</v>
      </c>
      <c r="W32" s="235" t="s">
        <v>24214</v>
      </c>
      <c r="X32" s="236" t="s">
        <v>24197</v>
      </c>
      <c r="Y32" s="238" t="s">
        <v>5059</v>
      </c>
      <c r="Z32" s="239" t="s">
        <v>24110</v>
      </c>
      <c r="AA32" s="235" t="s">
        <v>24234</v>
      </c>
      <c r="AB32" s="236">
        <v>1217</v>
      </c>
      <c r="AC32" s="236" t="s">
        <v>24216</v>
      </c>
      <c r="AD32" s="230" t="str">
        <f t="shared" si="3"/>
        <v>2.30x121Y</v>
      </c>
      <c r="AE32" s="248">
        <v>1200</v>
      </c>
      <c r="AF32" s="236">
        <v>0</v>
      </c>
      <c r="AG32" s="248">
        <v>1200</v>
      </c>
      <c r="AH32" s="236"/>
      <c r="AI32" s="233" t="s">
        <v>24118</v>
      </c>
      <c r="AJ32" s="247" t="s">
        <v>24208</v>
      </c>
      <c r="AK32" t="s">
        <v>24209</v>
      </c>
    </row>
    <row r="33" spans="3:45" x14ac:dyDescent="0.25">
      <c r="C33">
        <f t="shared" si="0"/>
        <v>0</v>
      </c>
      <c r="F33" t="s">
        <v>7573</v>
      </c>
      <c r="G33" s="238" t="s">
        <v>7572</v>
      </c>
      <c r="O33" s="261" t="s">
        <v>24195</v>
      </c>
      <c r="P33" s="233" t="s">
        <v>24202</v>
      </c>
      <c r="Q33" s="233"/>
      <c r="R33" s="234" t="s">
        <v>24233</v>
      </c>
      <c r="S33" s="235"/>
      <c r="T33" s="236" t="s">
        <v>24181</v>
      </c>
      <c r="U33" s="235" t="s">
        <v>24221</v>
      </c>
      <c r="V33" s="237" t="s">
        <v>24205</v>
      </c>
      <c r="W33" s="235" t="s">
        <v>24214</v>
      </c>
      <c r="X33" s="236" t="s">
        <v>24186</v>
      </c>
      <c r="Y33" s="238" t="s">
        <v>7572</v>
      </c>
      <c r="Z33" s="239" t="s">
        <v>24110</v>
      </c>
      <c r="AA33" s="235" t="s">
        <v>24234</v>
      </c>
      <c r="AB33" s="236">
        <v>1260</v>
      </c>
      <c r="AC33" s="236" t="s">
        <v>24223</v>
      </c>
      <c r="AD33" s="230" t="str">
        <f t="shared" si="3"/>
        <v>2.30x126X</v>
      </c>
      <c r="AE33" s="236">
        <v>600</v>
      </c>
      <c r="AF33" s="236">
        <v>0</v>
      </c>
      <c r="AG33" s="236">
        <v>600</v>
      </c>
      <c r="AH33" s="236"/>
      <c r="AI33" s="233" t="s">
        <v>24118</v>
      </c>
      <c r="AJ33" s="247" t="s">
        <v>24208</v>
      </c>
      <c r="AK33" t="s">
        <v>24209</v>
      </c>
    </row>
    <row r="34" spans="3:45" x14ac:dyDescent="0.25">
      <c r="C34">
        <f t="shared" si="0"/>
        <v>0</v>
      </c>
      <c r="F34" t="s">
        <v>6981</v>
      </c>
      <c r="G34" s="238" t="s">
        <v>6980</v>
      </c>
      <c r="O34" s="261" t="s">
        <v>24199</v>
      </c>
      <c r="P34" s="241" t="s">
        <v>24202</v>
      </c>
      <c r="Q34" s="241"/>
      <c r="R34" s="242" t="s">
        <v>24235</v>
      </c>
      <c r="S34" s="243"/>
      <c r="T34" s="232" t="s">
        <v>24190</v>
      </c>
      <c r="U34" s="243" t="s">
        <v>24221</v>
      </c>
      <c r="V34" s="244" t="s">
        <v>24205</v>
      </c>
      <c r="W34" s="243" t="s">
        <v>24205</v>
      </c>
      <c r="X34" s="232"/>
      <c r="Y34" s="238" t="s">
        <v>6980</v>
      </c>
      <c r="Z34" s="245" t="s">
        <v>24110</v>
      </c>
      <c r="AA34" s="243" t="s">
        <v>24234</v>
      </c>
      <c r="AB34" s="232">
        <v>1250</v>
      </c>
      <c r="AC34" s="232" t="s">
        <v>24211</v>
      </c>
      <c r="AD34" s="230" t="str">
        <f t="shared" si="3"/>
        <v>2.30x125X</v>
      </c>
      <c r="AE34" s="232">
        <v>100</v>
      </c>
      <c r="AF34" s="232"/>
      <c r="AG34" s="232">
        <v>100</v>
      </c>
      <c r="AH34" s="232"/>
      <c r="AI34" s="241" t="s">
        <v>24118</v>
      </c>
      <c r="AJ34" s="247" t="s">
        <v>24208</v>
      </c>
      <c r="AK34" t="s">
        <v>24209</v>
      </c>
    </row>
    <row r="35" spans="3:45" x14ac:dyDescent="0.25">
      <c r="C35">
        <f t="shared" si="0"/>
        <v>3100000</v>
      </c>
      <c r="D35">
        <v>100000</v>
      </c>
      <c r="E35">
        <f t="shared" si="1"/>
        <v>3000000</v>
      </c>
      <c r="F35" t="s">
        <v>6981</v>
      </c>
      <c r="G35" s="238" t="s">
        <v>6980</v>
      </c>
      <c r="H35" t="str">
        <f t="shared" si="2"/>
        <v>Thép cuộn cán nóng 2.30x125X SAE1006Tôn Hòa PhátQua cán nguội</v>
      </c>
      <c r="I35">
        <v>1050013738</v>
      </c>
      <c r="J35">
        <v>2125090125</v>
      </c>
      <c r="O35" s="261" t="s">
        <v>24199</v>
      </c>
      <c r="P35" s="233" t="s">
        <v>24202</v>
      </c>
      <c r="Q35" s="233"/>
      <c r="R35" s="234" t="s">
        <v>24235</v>
      </c>
      <c r="S35" s="235"/>
      <c r="T35" s="236" t="s">
        <v>24190</v>
      </c>
      <c r="U35" s="235" t="s">
        <v>24204</v>
      </c>
      <c r="V35" s="237" t="s">
        <v>24205</v>
      </c>
      <c r="W35" s="235" t="s">
        <v>24214</v>
      </c>
      <c r="X35" s="236" t="s">
        <v>24194</v>
      </c>
      <c r="Y35" s="238" t="s">
        <v>6980</v>
      </c>
      <c r="Z35" s="239" t="s">
        <v>24110</v>
      </c>
      <c r="AA35" s="235" t="s">
        <v>24234</v>
      </c>
      <c r="AB35" s="236">
        <v>1250</v>
      </c>
      <c r="AC35" s="236" t="s">
        <v>24211</v>
      </c>
      <c r="AD35" s="230" t="str">
        <f t="shared" si="3"/>
        <v>2.30x125X</v>
      </c>
      <c r="AE35" s="236"/>
      <c r="AF35" s="248">
        <v>3000</v>
      </c>
      <c r="AG35" s="248">
        <v>3000</v>
      </c>
      <c r="AH35" s="236"/>
      <c r="AI35" s="233" t="s">
        <v>24140</v>
      </c>
      <c r="AJ35" s="247" t="s">
        <v>24208</v>
      </c>
      <c r="AK35" t="s">
        <v>24209</v>
      </c>
    </row>
    <row r="36" spans="3:45" x14ac:dyDescent="0.25">
      <c r="C36">
        <f t="shared" si="0"/>
        <v>3000000</v>
      </c>
      <c r="E36">
        <f t="shared" si="1"/>
        <v>3000000</v>
      </c>
      <c r="F36" t="s">
        <v>7064</v>
      </c>
      <c r="G36" s="238" t="s">
        <v>7063</v>
      </c>
      <c r="H36" t="str">
        <f t="shared" si="2"/>
        <v>Thép cuộn cán nóng 2.25x121X SAE1006Tôn Hòa PhátQua cán nguội</v>
      </c>
      <c r="I36">
        <v>1050013739</v>
      </c>
      <c r="J36">
        <v>2125090126</v>
      </c>
      <c r="O36" s="261" t="s">
        <v>24199</v>
      </c>
      <c r="P36" s="241" t="s">
        <v>24202</v>
      </c>
      <c r="Q36" s="241"/>
      <c r="R36" s="242" t="s">
        <v>24235</v>
      </c>
      <c r="S36" s="243"/>
      <c r="T36" s="236" t="s">
        <v>24198</v>
      </c>
      <c r="U36" s="235" t="s">
        <v>24221</v>
      </c>
      <c r="V36" s="237" t="s">
        <v>24205</v>
      </c>
      <c r="W36" s="235" t="s">
        <v>24205</v>
      </c>
      <c r="X36" s="236"/>
      <c r="Y36" s="238" t="s">
        <v>7063</v>
      </c>
      <c r="Z36" s="239" t="s">
        <v>24110</v>
      </c>
      <c r="AA36" s="235" t="s">
        <v>24236</v>
      </c>
      <c r="AB36" s="236">
        <v>1212</v>
      </c>
      <c r="AC36" s="236" t="s">
        <v>24227</v>
      </c>
      <c r="AD36" s="230" t="str">
        <f t="shared" si="3"/>
        <v>2.25x121X</v>
      </c>
      <c r="AE36" s="248">
        <v>3000</v>
      </c>
      <c r="AF36" s="236">
        <v>0</v>
      </c>
      <c r="AG36" s="248">
        <v>3000</v>
      </c>
      <c r="AH36" s="236"/>
      <c r="AI36" s="233" t="s">
        <v>24118</v>
      </c>
      <c r="AJ36" s="240" t="s">
        <v>24208</v>
      </c>
      <c r="AK36" t="s">
        <v>24209</v>
      </c>
    </row>
    <row r="37" spans="3:45" s="265" customFormat="1" ht="24" x14ac:dyDescent="0.25">
      <c r="C37" s="265">
        <v>400000</v>
      </c>
      <c r="E37" s="265">
        <v>400000</v>
      </c>
      <c r="F37" s="279">
        <v>1251121919132</v>
      </c>
      <c r="G37" s="270" t="s">
        <v>6723</v>
      </c>
      <c r="H37" t="str">
        <f t="shared" si="2"/>
        <v>Thép cuộn cán nóng 3.30x126X SAE1006Tôn Đông ÁQua cán nguội</v>
      </c>
      <c r="I37" s="265">
        <v>1050013740</v>
      </c>
      <c r="J37">
        <v>2125090127</v>
      </c>
      <c r="O37" s="261" t="s">
        <v>24183</v>
      </c>
      <c r="R37" s="266" t="s">
        <v>24238</v>
      </c>
      <c r="S37" s="267"/>
      <c r="T37" s="268" t="s">
        <v>24239</v>
      </c>
      <c r="U37" s="267" t="s">
        <v>24240</v>
      </c>
      <c r="V37" s="269" t="s">
        <v>24241</v>
      </c>
      <c r="W37" s="267" t="s">
        <v>24205</v>
      </c>
      <c r="X37" s="268" t="s">
        <v>24242</v>
      </c>
      <c r="Y37" s="270" t="s">
        <v>6723</v>
      </c>
      <c r="Z37" s="271" t="s">
        <v>24110</v>
      </c>
      <c r="AA37" s="267" t="s">
        <v>24243</v>
      </c>
      <c r="AB37" s="268">
        <v>1262</v>
      </c>
      <c r="AC37" s="268" t="s">
        <v>24223</v>
      </c>
      <c r="AD37" s="272" t="str">
        <f t="shared" si="3"/>
        <v>3.30x126X</v>
      </c>
      <c r="AE37" s="273">
        <v>400</v>
      </c>
      <c r="AF37" s="274"/>
      <c r="AG37" s="275">
        <v>400</v>
      </c>
      <c r="AH37" s="268"/>
      <c r="AI37" s="276" t="s">
        <v>24118</v>
      </c>
      <c r="AJ37" s="274">
        <v>10</v>
      </c>
      <c r="AK37" s="265" t="s">
        <v>24209</v>
      </c>
      <c r="AL37" s="268" t="s">
        <v>24200</v>
      </c>
      <c r="AM37" s="275"/>
      <c r="AN37" s="277"/>
      <c r="AO37" s="277"/>
      <c r="AP37" s="268"/>
      <c r="AQ37" s="268"/>
      <c r="AR37" s="268"/>
      <c r="AS37" s="278"/>
    </row>
    <row r="38" spans="3:45" x14ac:dyDescent="0.25">
      <c r="O38" s="261"/>
    </row>
  </sheetData>
  <autoFilter ref="E1:L36" xr:uid="{62C08507-960A-4ACE-B116-A03D2889C0F7}"/>
  <phoneticPr fontId="55" type="noConversion"/>
  <conditionalFormatting sqref="A7">
    <cfRule type="duplicateValues" dxfId="10" priority="9"/>
    <cfRule type="duplicateValues" dxfId="9" priority="10"/>
  </conditionalFormatting>
  <conditionalFormatting sqref="A8">
    <cfRule type="duplicateValues" dxfId="8" priority="7"/>
    <cfRule type="duplicateValues" dxfId="7" priority="8"/>
  </conditionalFormatting>
  <conditionalFormatting sqref="A9 A1:A6 A11:A1048576">
    <cfRule type="duplicateValues" dxfId="6" priority="11"/>
  </conditionalFormatting>
  <conditionalFormatting sqref="A10">
    <cfRule type="duplicateValues" dxfId="5" priority="5"/>
    <cfRule type="duplicateValues" dxfId="4" priority="6"/>
  </conditionalFormatting>
  <conditionalFormatting sqref="D1:D13 D15:D1048576">
    <cfRule type="duplicateValues" dxfId="3" priority="12"/>
  </conditionalFormatting>
  <conditionalFormatting sqref="F1:F1048576">
    <cfRule type="duplicateValues" dxfId="2" priority="1"/>
  </conditionalFormatting>
  <conditionalFormatting sqref="H1:H1048576">
    <cfRule type="duplicateValues" dxfId="1" priority="4"/>
  </conditionalFormatting>
  <conditionalFormatting sqref="J1:J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PXD 04.10.25 cũ</vt:lpstr>
      <vt:lpstr>PXC 04.10.25 cũ</vt:lpstr>
      <vt:lpstr>mvt</vt:lpstr>
      <vt:lpstr>Theo dõi thực tế</vt:lpstr>
      <vt:lpstr>PXC 05.10.25</vt:lpstr>
      <vt:lpstr>Order</vt:lpstr>
      <vt:lpstr>DH_T10.5</vt:lpstr>
      <vt:lpstr>ort9</vt:lpstr>
      <vt:lpstr>'PXC 04.10.25 cũ'!Print_Area</vt:lpstr>
      <vt:lpstr>'PXC 05.10.25'!Print_Area</vt:lpstr>
      <vt:lpstr>'PXD 04.10.25 cũ'!Print_Area</vt:lpstr>
      <vt:lpstr>'Theo dõi thực tế'!Print_Area</vt:lpstr>
      <vt:lpstr>'PXC 04.10.25 cũ'!Print_Titles</vt:lpstr>
      <vt:lpstr>'PXC 05.10.25'!Print_Titles</vt:lpstr>
      <vt:lpstr>'Theo dõi thực tế'!Print_Titles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 Thanh Tuan</dc:creator>
  <cp:keywords/>
  <dc:description/>
  <cp:lastModifiedBy>Nguyen Xuan Hieu - HPDQ</cp:lastModifiedBy>
  <cp:revision/>
  <cp:lastPrinted>2025-10-22T00:51:27Z</cp:lastPrinted>
  <dcterms:created xsi:type="dcterms:W3CDTF">2025-03-25T02:20:24Z</dcterms:created>
  <dcterms:modified xsi:type="dcterms:W3CDTF">2025-11-03T09:10:13Z</dcterms:modified>
  <cp:category/>
  <cp:contentStatus/>
</cp:coreProperties>
</file>